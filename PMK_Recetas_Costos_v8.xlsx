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cha_costo" sheetId="1" state="visible" r:id="rId3"/>
    <sheet name="Como_usar" sheetId="2" state="visible" r:id="rId4"/>
    <sheet name="Recetas" sheetId="3" state="visible" r:id="rId5"/>
    <sheet name="Comparar_telas" sheetId="4" state="visible" r:id="rId6"/>
    <sheet name="Productos" sheetId="5" state="visible" r:id="rId7"/>
    <sheet name="Despiece" sheetId="6" state="visible" r:id="rId8"/>
    <sheet name="Mediciones" sheetId="7" state="visible" r:id="rId9"/>
    <sheet name="Telas" sheetId="8" state="visible" r:id="rId10"/>
    <sheet name="Confeccion" sheetId="9" state="visible" r:id="rId11"/>
    <sheet name="Avios" sheetId="10" state="visible" r:id="rId12"/>
    <sheet name="Parametros" sheetId="11" state="visible" r:id="rId13"/>
    <sheet name="Catalogo" sheetId="12" state="visible" r:id="rId14"/>
  </sheets>
  <definedNames>
    <definedName function="false" hidden="true" localSheetId="5" name="_xlnm._FilterDatabase" vbProcedure="false">Despiece!$A$5:$G$705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<sst xmlns="http://schemas.openxmlformats.org/spreadsheetml/2006/main" count="2698" uniqueCount="714">
  <si>
    <t xml:space="preserve">FICHA DE COSTO — elige el molde y la tela de cada pieza</t>
  </si>
  <si>
    <t xml:space="preserve">Celdas azules = eliges tú. La tela vacía usa la de siempre del molde. El costo de cada pieza aparece al lado y el resumen abajo.</t>
  </si>
  <si>
    <t xml:space="preserve">Al cambiar de molde, borra las telas que elegiste en la columna "TELA (elige)" para partir con las de siempre.</t>
  </si>
  <si>
    <t xml:space="preserve">MOLDE  ▶</t>
  </si>
  <si>
    <t xml:space="preserve">14 · FUTHOMU01PRO</t>
  </si>
  <si>
    <t xml:space="preserve">Consumo según:</t>
  </si>
  <si>
    <t xml:space="preserve">Pieza</t>
  </si>
  <si>
    <t xml:space="preserve">Cant.</t>
  </si>
  <si>
    <t xml:space="preserve">Grupo de tela</t>
  </si>
  <si>
    <t xml:space="preserve">Proceso</t>
  </si>
  <si>
    <t xml:space="preserve">TELA (elige)
vacío = la de siempre</t>
  </si>
  <si>
    <t xml:space="preserve">Tela usada</t>
  </si>
  <si>
    <t xml:space="preserve">Metros
por prenda</t>
  </si>
  <si>
    <t xml:space="preserve">$ por metro</t>
  </si>
  <si>
    <t xml:space="preserve">$ COSTO TELA
de la pieza</t>
  </si>
  <si>
    <t xml:space="preserve">Aviso</t>
  </si>
  <si>
    <t xml:space="preserve">RESUMEN — COSTO DE PRODUCCIÓN DE UNA PRENDA (neto, sin IVA)</t>
  </si>
  <si>
    <t xml:space="preserve">Tela (suma de las piezas)</t>
  </si>
  <si>
    <t xml:space="preserve">Papel y tinta de sublimación</t>
  </si>
  <si>
    <t xml:space="preserve">Confección (taller, a trato)</t>
  </si>
  <si>
    <t xml:space="preserve">Avíos</t>
  </si>
  <si>
    <t xml:space="preserve">Extras (escribe: bordado, DTF, escudo…)</t>
  </si>
  <si>
    <t xml:space="preserve">Por prenda</t>
  </si>
  <si>
    <t xml:space="preserve">COSTO DE PRODUCCIÓN</t>
  </si>
  <si>
    <t xml:space="preserve">PRECIO Y GANANCIA</t>
  </si>
  <si>
    <t xml:space="preserve">Precio de venta actual, neto (escribe)</t>
  </si>
  <si>
    <t xml:space="preserve">Gastos generales que paga esta prenda</t>
  </si>
  <si>
    <t xml:space="preserve">GANANCIA POR PRENDA</t>
  </si>
  <si>
    <t xml:space="preserve">Corte, ploteo, sublimado y estampado (mano de obra con sueldo) NO van aquí: están en los gastos generales que cobra el sistema de ventas. Si se sumaran, se cobrarían dos veces.</t>
  </si>
  <si>
    <t xml:space="preserve">RECETAS DE COSTO — PLAYMAKER v8</t>
  </si>
  <si>
    <t xml:space="preserve">QUÉ ES</t>
  </si>
  <si>
    <t xml:space="preserve">El COSTO DE PRODUCCIÓN de cada prenda: tela + papel y tinta + confección + avíos, todo neto (sin IVA). No lleva gastos generales: esos los aplica el sistema de ventas como % del precio.</t>
  </si>
  <si>
    <t xml:space="preserve">IDEA CLAVE</t>
  </si>
  <si>
    <t xml:space="preserve">Un molde gasta los MISMOS METROS con cualquier tela, y el taller cobra lo MISMO con cualquier tela. Lo único que cambia al cambiar de tela es el $ por metro. Por eso el consumo se guarda por molde, en metros, y la tela se elige aparte.</t>
  </si>
  <si>
    <t xml:space="preserve">EMPIEZA AQUÍ</t>
  </si>
  <si>
    <t xml:space="preserve">Hoja "Ficha_costo": eliges el molde, ves sus piezas, eliges la tela de cada pieza y al lado sale el costo de esa pieza. Abajo, el costo de producción completo y el precio mínimo.</t>
  </si>
  <si>
    <t xml:space="preserve">1. Telas</t>
  </si>
  <si>
    <t xml:space="preserve">Una fila por tela: precio por kg (neto, o el de la factura con IVA) y el PESO DE 1 METRO (cortar 1 m de ancho completo y pesarlo). Sin el peso por metro no se puede pasar de kg a metros.</t>
  </si>
  <si>
    <t xml:space="preserve">2. Despiece</t>
  </si>
  <si>
    <t xml:space="preserve">Las piezas de cada molde y en qué grupo de tela va cada una (Tela principal / Tela 2 / Tela 3). Para poner las mangas en otra tela, cambia su grupo a "Tela 2". Metros por prenda: de la marcada (tizado) del plotter.</t>
  </si>
  <si>
    <t xml:space="preserve">3. Mediciones</t>
  </si>
  <si>
    <t xml:space="preserve">El consumo REAL: después de cada corte, anota tela, prendas cortadas y kg usados. Se pasa solo a metros por prenda y la receta usa el promedio. Mientras más cortes anotes, más exacto. Ya incluye la merma real.</t>
  </si>
  <si>
    <t xml:space="preserve">4. Recetas</t>
  </si>
  <si>
    <t xml:space="preserve">Una fila por molde del catálogo (54 + prendas sin molde). Eliges la tela de siempre, el tipo de confección y los avíos. El costo sale solo. La columna "Qué falta" dice qué dato completar.</t>
  </si>
  <si>
    <t xml:space="preserve">5. Comparar telas</t>
  </si>
  <si>
    <t xml:space="preserve">Para evaluar una tela nueva: agrégala en Telas, y aquí elige el molde y la tela. Compara costo, precio mínimo y cuántas prendas salen por kg contra la tela de siempre.</t>
  </si>
  <si>
    <t xml:space="preserve">6. Productos</t>
  </si>
  <si>
    <t xml:space="preserve">Cada producto que vendes = molde + tela. Muestra el costo, el precio mínimo y el margen real al precio actual (ya descontados los gastos generales).</t>
  </si>
  <si>
    <t xml:space="preserve">PRECIO MÍNIMO</t>
  </si>
  <si>
    <t xml:space="preserve">Costo de producción ÷ (1 − gastos generales − meta de ganancia). Con 43,4% de gastos generales y 15% de meta, es 2,4 veces el costo. Ojo: el % se aplica sobre el PRECIO, no se suma al costo.</t>
  </si>
  <si>
    <t xml:space="preserve">COLORES</t>
  </si>
  <si>
    <t xml:space="preserve">Azul = lo escribes tú. Gris = se calcula solo. Amarillo = resultado.</t>
  </si>
  <si>
    <t xml:space="preserve">PENDIENTES</t>
  </si>
  <si>
    <t xml:space="preserve">Pesar 1 metro de cada tela · metros por pieza del despiece (tizado) · papel: metros por rollo · tinta: ml por metro · confirmar precios de confección · meta de ganancia.</t>
  </si>
  <si>
    <t xml:space="preserve">RECETAS POR MOLDE — costo de producción de UNA prenda (neto, sin gastos generales)</t>
  </si>
  <si>
    <t xml:space="preserve">Consumo en metros: sale del promedio de las Mediciones reales; si no hay, del Despiece (+ merma). Las telas de aquí son las de siempre: para probar otras, usa "Comparar telas" o "Productos".</t>
  </si>
  <si>
    <t xml:space="preserve">MOLDE</t>
  </si>
  <si>
    <t xml:space="preserve">LO ESCRIBES TÚ</t>
  </si>
  <si>
    <t xml:space="preserve">CONSUMO TELA PRINCIPAL</t>
  </si>
  <si>
    <t xml:space="preserve">CONSUMO TELA 2</t>
  </si>
  <si>
    <t xml:space="preserve">CONSUMO TELA 3</t>
  </si>
  <si>
    <t xml:space="preserve">IMPRESIÓN</t>
  </si>
  <si>
    <t xml:space="preserve">COSTO DE PRODUCCIÓN POR PRENDA ($, neto)</t>
  </si>
  <si>
    <t xml:space="preserve">Molde</t>
  </si>
  <si>
    <t xml:space="preserve">Descripción</t>
  </si>
  <si>
    <t xml:space="preserve">Deporte</t>
  </si>
  <si>
    <t xml:space="preserve">Prenda</t>
  </si>
  <si>
    <t xml:space="preserve">Calce</t>
  </si>
  <si>
    <t xml:space="preserve">Confección (tipo)</t>
  </si>
  <si>
    <t xml:space="preserve">Avío 1</t>
  </si>
  <si>
    <t xml:space="preserve">Avío 2</t>
  </si>
  <si>
    <t xml:space="preserve">Tela principal
(la de siempre)</t>
  </si>
  <si>
    <t xml:space="preserve">Tela 2</t>
  </si>
  <si>
    <t xml:space="preserve">Tela 3</t>
  </si>
  <si>
    <t xml:space="preserve">Consumo según
(vacío = automático)</t>
  </si>
  <si>
    <t xml:space="preserve">Despiece
(m)</t>
  </si>
  <si>
    <t xml:space="preserve">Real medido
(m)</t>
  </si>
  <si>
    <t xml:space="preserve">USADO
(m)</t>
  </si>
  <si>
    <t xml:space="preserve">Metros impresos
(si lo mides)</t>
  </si>
  <si>
    <t xml:space="preserve">METROS
IMPRESOS</t>
  </si>
  <si>
    <t xml:space="preserve">$ Tela</t>
  </si>
  <si>
    <t xml:space="preserve">$ Papel y
tinta</t>
  </si>
  <si>
    <t xml:space="preserve">$ Confección</t>
  </si>
  <si>
    <t xml:space="preserve">$ Avíos</t>
  </si>
  <si>
    <t xml:space="preserve">COSTO DE
PRODUCCIÓN</t>
  </si>
  <si>
    <t xml:space="preserve">Precio mínimo
(referencia)</t>
  </si>
  <si>
    <t xml:space="preserve">Prendas por kg
(tela principal)</t>
  </si>
  <si>
    <t xml:space="preserve">Qué falta</t>
  </si>
  <si>
    <t xml:space="preserve">Notas</t>
  </si>
  <si>
    <t xml:space="preserve">01 · FUTMUJU01</t>
  </si>
  <si>
    <t xml:space="preserve">Fútbol, cuello redondo</t>
  </si>
  <si>
    <t xml:space="preserve">Fútbol</t>
  </si>
  <si>
    <t xml:space="preserve">Camiseta</t>
  </si>
  <si>
    <t xml:space="preserve">Femenino</t>
  </si>
  <si>
    <t xml:space="preserve">Camiseta De Futbol</t>
  </si>
  <si>
    <t xml:space="preserve">Confección sugerida por el tipo de molde: confirmar. Falta ficha de corte.</t>
  </si>
  <si>
    <t xml:space="preserve">02 · FUTHOMU01</t>
  </si>
  <si>
    <t xml:space="preserve">Masculino</t>
  </si>
  <si>
    <t xml:space="preserve">03 · FUTINMUJU01</t>
  </si>
  <si>
    <t xml:space="preserve">Fútbol infantil, cuello redondo</t>
  </si>
  <si>
    <t xml:space="preserve">Infantil Femenino</t>
  </si>
  <si>
    <t xml:space="preserve">04 · FUTINHOMU01</t>
  </si>
  <si>
    <t xml:space="preserve">Infantil Masculino</t>
  </si>
  <si>
    <t xml:space="preserve">CIRE BLANCO</t>
  </si>
  <si>
    <t xml:space="preserve">MESH</t>
  </si>
  <si>
    <t xml:space="preserve">Ficha OT 2369 (48 camisetas infantiles). Falta metros impresos.</t>
  </si>
  <si>
    <t xml:space="preserve">05 · FUTMUJV01</t>
  </si>
  <si>
    <t xml:space="preserve">Fútbol, cuello v</t>
  </si>
  <si>
    <t xml:space="preserve">06 · FUTHOMV01</t>
  </si>
  <si>
    <t xml:space="preserve">07 · FUTINMUJV01</t>
  </si>
  <si>
    <t xml:space="preserve">Fútbol infantil, cuello v</t>
  </si>
  <si>
    <t xml:space="preserve">08 · FUTINHOMV01</t>
  </si>
  <si>
    <t xml:space="preserve">09 · FUTMUJCC01</t>
  </si>
  <si>
    <t xml:space="preserve">Fútbol, cuello camisero</t>
  </si>
  <si>
    <t xml:space="preserve">10 · FUTHOMCC01</t>
  </si>
  <si>
    <t xml:space="preserve">11 · FUTINMUJCC01</t>
  </si>
  <si>
    <t xml:space="preserve">Fútbol infantil, cuello camisero</t>
  </si>
  <si>
    <t xml:space="preserve">12 · FUTINHOMCC01</t>
  </si>
  <si>
    <t xml:space="preserve">13 · FUTMUJU01PRO</t>
  </si>
  <si>
    <t xml:space="preserve">Fútbol, pro, cuello redondo</t>
  </si>
  <si>
    <t xml:space="preserve">MONTESIMONE TRAINING (fut pro)</t>
  </si>
  <si>
    <t xml:space="preserve">Ficha OT 2257 (20 camisetas Pro femeninas). Falta metros impresos.</t>
  </si>
  <si>
    <t xml:space="preserve">Ficha OT 2547 (20 camisetas Pro masculinas). Metros: la ficha dice 1,9; la receta anterior 1,2 → confirmar.</t>
  </si>
  <si>
    <t xml:space="preserve">15 · FUTMUJV01PRO</t>
  </si>
  <si>
    <t xml:space="preserve">Fútbol, pro, cuello v</t>
  </si>
  <si>
    <t xml:space="preserve">16 · FUTHOMV01PRO</t>
  </si>
  <si>
    <t xml:space="preserve">17 · FUTMUJU02</t>
  </si>
  <si>
    <t xml:space="preserve">Fútbol, raglán, cuello redondo</t>
  </si>
  <si>
    <t xml:space="preserve">Camiseta Futbol Molde 2026 (Raglan)</t>
  </si>
  <si>
    <t xml:space="preserve">18 · FUTHOMU02</t>
  </si>
  <si>
    <t xml:space="preserve">19 · FUTINMUJU02</t>
  </si>
  <si>
    <t xml:space="preserve">Fútbol infantil, raglán, cuello redondo</t>
  </si>
  <si>
    <t xml:space="preserve">20 · FUTINHOMU02</t>
  </si>
  <si>
    <t xml:space="preserve">21 · FUTMUJV02</t>
  </si>
  <si>
    <t xml:space="preserve">Fútbol, raglán, cuello v</t>
  </si>
  <si>
    <t xml:space="preserve">22 · FUTHOMV02</t>
  </si>
  <si>
    <t xml:space="preserve">23 · FUTINMUJV02</t>
  </si>
  <si>
    <t xml:space="preserve">Fútbol infantil, raglán, cuello v</t>
  </si>
  <si>
    <t xml:space="preserve">24 · FUTINHOMV02</t>
  </si>
  <si>
    <t xml:space="preserve">25 · FUTMUJU02PRO</t>
  </si>
  <si>
    <t xml:space="preserve">Fútbol, raglán, pro, cuello redondo</t>
  </si>
  <si>
    <t xml:space="preserve">26 · FUTHOMU02PRO</t>
  </si>
  <si>
    <t xml:space="preserve">27 · FUTMUJV02PRO</t>
  </si>
  <si>
    <t xml:space="preserve">Fútbol, raglán, pro, cuello v</t>
  </si>
  <si>
    <t xml:space="preserve">28 · FUTHOMV02PRO</t>
  </si>
  <si>
    <t xml:space="preserve">29 · BKMUJU03</t>
  </si>
  <si>
    <t xml:space="preserve">Básquetbol, cuello redondo</t>
  </si>
  <si>
    <t xml:space="preserve">Básquetbol</t>
  </si>
  <si>
    <t xml:space="preserve">Camiseta De Basket</t>
  </si>
  <si>
    <t xml:space="preserve">30 · BKHOMU03</t>
  </si>
  <si>
    <t xml:space="preserve">QUICKDRY</t>
  </si>
  <si>
    <t xml:space="preserve">Ficha OT 2425 (17 camisetas básquet). Falta metros impresos.</t>
  </si>
  <si>
    <t xml:space="preserve">31 · BKINMUJU03</t>
  </si>
  <si>
    <t xml:space="preserve">Básquetbol infantil, cuello redondo</t>
  </si>
  <si>
    <t xml:space="preserve">32 · BKINHOMU03</t>
  </si>
  <si>
    <t xml:space="preserve">33 · BKMUJV03</t>
  </si>
  <si>
    <t xml:space="preserve">Básquetbol, cuello v</t>
  </si>
  <si>
    <t xml:space="preserve">34 · BKHOMV03</t>
  </si>
  <si>
    <t xml:space="preserve">35 · BKINMUJV03</t>
  </si>
  <si>
    <t xml:space="preserve">Básquetbol infantil, cuello v</t>
  </si>
  <si>
    <t xml:space="preserve">36 · BKINHOMV03</t>
  </si>
  <si>
    <t xml:space="preserve">37 · BKMUJU03RE</t>
  </si>
  <si>
    <t xml:space="preserve">Básquetbol, reversible, cuello redondo</t>
  </si>
  <si>
    <t xml:space="preserve">Camiseta De Basket Reversible</t>
  </si>
  <si>
    <t xml:space="preserve">38 · BKHOMU03RE</t>
  </si>
  <si>
    <t xml:space="preserve">39 · BKINMUJU03</t>
  </si>
  <si>
    <t xml:space="preserve">Básquetbol infantil, reversible, cuello redondo</t>
  </si>
  <si>
    <t xml:space="preserve">40 · BKINHOMU03RE</t>
  </si>
  <si>
    <t xml:space="preserve">41 · BKMUJU03PRO</t>
  </si>
  <si>
    <t xml:space="preserve">Básquetbol, pro, cuello redondo</t>
  </si>
  <si>
    <t xml:space="preserve">Camiseta De Basket Pro</t>
  </si>
  <si>
    <t xml:space="preserve">42 · BKHOMU03PRO</t>
  </si>
  <si>
    <t xml:space="preserve">43 · BKMUJV03PRO</t>
  </si>
  <si>
    <t xml:space="preserve">Básquetbol, pro, cuello v</t>
  </si>
  <si>
    <t xml:space="preserve">44 · BKHOMV03PRO</t>
  </si>
  <si>
    <t xml:space="preserve">45 · BKSHMUJ</t>
  </si>
  <si>
    <t xml:space="preserve">Short</t>
  </si>
  <si>
    <t xml:space="preserve">Short De Basket</t>
  </si>
  <si>
    <t xml:space="preserve">46 · BK-SH</t>
  </si>
  <si>
    <t xml:space="preserve">Ficha OT 2425 (17 shorts básquet: 2,6 kg). Falta metros impresos.</t>
  </si>
  <si>
    <t xml:space="preserve">47 · BKINSHMUJ</t>
  </si>
  <si>
    <t xml:space="preserve">Básquetbol infantil</t>
  </si>
  <si>
    <t xml:space="preserve">48 · BKINSHHOM</t>
  </si>
  <si>
    <t xml:space="preserve">49 · BKSHMUJRE</t>
  </si>
  <si>
    <t xml:space="preserve">Básquetbol, reversible</t>
  </si>
  <si>
    <t xml:space="preserve">Short De Basket Reversible</t>
  </si>
  <si>
    <t xml:space="preserve">50 · BK-SH</t>
  </si>
  <si>
    <t xml:space="preserve">51 · BKINSHMUJRE</t>
  </si>
  <si>
    <t xml:space="preserve">Básquetbol infantil, reversible</t>
  </si>
  <si>
    <t xml:space="preserve">52 · BKINSHHOMRE</t>
  </si>
  <si>
    <t xml:space="preserve">53 · BKSHMUJPRO</t>
  </si>
  <si>
    <t xml:space="preserve">Básquetbol, pro</t>
  </si>
  <si>
    <t xml:space="preserve">Short De Basket Pro</t>
  </si>
  <si>
    <t xml:space="preserve">54 · BK-SH PRO</t>
  </si>
  <si>
    <t xml:space="preserve">SM-01 · Short Fútbol</t>
  </si>
  <si>
    <t xml:space="preserve">Short de fútbol (sin molde en catálogo)</t>
  </si>
  <si>
    <t xml:space="preserve">Short De Futbol</t>
  </si>
  <si>
    <t xml:space="preserve">Promedio OT 2547 (0,175) y OT 2588 (0,138). Liso = 0 m impresos: confirmar.</t>
  </si>
  <si>
    <t xml:space="preserve">SM-02 · Short Rugby</t>
  </si>
  <si>
    <t xml:space="preserve">Short de rugby (sin molde en catálogo)</t>
  </si>
  <si>
    <t xml:space="preserve">Rugby</t>
  </si>
  <si>
    <t xml:space="preserve">Short De Rugby</t>
  </si>
  <si>
    <t xml:space="preserve">GABARDINA</t>
  </si>
  <si>
    <t xml:space="preserve">Ficha OT 205 (19 shorts).</t>
  </si>
  <si>
    <t xml:space="preserve">SM-03 · Camiseta Running s/m</t>
  </si>
  <si>
    <t xml:space="preserve">Camiseta running sin mangas (sin molde)</t>
  </si>
  <si>
    <t xml:space="preserve">Running</t>
  </si>
  <si>
    <t xml:space="preserve">Camiseta De Running</t>
  </si>
  <si>
    <t xml:space="preserve">5K NACIONAL (running pro)</t>
  </si>
  <si>
    <t xml:space="preserve">Ficha OT 2223 (25 prendas). Metros 1,2 de la receta anterior: confirmar.</t>
  </si>
  <si>
    <t xml:space="preserve">SM-04 · Calza Vóley</t>
  </si>
  <si>
    <t xml:space="preserve">Calza vóley (sin molde)</t>
  </si>
  <si>
    <t xml:space="preserve">Vóley</t>
  </si>
  <si>
    <t xml:space="preserve">Calza</t>
  </si>
  <si>
    <t xml:space="preserve">LYCRA</t>
  </si>
  <si>
    <t xml:space="preserve">Ficha OT 2642 (5 calzas). La Lycra no tiene precio.</t>
  </si>
  <si>
    <t xml:space="preserve">COMPARAR TELAS — mismo molde, distintas telas</t>
  </si>
  <si>
    <t xml:space="preserve">Elige el molde y la(s) tela(s) que quieres probar. Vacío = usa la tela de siempre de la receta. La confección y los metros no cambian: solo cambia el $ de la tela. Úsalo para evaluar la compra de una tela nueva (primero agrégala en "Telas" con su precio y peso por metro).</t>
  </si>
  <si>
    <t xml:space="preserve">Ejemplos cargados: el molde 14 (Pro) con su tela de siempre, con Cire y con Jacquard. Bórralos o cámbialos.</t>
  </si>
  <si>
    <t xml:space="preserve">LO ELIGES TÚ</t>
  </si>
  <si>
    <t xml:space="preserve">RESULTADO</t>
  </si>
  <si>
    <t xml:space="preserve">Tela principal
(a probar)</t>
  </si>
  <si>
    <t xml:space="preserve">Tela 2
(a probar)</t>
  </si>
  <si>
    <t xml:space="preserve">Tela 3
(a probar)</t>
  </si>
  <si>
    <t xml:space="preserve">Extras $
por prenda</t>
  </si>
  <si>
    <t xml:space="preserve">Precio venta
actual neto</t>
  </si>
  <si>
    <t xml:space="preserve">Tela principal
usada</t>
  </si>
  <si>
    <t xml:space="preserve">Tela 2
usada</t>
  </si>
  <si>
    <t xml:space="preserve">Tela 3
usada</t>
  </si>
  <si>
    <t xml:space="preserve">Metros tela
principal</t>
  </si>
  <si>
    <t xml:space="preserve">$ por metro
tela principal</t>
  </si>
  <si>
    <t xml:space="preserve">$ Avíos +
extras</t>
  </si>
  <si>
    <t xml:space="preserve">PRECIO
MÍNIMO</t>
  </si>
  <si>
    <t xml:space="preserve">Margen al
precio actual</t>
  </si>
  <si>
    <t xml:space="preserve">Ganancia $
por prenda</t>
  </si>
  <si>
    <t xml:space="preserve">JACQUARD TECH</t>
  </si>
  <si>
    <t xml:space="preserve">MICROFIBRA</t>
  </si>
  <si>
    <t xml:space="preserve">PRODUCTOS DEL CATÁLOGO — molde + tela = costo de producción</t>
  </si>
  <si>
    <t xml:space="preserve">Cada producto que vendes: su molde y su tela. Vacío en tela = la de siempre del molde. Margen = lo que queda después del costo de producción y de los gastos generales.</t>
  </si>
  <si>
    <t xml:space="preserve">PRODUCTO</t>
  </si>
  <si>
    <t xml:space="preserve">Código</t>
  </si>
  <si>
    <t xml:space="preserve">Producto</t>
  </si>
  <si>
    <t xml:space="preserve">Tipo</t>
  </si>
  <si>
    <t xml:space="preserve">Unid. vendidas
jun–sep</t>
  </si>
  <si>
    <t xml:space="preserve">Tela principal</t>
  </si>
  <si>
    <t xml:space="preserve">Estado</t>
  </si>
  <si>
    <t xml:space="preserve">FUTCSUBMC</t>
  </si>
  <si>
    <t xml:space="preserve">Camiseta Fútbol Playmaker, m/c</t>
  </si>
  <si>
    <t xml:space="preserve">Juego</t>
  </si>
  <si>
    <t xml:space="preserve">Por confirmar</t>
  </si>
  <si>
    <t xml:space="preserve">Molde sugerido: fútbol masculino cuello redondo. Confirmar molde y elegir tela.</t>
  </si>
  <si>
    <t xml:space="preserve">FUTCSUBREDMC</t>
  </si>
  <si>
    <t xml:space="preserve">Camiseta Fútbol Playmaker Cuello Redondo m/c</t>
  </si>
  <si>
    <t xml:space="preserve">Molde sugerido. Elegir tela.</t>
  </si>
  <si>
    <t xml:space="preserve">FUTCSUBPROREDMC</t>
  </si>
  <si>
    <t xml:space="preserve">Camiseta Fútbol Pro Playmaker Cuello Redondo m/c</t>
  </si>
  <si>
    <t xml:space="preserve">Tela de la ficha OT 2547.</t>
  </si>
  <si>
    <t xml:space="preserve">VOLMASC-CSUB-V-MC</t>
  </si>
  <si>
    <t xml:space="preserve">Camiseta Voley fem Playmaker, V m/c</t>
  </si>
  <si>
    <t xml:space="preserve">Sin receta: elige el molde que usa (o crea su receta en "Recetas") y la tela.</t>
  </si>
  <si>
    <t xml:space="preserve">FUTCSUBPROMC</t>
  </si>
  <si>
    <t xml:space="preserve">Camiseta Fútbol Pro Playmaker, m/c</t>
  </si>
  <si>
    <t xml:space="preserve">Molde Pro sugerido. Tela de la ficha OT 2547.</t>
  </si>
  <si>
    <t xml:space="preserve">FUTCSUBMC-V</t>
  </si>
  <si>
    <t xml:space="preserve">Camiseta Fútbol Playmaker, V m/c</t>
  </si>
  <si>
    <t xml:space="preserve">Molde sugerido: cuello V. Elegir tela.</t>
  </si>
  <si>
    <t xml:space="preserve">SALPOLPRESLISA</t>
  </si>
  <si>
    <t xml:space="preserve">Polera de Presentación Lisa</t>
  </si>
  <si>
    <t xml:space="preserve">Salida</t>
  </si>
  <si>
    <t xml:space="preserve">CSUBRUGSFROSA</t>
  </si>
  <si>
    <t xml:space="preserve">CAMISETA DE RUGBY STADE FRANCAIS ANIVERSARIO (ROSADA)</t>
  </si>
  <si>
    <t xml:space="preserve">SAL-PLA-SUB-MC</t>
  </si>
  <si>
    <t xml:space="preserve">Polera de presentación Sublim m/c</t>
  </si>
  <si>
    <t xml:space="preserve">POL-CSUB-POL-MC</t>
  </si>
  <si>
    <t xml:space="preserve">Polera Playmaker, Cuello Redondo m/c</t>
  </si>
  <si>
    <t xml:space="preserve">RUGCSUBPRO</t>
  </si>
  <si>
    <t xml:space="preserve">Camiseta Rugby Pro Pmk</t>
  </si>
  <si>
    <t xml:space="preserve">MDBZCOMENTPITSUB</t>
  </si>
  <si>
    <t xml:space="preserve">Conjunto Polerón de Entrenamiento + Buzo Pitillo Subl</t>
  </si>
  <si>
    <t xml:space="preserve">FUTCSUBPROPIQMC</t>
  </si>
  <si>
    <t xml:space="preserve">Camiseta Fútbol Pro Playmaker, Piqué m/c</t>
  </si>
  <si>
    <t xml:space="preserve">RUNCSUBPROSM</t>
  </si>
  <si>
    <t xml:space="preserve">Camiseta Running Pro s/m</t>
  </si>
  <si>
    <t xml:space="preserve">SAL-CTV-SUB-SG</t>
  </si>
  <si>
    <t xml:space="preserve">CORTAVIENTO SUBLIMADO</t>
  </si>
  <si>
    <t xml:space="preserve">RUG-SHO-BAS</t>
  </si>
  <si>
    <t xml:space="preserve">Short Rugby Basic</t>
  </si>
  <si>
    <t xml:space="preserve">SALPTPESUB</t>
  </si>
  <si>
    <t xml:space="preserve">Conjunto Polerón de Entrenamiento + Pitillo</t>
  </si>
  <si>
    <t xml:space="preserve">FUTSHOLIS</t>
  </si>
  <si>
    <t xml:space="preserve">Short Fútbol Playmaker Liso</t>
  </si>
  <si>
    <t xml:space="preserve">El short de fútbol aún no tiene molde en el catálogo.</t>
  </si>
  <si>
    <t xml:space="preserve">VOLFEMCSUBPROV</t>
  </si>
  <si>
    <t xml:space="preserve">Camiseta Voley fem Pro Playmaker, V</t>
  </si>
  <si>
    <t xml:space="preserve">MDPTSUB</t>
  </si>
  <si>
    <t xml:space="preserve">PETO ENTRENAMIENTO SUB</t>
  </si>
  <si>
    <t xml:space="preserve">MDCSUBOVA</t>
  </si>
  <si>
    <t xml:space="preserve">Polera Playmaker, Cuello Oval s/mangas</t>
  </si>
  <si>
    <t xml:space="preserve">SALHOOLIS</t>
  </si>
  <si>
    <t xml:space="preserve">Polerón Hoodie Playmaker liso</t>
  </si>
  <si>
    <t xml:space="preserve">CSUBRUGSFBLANCA</t>
  </si>
  <si>
    <t xml:space="preserve">CAMISETA DE RUGBY STADE FRANCAIS ANIVERSARIO (BLANCA)</t>
  </si>
  <si>
    <t xml:space="preserve">SAL-POL-3C</t>
  </si>
  <si>
    <t xml:space="preserve">Polerón 3C Playmaker Algodón Cierre</t>
  </si>
  <si>
    <t xml:space="preserve">VOLMASC-CSUB-POL-CER</t>
  </si>
  <si>
    <t xml:space="preserve">Camiseta Voley masc Playmaker, Polo m/cero</t>
  </si>
  <si>
    <t xml:space="preserve">SALPRKLIS</t>
  </si>
  <si>
    <t xml:space="preserve">Parka Lisa Playmaker</t>
  </si>
  <si>
    <t xml:space="preserve">RUG-SHO-PRO</t>
  </si>
  <si>
    <t xml:space="preserve">Short Rugby Pro</t>
  </si>
  <si>
    <t xml:space="preserve">Pro puede gastar distinto: confirmar.</t>
  </si>
  <si>
    <t xml:space="preserve">SAL-POL-SUB</t>
  </si>
  <si>
    <t xml:space="preserve">Polerón Entrenamiento Sublim</t>
  </si>
  <si>
    <t xml:space="preserve">RUGCSUBPER</t>
  </si>
  <si>
    <t xml:space="preserve">Camiseta Rugby Performance Pmk</t>
  </si>
  <si>
    <t xml:space="preserve">FUTCSUBML</t>
  </si>
  <si>
    <t xml:space="preserve">Camiseta Fútbol Playmaker, m/l</t>
  </si>
  <si>
    <t xml:space="preserve">Manga larga: suma su costo extra en "Extras". Elegir tela.</t>
  </si>
  <si>
    <t xml:space="preserve">SALALMLLISA</t>
  </si>
  <si>
    <t xml:space="preserve">Camiseta Algodón Manga Larga Lisa</t>
  </si>
  <si>
    <t xml:space="preserve">RUG-CSUB-PIQ</t>
  </si>
  <si>
    <t xml:space="preserve">Camiseta Rugby Playmaker, Vintage</t>
  </si>
  <si>
    <t xml:space="preserve">VOL-CSUB-SAL-MC</t>
  </si>
  <si>
    <t xml:space="preserve">Camiseta Salida de Cancha Voley m/c</t>
  </si>
  <si>
    <t xml:space="preserve">CSUBVOLFEMVSM</t>
  </si>
  <si>
    <t xml:space="preserve">CAMISETA VOLEY FEM V  S/M PLAYMAKER</t>
  </si>
  <si>
    <t xml:space="preserve">RUG-CSUB-LIC</t>
  </si>
  <si>
    <t xml:space="preserve">Camiseta Rugby Playmaker, Low Profile</t>
  </si>
  <si>
    <t xml:space="preserve">RUNCSUBPROMC</t>
  </si>
  <si>
    <t xml:space="preserve">Camiseta Running Pro m/c</t>
  </si>
  <si>
    <t xml:space="preserve">SAL-SHO-SUB</t>
  </si>
  <si>
    <t xml:space="preserve">SHORT SALIDA SUB</t>
  </si>
  <si>
    <t xml:space="preserve">FUTCSUBPIQMC</t>
  </si>
  <si>
    <t xml:space="preserve">Camiseta Fútbol Playmaker, Piqué m/c</t>
  </si>
  <si>
    <t xml:space="preserve">¿Piqué = cuello camisero? Confirmar molde y tela.</t>
  </si>
  <si>
    <t xml:space="preserve">FUTCSUBPROMC-V</t>
  </si>
  <si>
    <t xml:space="preserve">Camiseta Fútbol Pro Playmaker, V m/c</t>
  </si>
  <si>
    <t xml:space="preserve">Molde Pro cuello V. Tela como la Pro cuello redondo: confirmar.</t>
  </si>
  <si>
    <t xml:space="preserve">BASCSUBPER</t>
  </si>
  <si>
    <t xml:space="preserve">Camiseta Básquetbol Performance</t>
  </si>
  <si>
    <t xml:space="preserve">Molde sugerido: básquet masculino cuello redondo.</t>
  </si>
  <si>
    <t xml:space="preserve">VOL-SHO-SUB</t>
  </si>
  <si>
    <t xml:space="preserve">Short Fútbol Playmaker Sublimado</t>
  </si>
  <si>
    <t xml:space="preserve">Short sublimado: completar metros impresos en su receta.</t>
  </si>
  <si>
    <t xml:space="preserve">VOLFEM-CSUBPRO-POL</t>
  </si>
  <si>
    <t xml:space="preserve">Camiseta Voley fem Pro Playmaker, Polo</t>
  </si>
  <si>
    <t xml:space="preserve">CSUBRUGSFBLAZUL</t>
  </si>
  <si>
    <t xml:space="preserve">CAMISETA DE RUGBY STADE FRANCAIS ANIVERSARIO (AZUL)</t>
  </si>
  <si>
    <t xml:space="preserve">MDPTLIS</t>
  </si>
  <si>
    <t xml:space="preserve">PETO ENTRENAMIENTO LISO</t>
  </si>
  <si>
    <t xml:space="preserve">RUNCSUBPERSM</t>
  </si>
  <si>
    <t xml:space="preserve">Camiseta Running Performance s/m</t>
  </si>
  <si>
    <t xml:space="preserve">SAL-BUZ-LIS-RT</t>
  </si>
  <si>
    <t xml:space="preserve">Pantalón Buzo Playmaker Liso Recto</t>
  </si>
  <si>
    <t xml:space="preserve">SAL-BUZ-LIS</t>
  </si>
  <si>
    <t xml:space="preserve">Pantalón Buzo Playmaker Liso Pitillo</t>
  </si>
  <si>
    <t xml:space="preserve">RUNCSUBPERMC</t>
  </si>
  <si>
    <t xml:space="preserve">Camiseta Running Performance m/c</t>
  </si>
  <si>
    <t xml:space="preserve">HCKCSUBOVA</t>
  </si>
  <si>
    <t xml:space="preserve">Camiseta Hockey Playmaker, Cuello Ova s/mangas</t>
  </si>
  <si>
    <t xml:space="preserve">HCK-FAL-LIS</t>
  </si>
  <si>
    <t xml:space="preserve">Falda Short Hockey Playmaker lisa</t>
  </si>
  <si>
    <t xml:space="preserve">MDCALLARPMK</t>
  </si>
  <si>
    <t xml:space="preserve">Calza larga fem Playmaker</t>
  </si>
  <si>
    <t xml:space="preserve">SAL-HOO-APSUB</t>
  </si>
  <si>
    <t xml:space="preserve">Polerón Hoodie Aplicación Sublim</t>
  </si>
  <si>
    <t xml:space="preserve">SAL-POL-BAS</t>
  </si>
  <si>
    <t xml:space="preserve">POLERON BASIC</t>
  </si>
  <si>
    <t xml:space="preserve">CSUBVMC</t>
  </si>
  <si>
    <t xml:space="preserve">Polera Playmaker, Subl V m/c</t>
  </si>
  <si>
    <t xml:space="preserve">BAS-CSUB-SAL-ML</t>
  </si>
  <si>
    <t xml:space="preserve">Camiseta Salida de Cancha Básquetbol m/l</t>
  </si>
  <si>
    <t xml:space="preserve">VOLMASC-CSUB-POL-MC</t>
  </si>
  <si>
    <t xml:space="preserve">Camiseta Voley masc Playmaker, Polo m/c</t>
  </si>
  <si>
    <t xml:space="preserve">ENTPOLMANSUBL</t>
  </si>
  <si>
    <t xml:space="preserve">Polerón de Entrenamiento Mangas Sublimadas</t>
  </si>
  <si>
    <t xml:space="preserve">POL-CSUB-POL-ML</t>
  </si>
  <si>
    <t xml:space="preserve">Polera Playmaker, Cuello Redondo m/l</t>
  </si>
  <si>
    <t xml:space="preserve">RUGCSUSILV</t>
  </si>
  <si>
    <t xml:space="preserve">Camiseta Rugby Silver Pmk</t>
  </si>
  <si>
    <t xml:space="preserve">SALPLASUB</t>
  </si>
  <si>
    <t xml:space="preserve">Polera de Presentación Sublim m/l</t>
  </si>
  <si>
    <t xml:space="preserve">VOLFEMCSUBPOL</t>
  </si>
  <si>
    <t xml:space="preserve">Camiseta Voley fem Playmaker, Polo</t>
  </si>
  <si>
    <t xml:space="preserve">POLENTSUB</t>
  </si>
  <si>
    <t xml:space="preserve">POLERON  DE ENTRENAMIENTO SUBLIMADO MEDIO CIERRE</t>
  </si>
  <si>
    <t xml:space="preserve">POL-CSUB-V-MC</t>
  </si>
  <si>
    <t xml:space="preserve">Polera Playmaker, V m/c</t>
  </si>
  <si>
    <t xml:space="preserve">RUGCSUBENTMC</t>
  </si>
  <si>
    <t xml:space="preserve">Camiseta de entrenamiento Rugby,m/c</t>
  </si>
  <si>
    <t xml:space="preserve">MDCALCORPMK</t>
  </si>
  <si>
    <t xml:space="preserve">Calza corta fem Playmaker</t>
  </si>
  <si>
    <t xml:space="preserve">SAL-SHO-LIS</t>
  </si>
  <si>
    <t xml:space="preserve">Short Salida con bolsillos</t>
  </si>
  <si>
    <t xml:space="preserve">ENT-POL-MANSUBL</t>
  </si>
  <si>
    <t xml:space="preserve">POLERON DE ENTRENAMIENTO  MANGAS SUBLIMADAS MASC</t>
  </si>
  <si>
    <t xml:space="preserve">VOLMASC-CSUB-V-CER</t>
  </si>
  <si>
    <t xml:space="preserve">Camiseta Voley masc Playmaker, V m/cero</t>
  </si>
  <si>
    <t xml:space="preserve">SAL-POL-MGSUB</t>
  </si>
  <si>
    <t xml:space="preserve">Polerón Entrenamiento liso con mangas Sublim</t>
  </si>
  <si>
    <t xml:space="preserve">VOLMASC-CSUBPRO-V-MC</t>
  </si>
  <si>
    <t xml:space="preserve">Camiseta Voley masc Pro Playmaker, V m/c</t>
  </si>
  <si>
    <t xml:space="preserve">RUG-CSUB-POL</t>
  </si>
  <si>
    <t xml:space="preserve">Camiseta Rugby Playmaker, Polo</t>
  </si>
  <si>
    <t xml:space="preserve">LZO-2</t>
  </si>
  <si>
    <t xml:space="preserve">Lienzo 1.5x2</t>
  </si>
  <si>
    <t xml:space="preserve">FUTJINSUB</t>
  </si>
  <si>
    <t xml:space="preserve">Jineta de Capitán Subl</t>
  </si>
  <si>
    <t xml:space="preserve">SAL-POL-ALG-LIS</t>
  </si>
  <si>
    <t xml:space="preserve">POLERÓN ALGODÓN CON CAPUCHA PMK</t>
  </si>
  <si>
    <t xml:space="preserve">DESPIECE POR MOLDE — qué piezas lleva y en qué tela va cada una</t>
  </si>
  <si>
    <t xml:space="preserve">Cambia el "Grupo de tela" de una pieza para moverla a otra tela (ej: mangas en Tela 2). Metros por prenda: de la marcada/tizado o midiendo. El consumo no depende de la tela: el mismo molde gasta los mismos metros con cualquier tela.</t>
  </si>
  <si>
    <t xml:space="preserve">Piezas sugeridas según el tipo de molde: revisa, agrega o borra filas. Para agregar un molde nuevo, escribe su nombre igual que en Recetas.</t>
  </si>
  <si>
    <t xml:space="preserve">Cantidad
por prenda</t>
  </si>
  <si>
    <t xml:space="preserve">Metros por prenda
(todas las piezas de la fila)</t>
  </si>
  <si>
    <t xml:space="preserve">Nota</t>
  </si>
  <si>
    <t xml:space="preserve">Clave
(no tocar)</t>
  </si>
  <si>
    <t xml:space="preserve">Delantero</t>
  </si>
  <si>
    <t xml:space="preserve">Sublimada</t>
  </si>
  <si>
    <t xml:space="preserve">Espalda</t>
  </si>
  <si>
    <t xml:space="preserve">Manga</t>
  </si>
  <si>
    <t xml:space="preserve">Tira de cuello</t>
  </si>
  <si>
    <t xml:space="preserve">Tapeta</t>
  </si>
  <si>
    <t xml:space="preserve">Paneles laterales</t>
  </si>
  <si>
    <t xml:space="preserve">Manga raglán</t>
  </si>
  <si>
    <t xml:space="preserve">Ribete cuello y sisas</t>
  </si>
  <si>
    <t xml:space="preserve">Delantero cara A</t>
  </si>
  <si>
    <t xml:space="preserve">Espalda cara A</t>
  </si>
  <si>
    <t xml:space="preserve">Delantero cara B</t>
  </si>
  <si>
    <t xml:space="preserve">Espalda cara B</t>
  </si>
  <si>
    <t xml:space="preserve">Trasero</t>
  </si>
  <si>
    <t xml:space="preserve">Pretina</t>
  </si>
  <si>
    <t xml:space="preserve">Trasero cara A</t>
  </si>
  <si>
    <t xml:space="preserve">Pretina cara A</t>
  </si>
  <si>
    <t xml:space="preserve">Trasero cara B</t>
  </si>
  <si>
    <t xml:space="preserve">Pretina cara B</t>
  </si>
  <si>
    <t xml:space="preserve">Color de tela</t>
  </si>
  <si>
    <t xml:space="preserve">Pierna</t>
  </si>
  <si>
    <t xml:space="preserve">CONSUMO REAL — lo que gastó cada corte</t>
  </si>
  <si>
    <t xml:space="preserve">Después de cortar: cuánta tela se usó y cuántas prendas salieron. Se convierte solo a metros por prenda. Cada molde usa el PROMEDIO de sus mediciones (ya incluye la merma real).</t>
  </si>
  <si>
    <t xml:space="preserve">Fecha</t>
  </si>
  <si>
    <t xml:space="preserve">OT / ficha</t>
  </si>
  <si>
    <t xml:space="preserve">Tela cortada</t>
  </si>
  <si>
    <t xml:space="preserve">Prendas
cortadas</t>
  </si>
  <si>
    <t xml:space="preserve">Kg usados
(total)</t>
  </si>
  <si>
    <t xml:space="preserve">o Metros usados
(total)</t>
  </si>
  <si>
    <t xml:space="preserve">o Kg por prenda
(si ya lo tienes)</t>
  </si>
  <si>
    <t xml:space="preserve">Peso de 1 m
de esa tela</t>
  </si>
  <si>
    <t xml:space="preserve">METROS POR
PRENDA</t>
  </si>
  <si>
    <t xml:space="preserve">OT 2369</t>
  </si>
  <si>
    <t xml:space="preserve">Traído del v6 (ficha de corte).</t>
  </si>
  <si>
    <t xml:space="preserve">OT 2257</t>
  </si>
  <si>
    <t xml:space="preserve">OT 2547</t>
  </si>
  <si>
    <t xml:space="preserve">OT 2425</t>
  </si>
  <si>
    <t xml:space="preserve">OT 2588</t>
  </si>
  <si>
    <t xml:space="preserve">OT 205</t>
  </si>
  <si>
    <t xml:space="preserve">OT 2223</t>
  </si>
  <si>
    <t xml:space="preserve">OT 2642</t>
  </si>
  <si>
    <t xml:space="preserve">TELAS — precio y peso por metro (todo neto, sin IVA)</t>
  </si>
  <si>
    <t xml:space="preserve">Se compra por kg y se consume por metro. Corta 1 metro (ancho completo) y pésalo: con ese PESO POR METRO, el $ por metro = $/kg × kg por metro. Escribe el precio neto, o el de la factura con IVA y se descuenta solo.</t>
  </si>
  <si>
    <t xml:space="preserve">Tela</t>
  </si>
  <si>
    <t xml:space="preserve">Tipo
(Nacional / Pro / Importada)</t>
  </si>
  <si>
    <t xml:space="preserve">Proveedor</t>
  </si>
  <si>
    <t xml:space="preserve">Precio $/kg
NETO</t>
  </si>
  <si>
    <t xml:space="preserve">o Precio $/kg
CON IVA (factura)</t>
  </si>
  <si>
    <t xml:space="preserve">Precio neto
usado ($/kg)</t>
  </si>
  <si>
    <t xml:space="preserve">Peso de 1 metro
(kg por metro)</t>
  </si>
  <si>
    <t xml:space="preserve">Ancho (m)</t>
  </si>
  <si>
    <t xml:space="preserve">$ por metro
(neto)</t>
  </si>
  <si>
    <t xml:space="preserve">Rinde
(metros por kg)</t>
  </si>
  <si>
    <t xml:space="preserve">Pro</t>
  </si>
  <si>
    <t xml:space="preserve">Convertido del archivo original (5,08 m/kg). Confirmar pesando 1 metro.</t>
  </si>
  <si>
    <t xml:space="preserve">LONDRES BLANCO</t>
  </si>
  <si>
    <t xml:space="preserve">Falta el peso: corta 1 metro (ancho completo) y pésalo en kg.</t>
  </si>
  <si>
    <t xml:space="preserve">CIRE AZUL</t>
  </si>
  <si>
    <t xml:space="preserve">FRANELA</t>
  </si>
  <si>
    <t xml:space="preserve">PIQUE SELECCION</t>
  </si>
  <si>
    <t xml:space="preserve">CIRE MICROFIBRA AZUL REY</t>
  </si>
  <si>
    <t xml:space="preserve">SCUBA</t>
  </si>
  <si>
    <t xml:space="preserve">GLOBAL</t>
  </si>
  <si>
    <t xml:space="preserve">PIQUE RUGBY</t>
  </si>
  <si>
    <t xml:space="preserve">CORDERITO</t>
  </si>
  <si>
    <t xml:space="preserve">MICROFIBRA CIRE COLORES</t>
  </si>
  <si>
    <t xml:space="preserve">BASQUET BLANCO</t>
  </si>
  <si>
    <t xml:space="preserve">PIQUE TENIS BLANCO</t>
  </si>
  <si>
    <t xml:space="preserve">DEPORTIVO COLOR</t>
  </si>
  <si>
    <t xml:space="preserve">GABARDINA 8Z</t>
  </si>
  <si>
    <t xml:space="preserve">FRANELA POLIESTER</t>
  </si>
  <si>
    <t xml:space="preserve">GABARDINA 7Z</t>
  </si>
  <si>
    <t xml:space="preserve">FALCAO</t>
  </si>
  <si>
    <t xml:space="preserve">RUGBY IRLANDA</t>
  </si>
  <si>
    <t xml:space="preserve">LYCRA GRIS OSCURA</t>
  </si>
  <si>
    <t xml:space="preserve">COTTON</t>
  </si>
  <si>
    <t xml:space="preserve">Convertido del archivo original (5,06 m/kg). Confirmar pesando 1 metro.</t>
  </si>
  <si>
    <t xml:space="preserve">Convertido del archivo original (4,3 m/kg). Confirmar pesando 1 metro.</t>
  </si>
  <si>
    <t xml:space="preserve">JACQUARD BYTES</t>
  </si>
  <si>
    <t xml:space="preserve">Convertido del archivo original (3,94 m/kg). Confirmar pesando 1 metro.</t>
  </si>
  <si>
    <t xml:space="preserve">SIN PRECIO</t>
  </si>
  <si>
    <t xml:space="preserve">MALLA DEPORTIVA BLANCO</t>
  </si>
  <si>
    <t xml:space="preserve">Falta el peso: corta 1 metro (ancho completo) y pésalo en kg. Estaba en avíos, pero se compra por kg como tela.</t>
  </si>
  <si>
    <t xml:space="preserve">NOVAK</t>
  </si>
  <si>
    <t xml:space="preserve">THERMAFLEECE</t>
  </si>
  <si>
    <t xml:space="preserve">CONFECCIÓN — lo que cobra el taller por prenda (a trato)</t>
  </si>
  <si>
    <t xml:space="preserve">No depende de la tela: el taller cobra lo mismo con cualquier tela. Talleres con factura (Paola): precio SIN IVA. Talleres con boleta de honorarios (Sandra, Jacqueline, Sonia, Antonella): monto completo de la boleta.</t>
  </si>
  <si>
    <t xml:space="preserve">Tipo de prenda</t>
  </si>
  <si>
    <t xml:space="preserve">Valor con planchado ($)</t>
  </si>
  <si>
    <t xml:space="preserve">Sin planchado (ref.)</t>
  </si>
  <si>
    <t xml:space="preserve">Camiseta De Futbol Retro</t>
  </si>
  <si>
    <t xml:space="preserve">Camiseta De Rugby Básica</t>
  </si>
  <si>
    <t xml:space="preserve">Camiseta De Rugby Lycra</t>
  </si>
  <si>
    <t xml:space="preserve">Ojo: sin planchado sale MÁS caro que con planchado. Revisar.</t>
  </si>
  <si>
    <t xml:space="preserve">Camiseta Futbol Fem Santiago Morning</t>
  </si>
  <si>
    <t xml:space="preserve">Short Fem Con Tajali</t>
  </si>
  <si>
    <t xml:space="preserve">Camiseta De Hockey</t>
  </si>
  <si>
    <t xml:space="preserve">Camiseta De Hockey Franja</t>
  </si>
  <si>
    <t xml:space="preserve">Calza-Falda</t>
  </si>
  <si>
    <t xml:space="preserve">Pantalon Pitillo</t>
  </si>
  <si>
    <t xml:space="preserve">Poleron Entrenamiento Raglan</t>
  </si>
  <si>
    <t xml:space="preserve">Short De Salida</t>
  </si>
  <si>
    <t xml:space="preserve">Peto Entrenamiento</t>
  </si>
  <si>
    <t xml:space="preserve">Pantalon No Pitillo</t>
  </si>
  <si>
    <t xml:space="preserve">Camiseta Running Con Manga</t>
  </si>
  <si>
    <t xml:space="preserve">Camiseta De Salida Con Hojal Y Boton</t>
  </si>
  <si>
    <t xml:space="preserve">Camiseta De Salida Sin Hojal Ni Boton</t>
  </si>
  <si>
    <t xml:space="preserve">Camiseta De Salida Con Cuello Y Puño Tejido Con Boton</t>
  </si>
  <si>
    <t xml:space="preserve">Camiseta De Salida Con Cuello Y Puño Tejido Sin Boton</t>
  </si>
  <si>
    <t xml:space="preserve">Camiseta Kimono</t>
  </si>
  <si>
    <t xml:space="preserve">Camiseta Voley</t>
  </si>
  <si>
    <t xml:space="preserve">Calza Larga</t>
  </si>
  <si>
    <t xml:space="preserve">Lienzo</t>
  </si>
  <si>
    <t xml:space="preserve">Camiseta Retro</t>
  </si>
  <si>
    <t xml:space="preserve">Multideporte</t>
  </si>
  <si>
    <t xml:space="preserve">Poleron Polo</t>
  </si>
  <si>
    <t xml:space="preserve">Parka Larga 2025</t>
  </si>
  <si>
    <t xml:space="preserve">Camiseta Rugby Con Cuello</t>
  </si>
  <si>
    <t xml:space="preserve">Poleron Oversize 3C</t>
  </si>
  <si>
    <t xml:space="preserve">Cortaviento Con Capucha</t>
  </si>
  <si>
    <t xml:space="preserve">Cortaviento Sin Capucha</t>
  </si>
  <si>
    <t xml:space="preserve">Poleron Hoodie</t>
  </si>
  <si>
    <t xml:space="preserve">Poleron Hoodie Corte Mangas</t>
  </si>
  <si>
    <t xml:space="preserve">Bolso</t>
  </si>
  <si>
    <t xml:space="preserve">Colett</t>
  </si>
  <si>
    <t xml:space="preserve">AVÍOS — precio neto por unidad</t>
  </si>
  <si>
    <t xml:space="preserve">Cuellos y puños tejidos, cierres, elásticos, etiquetas…</t>
  </si>
  <si>
    <t xml:space="preserve">Avío</t>
  </si>
  <si>
    <t xml:space="preserve">Unidad</t>
  </si>
  <si>
    <t xml:space="preserve">Precio neto ($)</t>
  </si>
  <si>
    <t xml:space="preserve">Cuello</t>
  </si>
  <si>
    <t xml:space="preserve">unidad</t>
  </si>
  <si>
    <t xml:space="preserve">Precio "estimado" en el archivo original.</t>
  </si>
  <si>
    <t xml:space="preserve">Puño</t>
  </si>
  <si>
    <t xml:space="preserve">$8.500 por unidad parece alto: ¿es por kg?</t>
  </si>
  <si>
    <t xml:space="preserve">Tapacuello</t>
  </si>
  <si>
    <t xml:space="preserve">Hilo</t>
  </si>
  <si>
    <t xml:space="preserve">Etiqueta</t>
  </si>
  <si>
    <t xml:space="preserve">Cierre</t>
  </si>
  <si>
    <t xml:space="preserve">Cordón</t>
  </si>
  <si>
    <t xml:space="preserve">Elástico</t>
  </si>
  <si>
    <t xml:space="preserve">Forro</t>
  </si>
  <si>
    <t xml:space="preserve">Cremallera bolsillo</t>
  </si>
  <si>
    <t xml:space="preserve">PARÁMETROS — recargo de gastos generales, meta de ganancia, impresión y merma</t>
  </si>
  <si>
    <t xml:space="preserve">Azul = lo escribes tú. Gris = se calcula solo.</t>
  </si>
  <si>
    <t xml:space="preserve">1) GASTOS GENERALES (% del precio de venta) — vienen del sistema de ventas</t>
  </si>
  <si>
    <t xml:space="preserve">Recargo de fábrica</t>
  </si>
  <si>
    <t xml:space="preserve">Promedio jul–sep 2026 (PMK_Gastos_Clasificados → Resumen_mensual). Revisar cada trimestre.</t>
  </si>
  <si>
    <t xml:space="preserve">Recargo comercial</t>
  </si>
  <si>
    <t xml:space="preserve">Ídem.</t>
  </si>
  <si>
    <t xml:space="preserve">Recargo de administración</t>
  </si>
  <si>
    <t xml:space="preserve">RECARGO TOTAL</t>
  </si>
  <si>
    <t xml:space="preserve">De cada $100 que vendes, esto se va en gastos generales. La receta NO los incluye: solo se usan aquí para el precio de referencia.</t>
  </si>
  <si>
    <t xml:space="preserve">2) META DE GANANCIA</t>
  </si>
  <si>
    <t xml:space="preserve">Ganancia deseada (% del precio de venta)</t>
  </si>
  <si>
    <t xml:space="preserve">POR CONFIRMAR: define tu meta.</t>
  </si>
  <si>
    <t xml:space="preserve">Multiplicador sobre el costo de producción</t>
  </si>
  <si>
    <t xml:space="preserve">Precio mínimo = costo de producción ÷ (1 − recargo − meta). Ej: 2,4× quiere decir que una prenda que cuesta $5.000 producir se vende a $12.000 o más.</t>
  </si>
  <si>
    <t xml:space="preserve">3) IMPRESIÓN (papel + tinta) por metro impreso</t>
  </si>
  <si>
    <t xml:space="preserve">Papel sublimación — precio del rollo, neto ($)</t>
  </si>
  <si>
    <t xml:space="preserve">POR CONFIRMAR: venía como "$50.420 por kg". ¿Es el precio del rollo?</t>
  </si>
  <si>
    <t xml:space="preserve">Papel — metros que rinde el rollo</t>
  </si>
  <si>
    <t xml:space="preserve">PENDIENTE: ¿cuántos metros trae el rollo?</t>
  </si>
  <si>
    <t xml:space="preserve">Tinta — precio por litro, neto ($)</t>
  </si>
  <si>
    <t xml:space="preserve">POR CONFIRMAR.</t>
  </si>
  <si>
    <t xml:space="preserve">Tinta — ml que gasta 1 metro impreso</t>
  </si>
  <si>
    <t xml:space="preserve">PENDIENTE: litros del mes ÷ metros impresos (Control de Ploteo) × 1000.</t>
  </si>
  <si>
    <t xml:space="preserve">COSTO DE IMPRESIÓN POR METRO</t>
  </si>
  <si>
    <t xml:space="preserve">Mientras esté en $0, las prendas sublimadas salen más baratas de lo real.</t>
  </si>
  <si>
    <t xml:space="preserve">4) MERMA (solo cuando el consumo sale del despiece)</t>
  </si>
  <si>
    <t xml:space="preserve">Merma sobre el despiece</t>
  </si>
  <si>
    <t xml:space="preserve">POR DEFINIR: tela que se pierde en cabezales, fallas y orillas. El consumo MEDIDO en un corte real ya la incluye, por eso ahí no se suma.</t>
  </si>
  <si>
    <t xml:space="preserve">5) QUÉ VA Y QUÉ NO VA EN LA RECETA</t>
  </si>
  <si>
    <t xml:space="preserve">La receta es solo el COSTO DE PRODUCCIÓN de una prenda: tela, papel y tinta, confección (taller a trato) y avíos. Todo NETO, sin IVA.
NO lleva sueldos (corte, ploteo, sublimación, estampado, diseño), arriendo, luz, ventas, marketing ni administración: esos llegan por el % de gastos generales del sistema de ventas. Si se pusieran también aquí, se cobrarían dos veces.</t>
  </si>
  <si>
    <t xml:space="preserve">CATÁLOGO — qué productos ya tienen costo completo</t>
  </si>
  <si>
    <t xml:space="preserve">Todos los productos vendidos jun–sep 2026, de mayor a menor unidades.</t>
  </si>
  <si>
    <t xml:space="preserve">Unidades vendidas</t>
  </si>
  <si>
    <t xml:space="preserve">Precio real prom. ($)</t>
  </si>
  <si>
    <t xml:space="preserve">DUODIAFUTB</t>
  </si>
  <si>
    <t xml:space="preserve">Dúo Pack Diamante Fútbol</t>
  </si>
  <si>
    <t xml:space="preserve">KIT/DÚO</t>
  </si>
  <si>
    <t xml:space="preserve">ESCDTF10</t>
  </si>
  <si>
    <t xml:space="preserve">Escudo en DTF10cm</t>
  </si>
  <si>
    <t xml:space="preserve">ADICIONAL</t>
  </si>
  <si>
    <t xml:space="preserve">KITOROFUTB</t>
  </si>
  <si>
    <t xml:space="preserve">Kit Oro Fútbol</t>
  </si>
  <si>
    <t xml:space="preserve">ESCTEX10</t>
  </si>
  <si>
    <t xml:space="preserve">Escudo Texturizado10cm</t>
  </si>
  <si>
    <t xml:space="preserve">MEDPROPERCP</t>
  </si>
  <si>
    <t xml:space="preserve">Medias Pro Personalizadas PMK</t>
  </si>
  <si>
    <t xml:space="preserve">EXTERNO/REVENTA</t>
  </si>
  <si>
    <t xml:space="preserve">ESC-PRO-10CM</t>
  </si>
  <si>
    <t xml:space="preserve">ESCUDO PRO 10CM</t>
  </si>
  <si>
    <t xml:space="preserve">JUEGO/COMPETENCIA</t>
  </si>
  <si>
    <t xml:space="preserve">EXT-CUE-PIQ</t>
  </si>
  <si>
    <t xml:space="preserve">EXTRA CUELLO PIQUÉ</t>
  </si>
  <si>
    <t xml:space="preserve">KITDIAFUTB</t>
  </si>
  <si>
    <t xml:space="preserve">Kit Diamante Fútbol</t>
  </si>
  <si>
    <t xml:space="preserve">EXT-CUE-V</t>
  </si>
  <si>
    <t xml:space="preserve">Extra Cuello V</t>
  </si>
  <si>
    <t xml:space="preserve">EXTPRIORI</t>
  </si>
  <si>
    <t xml:space="preserve">Priorizado</t>
  </si>
  <si>
    <t xml:space="preserve">SALIDA/PRESENTACIÓN</t>
  </si>
  <si>
    <t xml:space="preserve">DUOORFUTB</t>
  </si>
  <si>
    <t xml:space="preserve">Dúo Pack Oro Fútbol</t>
  </si>
  <si>
    <t xml:space="preserve">DUOORBASK</t>
  </si>
  <si>
    <t xml:space="preserve">Dúo Pack Oro Básket</t>
  </si>
  <si>
    <t xml:space="preserve">EXTCUEPIQ</t>
  </si>
  <si>
    <t xml:space="preserve">Extra Cuello Piqué</t>
  </si>
  <si>
    <t xml:space="preserve">ESC-DTF-10CM</t>
  </si>
  <si>
    <t xml:space="preserve">ESCUDO COLORES 10CM</t>
  </si>
  <si>
    <t xml:space="preserve">EXT-ML</t>
  </si>
  <si>
    <t xml:space="preserve">EXTRA MANGA LARGA</t>
  </si>
  <si>
    <t xml:space="preserve">DUOPLFUTB</t>
  </si>
  <si>
    <t xml:space="preserve">Dúo Pack Plata Fútbol</t>
  </si>
  <si>
    <t xml:space="preserve">ESCDTF20</t>
  </si>
  <si>
    <t xml:space="preserve">Escudo en DTF 20cm</t>
  </si>
  <si>
    <t xml:space="preserve">DUOPLABASKREV</t>
  </si>
  <si>
    <t xml:space="preserve">DÚO PACK PLATA BASKET REVERSIBLE</t>
  </si>
  <si>
    <t xml:space="preserve">DUODIAHOCKFEM</t>
  </si>
  <si>
    <t xml:space="preserve">Dúo Pack Diamante Hockey Fem</t>
  </si>
  <si>
    <t xml:space="preserve">DUOORRUGBMAS</t>
  </si>
  <si>
    <t xml:space="preserve">Dúo Pack Oro Rugby Mas</t>
  </si>
  <si>
    <t xml:space="preserve">DUOORVOLFEM</t>
  </si>
  <si>
    <t xml:space="preserve">Dúo Pack Oro Voley Fem</t>
  </si>
  <si>
    <t xml:space="preserve">ESCVIN10</t>
  </si>
  <si>
    <t xml:space="preserve">Escudo Vinilo 1 color 10cm</t>
  </si>
  <si>
    <t xml:space="preserve">KITPLFUTB</t>
  </si>
  <si>
    <t xml:space="preserve">Kit Plata Fútbol</t>
  </si>
  <si>
    <t xml:space="preserve">DUOPLBASK</t>
  </si>
  <si>
    <t xml:space="preserve">Dúo Pack Plata Básket</t>
  </si>
  <si>
    <t xml:space="preserve">MEDLISPMKCP</t>
  </si>
  <si>
    <t xml:space="preserve">Medias Playmaker Lisas c/p</t>
  </si>
  <si>
    <t xml:space="preserve">KITOROFUTBMAS</t>
  </si>
  <si>
    <t xml:space="preserve">Kit Oro Fútbol Mas</t>
  </si>
  <si>
    <t xml:space="preserve">KITOROFUTBFEM</t>
  </si>
  <si>
    <t xml:space="preserve">Kit Oro Fútbol Fem</t>
  </si>
  <si>
    <t xml:space="preserve">DUOORVOLMAS</t>
  </si>
  <si>
    <t xml:space="preserve">Dúo Pack Oro Voley Mas</t>
  </si>
  <si>
    <t xml:space="preserve">FUT-MED-LIS</t>
  </si>
  <si>
    <t xml:space="preserve">Medias Fútbol Playmaker Lisas c/p</t>
  </si>
  <si>
    <t xml:space="preserve">FUT-MED-LIS-SP</t>
  </si>
  <si>
    <t xml:space="preserve">Medias Fútbol Playmaker Lisas s/p</t>
  </si>
  <si>
    <t xml:space="preserve">KITORORUGB</t>
  </si>
  <si>
    <t xml:space="preserve">Kit Oro Rugby</t>
  </si>
  <si>
    <t xml:space="preserve">DUOORBASKFEM</t>
  </si>
  <si>
    <t xml:space="preserve">Dúo Pack Oro Básket Fem</t>
  </si>
  <si>
    <t xml:space="preserve">DUODIAFUTBMAS</t>
  </si>
  <si>
    <t xml:space="preserve">Dúo Pack Diamante Fútbol Mas</t>
  </si>
  <si>
    <t xml:space="preserve">DUODIAVOLEMAS</t>
  </si>
  <si>
    <t xml:space="preserve">Dúo Pack Diamante Voley Mas</t>
  </si>
  <si>
    <t xml:space="preserve">ESC-DTF-20CM</t>
  </si>
  <si>
    <t xml:space="preserve">ESTAMPADO COLORES 20cm</t>
  </si>
  <si>
    <t xml:space="preserve">DUOORFUTBMAS</t>
  </si>
  <si>
    <t xml:space="preserve">Dúo Pack Oro Fútbol Mas</t>
  </si>
  <si>
    <t xml:space="preserve">DUOROBASKREV</t>
  </si>
  <si>
    <t xml:space="preserve">DÚO PACK ORO  BASKET REVERSIBLE</t>
  </si>
  <si>
    <t xml:space="preserve">DUODIAVOLEFEM</t>
  </si>
  <si>
    <t xml:space="preserve">Dúo Pack Diamante Voley Fem</t>
  </si>
  <si>
    <t xml:space="preserve">ZAP-BASK-120</t>
  </si>
  <si>
    <t xml:space="preserve">ZAPATILLA DE BÁSQUETBOL NIKE 120</t>
  </si>
  <si>
    <t xml:space="preserve">KITPLHOCKFEM</t>
  </si>
  <si>
    <t xml:space="preserve">Kit Plata Voley Mas</t>
  </si>
  <si>
    <t xml:space="preserve">KITDIARUGB</t>
  </si>
  <si>
    <t xml:space="preserve">Kit Diamante Rugby</t>
  </si>
  <si>
    <t xml:space="preserve">DUOPLBASKFEM</t>
  </si>
  <si>
    <t xml:space="preserve">Dúo Pack Plata Básket Fem</t>
  </si>
  <si>
    <t xml:space="preserve">DUOPLBASKMAS</t>
  </si>
  <si>
    <t xml:space="preserve">Dúo Pack Plata Básket Mas</t>
  </si>
  <si>
    <t xml:space="preserve">ESCDTF10A20</t>
  </si>
  <si>
    <t xml:space="preserve">Escudo en DTF 10cm-20cm</t>
  </si>
  <si>
    <t xml:space="preserve">DUOORHOCKFEM</t>
  </si>
  <si>
    <t xml:space="preserve">Dúo Pack Oro Hockey Fem</t>
  </si>
  <si>
    <t xml:space="preserve">KITORVOLEFEM</t>
  </si>
  <si>
    <t xml:space="preserve">Kit Oro Voley Fem</t>
  </si>
  <si>
    <t xml:space="preserve">DUOPLRUGB</t>
  </si>
  <si>
    <t xml:space="preserve">Dúo Pack Plata Rugby</t>
  </si>
  <si>
    <t xml:space="preserve">REGBOLSUBPMK</t>
  </si>
  <si>
    <t xml:space="preserve">Bolso Sublimado Personalizado PMK de Regalo</t>
  </si>
  <si>
    <t xml:space="preserve">EXTTALESP</t>
  </si>
  <si>
    <t xml:space="preserve">EXTRA TALLA ESPECIAL</t>
  </si>
  <si>
    <t xml:space="preserve">DESP</t>
  </si>
  <si>
    <t xml:space="preserve">DESPACHO</t>
  </si>
  <si>
    <t xml:space="preserve">BALFUTBA</t>
  </si>
  <si>
    <t xml:space="preserve">BALON DE FUTBOL</t>
  </si>
  <si>
    <t xml:space="preserve">BOLSUB</t>
  </si>
  <si>
    <t xml:space="preserve">BOLSO SUBLIMADO PERSONALIZADO</t>
  </si>
  <si>
    <t xml:space="preserve">KITOROBASKREV</t>
  </si>
  <si>
    <t xml:space="preserve">KIT ORO BASKET REVERSIBLE</t>
  </si>
  <si>
    <t xml:space="preserve">DUODIABASK</t>
  </si>
  <si>
    <t xml:space="preserve">Dúo Pack Diamante Básket</t>
  </si>
  <si>
    <t xml:space="preserve">RUG-MED-PRO</t>
  </si>
  <si>
    <t xml:space="preserve">MEDIAS PRO RUGBY</t>
  </si>
  <si>
    <t xml:space="preserve">EXTML</t>
  </si>
  <si>
    <t xml:space="preserve">Exrta Manga Larga</t>
  </si>
  <si>
    <t xml:space="preserve">LZO2REG</t>
  </si>
  <si>
    <t xml:space="preserve">Lienzo 1.5x2mts Regalo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</si>
</sst>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"/>
    <numFmt numFmtId="166" formatCode="\$#,##0;&quot;-$&quot;#,##0;\$0"/>
    <numFmt numFmtId="167" formatCode="0.0"/>
    <numFmt numFmtId="168" formatCode="0.0%"/>
    <numFmt numFmtId="169" formatCode="0.00"/>
    <numFmt numFmtId="170" formatCode="0.00\×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i val="true"/>
      <sz val="11"/>
      <color rgb="FF595959"/>
      <name val="Cambria"/>
      <family val="0"/>
      <charset val="1"/>
    </font>
    <font>
      <i val="true"/>
      <sz val="11"/>
      <color rgb="FFC00000"/>
      <name val="Cambria"/>
      <family val="0"/>
      <charset val="1"/>
    </font>
    <font>
      <b val="true"/>
      <sz val="13"/>
      <color rgb="FF1F3864"/>
      <name val="Cambria"/>
      <family val="0"/>
      <charset val="1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sz val="9"/>
      <color rgb="FFC00000"/>
      <name val="Cambria"/>
      <family val="0"/>
      <charset val="1"/>
    </font>
    <font>
      <b val="true"/>
      <sz val="12"/>
      <color rgb="FF1F3864"/>
      <name val="Cambria"/>
      <family val="0"/>
      <charset val="1"/>
    </font>
    <font>
      <sz val="9"/>
      <color rgb="FF595959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6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1"/>
      <color rgb="FFC00000"/>
      <name val="Cambria"/>
      <family val="0"/>
      <charset val="1"/>
    </font>
    <font>
      <sz val="8"/>
      <color rgb="FF999999"/>
      <name val="Cambria"/>
      <family val="0"/>
      <charset val="1"/>
    </font>
    <font>
      <sz val="11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DEBF7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"/>
    <col collapsed="false" customWidth="true" hidden="false" outlineLevel="0" max="4" min="3" style="0" width="15"/>
    <col collapsed="false" customWidth="true" hidden="false" outlineLevel="0" max="6" min="5" style="0" width="32"/>
    <col collapsed="false" customWidth="true" hidden="false" outlineLevel="0" max="8" min="7" style="0" width="12"/>
    <col collapsed="false" customWidth="true" hidden="false" outlineLevel="0" max="9" min="9" style="0" width="14"/>
    <col collapsed="false" customWidth="true" hidden="false" outlineLevel="0" max="10" min="10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6.15" hidden="false" customHeight="false" outlineLevel="0" collapsed="false">
      <c r="A4" s="4" t="s">
        <v>3</v>
      </c>
      <c r="B4" s="5" t="s">
        <v>4</v>
      </c>
      <c r="C4" s="5"/>
      <c r="D4" s="5"/>
      <c r="E4" s="5"/>
      <c r="F4" s="2" t="str">
        <f aca="false">IFERROR(INDEX(Recetas!$B$6:$B$115,MATCH($B$4,Recetas!$A$6:$A$115,0))&amp;"  ·  "&amp;INDEX(Recetas!$D$6:$D$115,MATCH($B$4,Recetas!$A$6:$A$115,0))&amp;" "&amp;INDEX(Recetas!$E$6:$E$115,MATCH($B$4,Recetas!$A$6:$A$115,0)),"Elige un molde de la lista")</f>
        <v>Fútbol, pro, cuello redondo  ·  Camiseta Masculino</v>
      </c>
    </row>
    <row r="5" customFormat="false" ht="15" hidden="false" customHeight="false" outlineLevel="0" collapsed="false">
      <c r="A5" s="0" t="s">
        <v>5</v>
      </c>
      <c r="B5" s="2" t="str">
        <f aca="false">IFERROR(IF(COUNTIFS(Mediciones!$C$6:$C$305,$B$4)&gt;0,"Promedio de "&amp;COUNTIFS(Mediciones!$C$6:$C$305,$B$4)&amp;" medición(es) real(es) de corte, repartido por pieza según el despiece","Despiece"&amp;IF(N(Parametros!$B$22)&gt;0," + "&amp;TEXT(Parametros!$B$22,"0%")&amp;" de merma","")),"")</f>
        <v>Promedio de 2 medición(es) real(es) de corte, repartido por pieza según el despiece</v>
      </c>
    </row>
    <row r="7" customFormat="false" ht="39.75" hidden="false" customHeight="true" outlineLevel="0" collapsed="false">
      <c r="A7" s="6" t="s">
        <v>6</v>
      </c>
      <c r="B7" s="6" t="s">
        <v>7</v>
      </c>
      <c r="C7" s="6" t="s">
        <v>8</v>
      </c>
      <c r="D7" s="6" t="s">
        <v>9</v>
      </c>
      <c r="E7" s="6" t="s">
        <v>10</v>
      </c>
      <c r="F7" s="6" t="s">
        <v>11</v>
      </c>
      <c r="G7" s="6" t="s">
        <v>12</v>
      </c>
      <c r="H7" s="6" t="s">
        <v>13</v>
      </c>
      <c r="I7" s="6" t="s">
        <v>14</v>
      </c>
      <c r="J7" s="6" t="s">
        <v>15</v>
      </c>
    </row>
    <row r="8" customFormat="false" ht="15" hidden="false" customHeight="false" outlineLevel="0" collapsed="false">
      <c r="A8" s="7" t="str">
        <f aca="false">IFERROR(INDEX(Despiece!$B$6:$B$705,MATCH($B$4&amp;"|"&amp;1,Despiece!$H$6:$H$705,0)),"")</f>
        <v>Delantero</v>
      </c>
      <c r="B8" s="7" t="n">
        <f aca="false">IF(A8="","",INDEX(Despiece!$C$6:$C$705,MATCH($B$4&amp;"|"&amp;1,Despiece!$H$6:$H$705,0)))</f>
        <v>1</v>
      </c>
      <c r="C8" s="7" t="str">
        <f aca="false">IF(A8="","",INDEX(Despiece!$D$6:$D$705,MATCH($B$4&amp;"|"&amp;1,Despiece!$H$6:$H$705,0)))</f>
        <v>Tela principal</v>
      </c>
      <c r="D8" s="7" t="str">
        <f aca="false">IF(A8="","",INDEX(Despiece!$E$6:$E$705,MATCH($B$4&amp;"|"&amp;1,Despiece!$H$6:$H$705,0)))</f>
        <v>Sublimada</v>
      </c>
      <c r="E8" s="8"/>
      <c r="F8" s="7" t="str">
        <f aca="false">IF(A8="","",IF(E8&lt;&gt;"",E8,IFERROR(IF($C8="Tela principal",INDEX(Recetas!$K$6:$K$115,MATCH($B$4,Recetas!$A$6:$A$115,0))&amp;"",IF($C8="Tela 2",INDEX(Recetas!$L$6:$L$115,MATCH($B$4,Recetas!$A$6:$A$115,0))&amp;"",IF(INDEX(Recetas!$M$6:$M$115,MATCH($B$4,Recetas!$A$6:$A$115,0))&amp;""="",INDEX(Recetas!$K$6:$K$115,MATCH($B$4,Recetas!$A$6:$A$115,0))&amp;"",INDEX(Recetas!$M$6:$M$115,MATCH($B$4,Recetas!$A$6:$A$115,0))&amp;""))),"")))</f>
        <v>MONTESIMONE TRAINING (fut pro)</v>
      </c>
      <c r="G8" s="9" t="str">
        <f aca="false">IF(A8="","",IF(N(INDEX(Despiece!$F$6:$F$705,MATCH($B$4&amp;"|"&amp;1,Despiece!$H$6:$H$705,0)))&gt;0,INDEX(Despiece!$F$6:$F$705,MATCH($B$4&amp;"|"&amp;1,Despiece!$H$6:$H$705,0))*IFERROR(IF($C8="Tela principal",INDEX(Recetas!$Q$6:$Q$115,MATCH($B$4,Recetas!$A$6:$A$115,0)),IF($C8="Tela 2",INDEX(Recetas!$T$6:$T$115,MATCH($B$4,Recetas!$A$6:$A$115,0)),INDEX(Recetas!$W$6:$W$115,MATCH($B$4,Recetas!$A$6:$A$115,0))))/IF($C8="Tela principal",INDEX(Recetas!$O$6:$O$115,MATCH($B$4,Recetas!$A$6:$A$115,0)),IF($C8="Tela 2",INDEX(Recetas!$R$6:$R$115,MATCH($B$4,Recetas!$A$6:$A$115,0)),INDEX(Recetas!$U$6:$U$115,MATCH($B$4,Recetas!$A$6:$A$115,0)))),1+Parametros!$B$22),""))</f>
        <v/>
      </c>
      <c r="H8" s="10" t="n">
        <f aca="false">IF(OR(A8="",F8=""),"",IFERROR(IF(N(INDEX(Telas!$I$6:$I$105,MATCH(F8,Telas!$A$6:$A$105,0)))&gt;0,INDEX(Telas!$I$6:$I$105,MATCH(F8,Telas!$A$6:$A$105,0)),""),""))</f>
        <v>695.607</v>
      </c>
      <c r="I8" s="11" t="str">
        <f aca="false">IF(AND(ISNUMBER(G8),ISNUMBER(H8)),G8*H8,"")</f>
        <v/>
      </c>
      <c r="J8" s="12" t="str">
        <f aca="false">IF(A8="","",IF(ISNUMBER(I8),"",IF(NOT(ISNUMBER(G8)),"Faltan los metros de esta pieza (hoja Despiece). ","")&amp;IF(F8="","Elige la tela. ",IF(NOT(ISNUMBER(H8)),"Falta precio o peso de 1 m de "&amp;F8&amp;" (hoja Telas). ",""))))</f>
        <v>Faltan los metros de esta pieza (hoja Despiece). </v>
      </c>
    </row>
    <row r="9" customFormat="false" ht="15" hidden="false" customHeight="false" outlineLevel="0" collapsed="false">
      <c r="A9" s="7" t="str">
        <f aca="false">IFERROR(INDEX(Despiece!$B$6:$B$705,MATCH($B$4&amp;"|"&amp;2,Despiece!$H$6:$H$705,0)),"")</f>
        <v>Espalda</v>
      </c>
      <c r="B9" s="7" t="n">
        <f aca="false">IF(A9="","",INDEX(Despiece!$C$6:$C$705,MATCH($B$4&amp;"|"&amp;2,Despiece!$H$6:$H$705,0)))</f>
        <v>1</v>
      </c>
      <c r="C9" s="7" t="str">
        <f aca="false">IF(A9="","",INDEX(Despiece!$D$6:$D$705,MATCH($B$4&amp;"|"&amp;2,Despiece!$H$6:$H$705,0)))</f>
        <v>Tela principal</v>
      </c>
      <c r="D9" s="7" t="str">
        <f aca="false">IF(A9="","",INDEX(Despiece!$E$6:$E$705,MATCH($B$4&amp;"|"&amp;2,Despiece!$H$6:$H$705,0)))</f>
        <v>Sublimada</v>
      </c>
      <c r="E9" s="8"/>
      <c r="F9" s="7" t="str">
        <f aca="false">IF(A9="","",IF(E9&lt;&gt;"",E9,IFERROR(IF($C9="Tela principal",INDEX(Recetas!$K$6:$K$115,MATCH($B$4,Recetas!$A$6:$A$115,0))&amp;"",IF($C9="Tela 2",INDEX(Recetas!$L$6:$L$115,MATCH($B$4,Recetas!$A$6:$A$115,0))&amp;"",IF(INDEX(Recetas!$M$6:$M$115,MATCH($B$4,Recetas!$A$6:$A$115,0))&amp;""="",INDEX(Recetas!$K$6:$K$115,MATCH($B$4,Recetas!$A$6:$A$115,0))&amp;"",INDEX(Recetas!$M$6:$M$115,MATCH($B$4,Recetas!$A$6:$A$115,0))&amp;""))),"")))</f>
        <v>MONTESIMONE TRAINING (fut pro)</v>
      </c>
      <c r="G9" s="9" t="str">
        <f aca="false">IF(A9="","",IF(N(INDEX(Despiece!$F$6:$F$705,MATCH($B$4&amp;"|"&amp;2,Despiece!$H$6:$H$705,0)))&gt;0,INDEX(Despiece!$F$6:$F$705,MATCH($B$4&amp;"|"&amp;2,Despiece!$H$6:$H$705,0))*IFERROR(IF($C9="Tela principal",INDEX(Recetas!$Q$6:$Q$115,MATCH($B$4,Recetas!$A$6:$A$115,0)),IF($C9="Tela 2",INDEX(Recetas!$T$6:$T$115,MATCH($B$4,Recetas!$A$6:$A$115,0)),INDEX(Recetas!$W$6:$W$115,MATCH($B$4,Recetas!$A$6:$A$115,0))))/IF($C9="Tela principal",INDEX(Recetas!$O$6:$O$115,MATCH($B$4,Recetas!$A$6:$A$115,0)),IF($C9="Tela 2",INDEX(Recetas!$R$6:$R$115,MATCH($B$4,Recetas!$A$6:$A$115,0)),INDEX(Recetas!$U$6:$U$115,MATCH($B$4,Recetas!$A$6:$A$115,0)))),1+Parametros!$B$22),""))</f>
        <v/>
      </c>
      <c r="H9" s="10" t="n">
        <f aca="false">IF(OR(A9="",F9=""),"",IFERROR(IF(N(INDEX(Telas!$I$6:$I$105,MATCH(F9,Telas!$A$6:$A$105,0)))&gt;0,INDEX(Telas!$I$6:$I$105,MATCH(F9,Telas!$A$6:$A$105,0)),""),""))</f>
        <v>695.607</v>
      </c>
      <c r="I9" s="11" t="str">
        <f aca="false">IF(AND(ISNUMBER(G9),ISNUMBER(H9)),G9*H9,"")</f>
        <v/>
      </c>
      <c r="J9" s="12" t="str">
        <f aca="false">IF(A9="","",IF(ISNUMBER(I9),"",IF(NOT(ISNUMBER(G9)),"Faltan los metros de esta pieza (hoja Despiece). ","")&amp;IF(F9="","Elige la tela. ",IF(NOT(ISNUMBER(H9)),"Falta precio o peso de 1 m de "&amp;F9&amp;" (hoja Telas). ",""))))</f>
        <v>Faltan los metros de esta pieza (hoja Despiece). </v>
      </c>
    </row>
    <row r="10" customFormat="false" ht="15" hidden="false" customHeight="false" outlineLevel="0" collapsed="false">
      <c r="A10" s="7" t="str">
        <f aca="false">IFERROR(INDEX(Despiece!$B$6:$B$705,MATCH($B$4&amp;"|"&amp;3,Despiece!$H$6:$H$705,0)),"")</f>
        <v>Manga</v>
      </c>
      <c r="B10" s="7" t="n">
        <f aca="false">IF(A10="","",INDEX(Despiece!$C$6:$C$705,MATCH($B$4&amp;"|"&amp;3,Despiece!$H$6:$H$705,0)))</f>
        <v>2</v>
      </c>
      <c r="C10" s="7" t="str">
        <f aca="false">IF(A10="","",INDEX(Despiece!$D$6:$D$705,MATCH($B$4&amp;"|"&amp;3,Despiece!$H$6:$H$705,0)))</f>
        <v>Tela principal</v>
      </c>
      <c r="D10" s="7" t="str">
        <f aca="false">IF(A10="","",INDEX(Despiece!$E$6:$E$705,MATCH($B$4&amp;"|"&amp;3,Despiece!$H$6:$H$705,0)))</f>
        <v>Sublimada</v>
      </c>
      <c r="E10" s="8"/>
      <c r="F10" s="7" t="str">
        <f aca="false">IF(A10="","",IF(E10&lt;&gt;"",E10,IFERROR(IF($C10="Tela principal",INDEX(Recetas!$K$6:$K$115,MATCH($B$4,Recetas!$A$6:$A$115,0))&amp;"",IF($C10="Tela 2",INDEX(Recetas!$L$6:$L$115,MATCH($B$4,Recetas!$A$6:$A$115,0))&amp;"",IF(INDEX(Recetas!$M$6:$M$115,MATCH($B$4,Recetas!$A$6:$A$115,0))&amp;""="",INDEX(Recetas!$K$6:$K$115,MATCH($B$4,Recetas!$A$6:$A$115,0))&amp;"",INDEX(Recetas!$M$6:$M$115,MATCH($B$4,Recetas!$A$6:$A$115,0))&amp;""))),"")))</f>
        <v>MONTESIMONE TRAINING (fut pro)</v>
      </c>
      <c r="G10" s="9" t="str">
        <f aca="false">IF(A10="","",IF(N(INDEX(Despiece!$F$6:$F$705,MATCH($B$4&amp;"|"&amp;3,Despiece!$H$6:$H$705,0)))&gt;0,INDEX(Despiece!$F$6:$F$705,MATCH($B$4&amp;"|"&amp;3,Despiece!$H$6:$H$705,0))*IFERROR(IF($C10="Tela principal",INDEX(Recetas!$Q$6:$Q$115,MATCH($B$4,Recetas!$A$6:$A$115,0)),IF($C10="Tela 2",INDEX(Recetas!$T$6:$T$115,MATCH($B$4,Recetas!$A$6:$A$115,0)),INDEX(Recetas!$W$6:$W$115,MATCH($B$4,Recetas!$A$6:$A$115,0))))/IF($C10="Tela principal",INDEX(Recetas!$O$6:$O$115,MATCH($B$4,Recetas!$A$6:$A$115,0)),IF($C10="Tela 2",INDEX(Recetas!$R$6:$R$115,MATCH($B$4,Recetas!$A$6:$A$115,0)),INDEX(Recetas!$U$6:$U$115,MATCH($B$4,Recetas!$A$6:$A$115,0)))),1+Parametros!$B$22),""))</f>
        <v/>
      </c>
      <c r="H10" s="10" t="n">
        <f aca="false">IF(OR(A10="",F10=""),"",IFERROR(IF(N(INDEX(Telas!$I$6:$I$105,MATCH(F10,Telas!$A$6:$A$105,0)))&gt;0,INDEX(Telas!$I$6:$I$105,MATCH(F10,Telas!$A$6:$A$105,0)),""),""))</f>
        <v>695.607</v>
      </c>
      <c r="I10" s="11" t="str">
        <f aca="false">IF(AND(ISNUMBER(G10),ISNUMBER(H10)),G10*H10,"")</f>
        <v/>
      </c>
      <c r="J10" s="12" t="str">
        <f aca="false">IF(A10="","",IF(ISNUMBER(I10),"",IF(NOT(ISNUMBER(G10)),"Faltan los metros de esta pieza (hoja Despiece). ","")&amp;IF(F10="","Elige la tela. ",IF(NOT(ISNUMBER(H10)),"Falta precio o peso de 1 m de "&amp;F10&amp;" (hoja Telas). ",""))))</f>
        <v>Faltan los metros de esta pieza (hoja Despiece). </v>
      </c>
    </row>
    <row r="11" customFormat="false" ht="15" hidden="false" customHeight="false" outlineLevel="0" collapsed="false">
      <c r="A11" s="7" t="str">
        <f aca="false">IFERROR(INDEX(Despiece!$B$6:$B$705,MATCH($B$4&amp;"|"&amp;4,Despiece!$H$6:$H$705,0)),"")</f>
        <v>Tira de cuello</v>
      </c>
      <c r="B11" s="7" t="n">
        <f aca="false">IF(A11="","",INDEX(Despiece!$C$6:$C$705,MATCH($B$4&amp;"|"&amp;4,Despiece!$H$6:$H$705,0)))</f>
        <v>1</v>
      </c>
      <c r="C11" s="7" t="str">
        <f aca="false">IF(A11="","",INDEX(Despiece!$D$6:$D$705,MATCH($B$4&amp;"|"&amp;4,Despiece!$H$6:$H$705,0)))</f>
        <v>Tela principal</v>
      </c>
      <c r="D11" s="7" t="str">
        <f aca="false">IF(A11="","",INDEX(Despiece!$E$6:$E$705,MATCH($B$4&amp;"|"&amp;4,Despiece!$H$6:$H$705,0)))</f>
        <v>Sublimada</v>
      </c>
      <c r="E11" s="8"/>
      <c r="F11" s="7" t="str">
        <f aca="false">IF(A11="","",IF(E11&lt;&gt;"",E11,IFERROR(IF($C11="Tela principal",INDEX(Recetas!$K$6:$K$115,MATCH($B$4,Recetas!$A$6:$A$115,0))&amp;"",IF($C11="Tela 2",INDEX(Recetas!$L$6:$L$115,MATCH($B$4,Recetas!$A$6:$A$115,0))&amp;"",IF(INDEX(Recetas!$M$6:$M$115,MATCH($B$4,Recetas!$A$6:$A$115,0))&amp;""="",INDEX(Recetas!$K$6:$K$115,MATCH($B$4,Recetas!$A$6:$A$115,0))&amp;"",INDEX(Recetas!$M$6:$M$115,MATCH($B$4,Recetas!$A$6:$A$115,0))&amp;""))),"")))</f>
        <v>MONTESIMONE TRAINING (fut pro)</v>
      </c>
      <c r="G11" s="9" t="str">
        <f aca="false">IF(A11="","",IF(N(INDEX(Despiece!$F$6:$F$705,MATCH($B$4&amp;"|"&amp;4,Despiece!$H$6:$H$705,0)))&gt;0,INDEX(Despiece!$F$6:$F$705,MATCH($B$4&amp;"|"&amp;4,Despiece!$H$6:$H$705,0))*IFERROR(IF($C11="Tela principal",INDEX(Recetas!$Q$6:$Q$115,MATCH($B$4,Recetas!$A$6:$A$115,0)),IF($C11="Tela 2",INDEX(Recetas!$T$6:$T$115,MATCH($B$4,Recetas!$A$6:$A$115,0)),INDEX(Recetas!$W$6:$W$115,MATCH($B$4,Recetas!$A$6:$A$115,0))))/IF($C11="Tela principal",INDEX(Recetas!$O$6:$O$115,MATCH($B$4,Recetas!$A$6:$A$115,0)),IF($C11="Tela 2",INDEX(Recetas!$R$6:$R$115,MATCH($B$4,Recetas!$A$6:$A$115,0)),INDEX(Recetas!$U$6:$U$115,MATCH($B$4,Recetas!$A$6:$A$115,0)))),1+Parametros!$B$22),""))</f>
        <v/>
      </c>
      <c r="H11" s="10" t="n">
        <f aca="false">IF(OR(A11="",F11=""),"",IFERROR(IF(N(INDEX(Telas!$I$6:$I$105,MATCH(F11,Telas!$A$6:$A$105,0)))&gt;0,INDEX(Telas!$I$6:$I$105,MATCH(F11,Telas!$A$6:$A$105,0)),""),""))</f>
        <v>695.607</v>
      </c>
      <c r="I11" s="11" t="str">
        <f aca="false">IF(AND(ISNUMBER(G11),ISNUMBER(H11)),G11*H11,"")</f>
        <v/>
      </c>
      <c r="J11" s="12" t="str">
        <f aca="false">IF(A11="","",IF(ISNUMBER(I11),"",IF(NOT(ISNUMBER(G11)),"Faltan los metros de esta pieza (hoja Despiece). ","")&amp;IF(F11="","Elige la tela. ",IF(NOT(ISNUMBER(H11)),"Falta precio o peso de 1 m de "&amp;F11&amp;" (hoja Telas). ",""))))</f>
        <v>Faltan los metros de esta pieza (hoja Despiece). </v>
      </c>
    </row>
    <row r="12" customFormat="false" ht="15" hidden="false" customHeight="false" outlineLevel="0" collapsed="false">
      <c r="A12" s="7" t="str">
        <f aca="false">IFERROR(INDEX(Despiece!$B$6:$B$705,MATCH($B$4&amp;"|"&amp;5,Despiece!$H$6:$H$705,0)),"")</f>
        <v>Paneles laterales</v>
      </c>
      <c r="B12" s="7" t="n">
        <f aca="false">IF(A12="","",INDEX(Despiece!$C$6:$C$705,MATCH($B$4&amp;"|"&amp;5,Despiece!$H$6:$H$705,0)))</f>
        <v>2</v>
      </c>
      <c r="C12" s="7" t="str">
        <f aca="false">IF(A12="","",INDEX(Despiece!$D$6:$D$705,MATCH($B$4&amp;"|"&amp;5,Despiece!$H$6:$H$705,0)))</f>
        <v>Tela 2</v>
      </c>
      <c r="D12" s="7" t="str">
        <f aca="false">IF(A12="","",INDEX(Despiece!$E$6:$E$705,MATCH($B$4&amp;"|"&amp;5,Despiece!$H$6:$H$705,0)))</f>
        <v>Sublimada</v>
      </c>
      <c r="E12" s="8"/>
      <c r="F12" s="7" t="str">
        <f aca="false">IF(A12="","",IF(E12&lt;&gt;"",E12,IFERROR(IF($C12="Tela principal",INDEX(Recetas!$K$6:$K$115,MATCH($B$4,Recetas!$A$6:$A$115,0))&amp;"",IF($C12="Tela 2",INDEX(Recetas!$L$6:$L$115,MATCH($B$4,Recetas!$A$6:$A$115,0))&amp;"",IF(INDEX(Recetas!$M$6:$M$115,MATCH($B$4,Recetas!$A$6:$A$115,0))&amp;""="",INDEX(Recetas!$K$6:$K$115,MATCH($B$4,Recetas!$A$6:$A$115,0))&amp;"",INDEX(Recetas!$M$6:$M$115,MATCH($B$4,Recetas!$A$6:$A$115,0))&amp;""))),"")))</f>
        <v>MESH</v>
      </c>
      <c r="G12" s="9" t="str">
        <f aca="false">IF(A12="","",IF(N(INDEX(Despiece!$F$6:$F$705,MATCH($B$4&amp;"|"&amp;5,Despiece!$H$6:$H$705,0)))&gt;0,INDEX(Despiece!$F$6:$F$705,MATCH($B$4&amp;"|"&amp;5,Despiece!$H$6:$H$705,0))*IFERROR(IF($C12="Tela principal",INDEX(Recetas!$Q$6:$Q$115,MATCH($B$4,Recetas!$A$6:$A$115,0)),IF($C12="Tela 2",INDEX(Recetas!$T$6:$T$115,MATCH($B$4,Recetas!$A$6:$A$115,0)),INDEX(Recetas!$W$6:$W$115,MATCH($B$4,Recetas!$A$6:$A$115,0))))/IF($C12="Tela principal",INDEX(Recetas!$O$6:$O$115,MATCH($B$4,Recetas!$A$6:$A$115,0)),IF($C12="Tela 2",INDEX(Recetas!$R$6:$R$115,MATCH($B$4,Recetas!$A$6:$A$115,0)),INDEX(Recetas!$U$6:$U$115,MATCH($B$4,Recetas!$A$6:$A$115,0)))),1+Parametros!$B$22),""))</f>
        <v/>
      </c>
      <c r="H12" s="10" t="str">
        <f aca="false">IF(OR(A12="",F12=""),"",IFERROR(IF(N(INDEX(Telas!$I$6:$I$105,MATCH(F12,Telas!$A$6:$A$105,0)))&gt;0,INDEX(Telas!$I$6:$I$105,MATCH(F12,Telas!$A$6:$A$105,0)),""),""))</f>
        <v/>
      </c>
      <c r="I12" s="11" t="str">
        <f aca="false">IF(AND(ISNUMBER(G12),ISNUMBER(H12)),G12*H12,"")</f>
        <v/>
      </c>
      <c r="J12" s="12" t="str">
        <f aca="false">IF(A12="","",IF(ISNUMBER(I12),"",IF(NOT(ISNUMBER(G12)),"Faltan los metros de esta pieza (hoja Despiece). ","")&amp;IF(F12="","Elige la tela. ",IF(NOT(ISNUMBER(H12)),"Falta precio o peso de 1 m de "&amp;F12&amp;" (hoja Telas). ",""))))</f>
        <v>Faltan los metros de esta pieza (hoja Despiece). Falta precio o peso de 1 m de MESH (hoja Telas). </v>
      </c>
    </row>
    <row r="13" customFormat="false" ht="15" hidden="false" customHeight="false" outlineLevel="0" collapsed="false">
      <c r="A13" s="7" t="str">
        <f aca="false">IFERROR(INDEX(Despiece!$B$6:$B$705,MATCH($B$4&amp;"|"&amp;6,Despiece!$H$6:$H$705,0)),"")</f>
        <v/>
      </c>
      <c r="B13" s="7" t="str">
        <f aca="false">IF(A13="","",INDEX(Despiece!$C$6:$C$705,MATCH($B$4&amp;"|"&amp;6,Despiece!$H$6:$H$705,0)))</f>
        <v/>
      </c>
      <c r="C13" s="7" t="str">
        <f aca="false">IF(A13="","",INDEX(Despiece!$D$6:$D$705,MATCH($B$4&amp;"|"&amp;6,Despiece!$H$6:$H$705,0)))</f>
        <v/>
      </c>
      <c r="D13" s="7" t="str">
        <f aca="false">IF(A13="","",INDEX(Despiece!$E$6:$E$705,MATCH($B$4&amp;"|"&amp;6,Despiece!$H$6:$H$705,0)))</f>
        <v/>
      </c>
      <c r="E13" s="8"/>
      <c r="F13" s="7" t="str">
        <f aca="false">IF(A13="","",IF(E13&lt;&gt;"",E13,IFERROR(IF($C13="Tela principal",INDEX(Recetas!$K$6:$K$115,MATCH($B$4,Recetas!$A$6:$A$115,0))&amp;"",IF($C13="Tela 2",INDEX(Recetas!$L$6:$L$115,MATCH($B$4,Recetas!$A$6:$A$115,0))&amp;"",IF(INDEX(Recetas!$M$6:$M$115,MATCH($B$4,Recetas!$A$6:$A$115,0))&amp;""="",INDEX(Recetas!$K$6:$K$115,MATCH($B$4,Recetas!$A$6:$A$115,0))&amp;"",INDEX(Recetas!$M$6:$M$115,MATCH($B$4,Recetas!$A$6:$A$115,0))&amp;""))),"")))</f>
        <v/>
      </c>
      <c r="G13" s="9" t="str">
        <f aca="false">IF(A13="","",IF(N(INDEX(Despiece!$F$6:$F$705,MATCH($B$4&amp;"|"&amp;6,Despiece!$H$6:$H$705,0)))&gt;0,INDEX(Despiece!$F$6:$F$705,MATCH($B$4&amp;"|"&amp;6,Despiece!$H$6:$H$705,0))*IFERROR(IF($C13="Tela principal",INDEX(Recetas!$Q$6:$Q$115,MATCH($B$4,Recetas!$A$6:$A$115,0)),IF($C13="Tela 2",INDEX(Recetas!$T$6:$T$115,MATCH($B$4,Recetas!$A$6:$A$115,0)),INDEX(Recetas!$W$6:$W$115,MATCH($B$4,Recetas!$A$6:$A$115,0))))/IF($C13="Tela principal",INDEX(Recetas!$O$6:$O$115,MATCH($B$4,Recetas!$A$6:$A$115,0)),IF($C13="Tela 2",INDEX(Recetas!$R$6:$R$115,MATCH($B$4,Recetas!$A$6:$A$115,0)),INDEX(Recetas!$U$6:$U$115,MATCH($B$4,Recetas!$A$6:$A$115,0)))),1+Parametros!$B$22),""))</f>
        <v/>
      </c>
      <c r="H13" s="10" t="str">
        <f aca="false">IF(OR(A13="",F13=""),"",IFERROR(IF(N(INDEX(Telas!$I$6:$I$105,MATCH(F13,Telas!$A$6:$A$105,0)))&gt;0,INDEX(Telas!$I$6:$I$105,MATCH(F13,Telas!$A$6:$A$105,0)),""),""))</f>
        <v/>
      </c>
      <c r="I13" s="11" t="str">
        <f aca="false">IF(AND(ISNUMBER(G13),ISNUMBER(H13)),G13*H13,"")</f>
        <v/>
      </c>
      <c r="J13" s="12" t="str">
        <f aca="false">IF(A13="","",IF(ISNUMBER(I13),"",IF(NOT(ISNUMBER(G13)),"Faltan los metros de esta pieza (hoja Despiece). ","")&amp;IF(F13="","Elige la tela. ",IF(NOT(ISNUMBER(H13)),"Falta precio o peso de 1 m de "&amp;F13&amp;" (hoja Telas). ",""))))</f>
        <v/>
      </c>
    </row>
    <row r="14" customFormat="false" ht="15" hidden="false" customHeight="false" outlineLevel="0" collapsed="false">
      <c r="A14" s="7" t="str">
        <f aca="false">IFERROR(INDEX(Despiece!$B$6:$B$705,MATCH($B$4&amp;"|"&amp;7,Despiece!$H$6:$H$705,0)),"")</f>
        <v/>
      </c>
      <c r="B14" s="7" t="str">
        <f aca="false">IF(A14="","",INDEX(Despiece!$C$6:$C$705,MATCH($B$4&amp;"|"&amp;7,Despiece!$H$6:$H$705,0)))</f>
        <v/>
      </c>
      <c r="C14" s="7" t="str">
        <f aca="false">IF(A14="","",INDEX(Despiece!$D$6:$D$705,MATCH($B$4&amp;"|"&amp;7,Despiece!$H$6:$H$705,0)))</f>
        <v/>
      </c>
      <c r="D14" s="7" t="str">
        <f aca="false">IF(A14="","",INDEX(Despiece!$E$6:$E$705,MATCH($B$4&amp;"|"&amp;7,Despiece!$H$6:$H$705,0)))</f>
        <v/>
      </c>
      <c r="E14" s="8"/>
      <c r="F14" s="7" t="str">
        <f aca="false">IF(A14="","",IF(E14&lt;&gt;"",E14,IFERROR(IF($C14="Tela principal",INDEX(Recetas!$K$6:$K$115,MATCH($B$4,Recetas!$A$6:$A$115,0))&amp;"",IF($C14="Tela 2",INDEX(Recetas!$L$6:$L$115,MATCH($B$4,Recetas!$A$6:$A$115,0))&amp;"",IF(INDEX(Recetas!$M$6:$M$115,MATCH($B$4,Recetas!$A$6:$A$115,0))&amp;""="",INDEX(Recetas!$K$6:$K$115,MATCH($B$4,Recetas!$A$6:$A$115,0))&amp;"",INDEX(Recetas!$M$6:$M$115,MATCH($B$4,Recetas!$A$6:$A$115,0))&amp;""))),"")))</f>
        <v/>
      </c>
      <c r="G14" s="9" t="str">
        <f aca="false">IF(A14="","",IF(N(INDEX(Despiece!$F$6:$F$705,MATCH($B$4&amp;"|"&amp;7,Despiece!$H$6:$H$705,0)))&gt;0,INDEX(Despiece!$F$6:$F$705,MATCH($B$4&amp;"|"&amp;7,Despiece!$H$6:$H$705,0))*IFERROR(IF($C14="Tela principal",INDEX(Recetas!$Q$6:$Q$115,MATCH($B$4,Recetas!$A$6:$A$115,0)),IF($C14="Tela 2",INDEX(Recetas!$T$6:$T$115,MATCH($B$4,Recetas!$A$6:$A$115,0)),INDEX(Recetas!$W$6:$W$115,MATCH($B$4,Recetas!$A$6:$A$115,0))))/IF($C14="Tela principal",INDEX(Recetas!$O$6:$O$115,MATCH($B$4,Recetas!$A$6:$A$115,0)),IF($C14="Tela 2",INDEX(Recetas!$R$6:$R$115,MATCH($B$4,Recetas!$A$6:$A$115,0)),INDEX(Recetas!$U$6:$U$115,MATCH($B$4,Recetas!$A$6:$A$115,0)))),1+Parametros!$B$22),""))</f>
        <v/>
      </c>
      <c r="H14" s="10" t="str">
        <f aca="false">IF(OR(A14="",F14=""),"",IFERROR(IF(N(INDEX(Telas!$I$6:$I$105,MATCH(F14,Telas!$A$6:$A$105,0)))&gt;0,INDEX(Telas!$I$6:$I$105,MATCH(F14,Telas!$A$6:$A$105,0)),""),""))</f>
        <v/>
      </c>
      <c r="I14" s="11" t="str">
        <f aca="false">IF(AND(ISNUMBER(G14),ISNUMBER(H14)),G14*H14,"")</f>
        <v/>
      </c>
      <c r="J14" s="12" t="str">
        <f aca="false">IF(A14="","",IF(ISNUMBER(I14),"",IF(NOT(ISNUMBER(G14)),"Faltan los metros de esta pieza (hoja Despiece). ","")&amp;IF(F14="","Elige la tela. ",IF(NOT(ISNUMBER(H14)),"Falta precio o peso de 1 m de "&amp;F14&amp;" (hoja Telas). ",""))))</f>
        <v/>
      </c>
    </row>
    <row r="15" customFormat="false" ht="15" hidden="false" customHeight="false" outlineLevel="0" collapsed="false">
      <c r="A15" s="7" t="str">
        <f aca="false">IFERROR(INDEX(Despiece!$B$6:$B$705,MATCH($B$4&amp;"|"&amp;8,Despiece!$H$6:$H$705,0)),"")</f>
        <v/>
      </c>
      <c r="B15" s="7" t="str">
        <f aca="false">IF(A15="","",INDEX(Despiece!$C$6:$C$705,MATCH($B$4&amp;"|"&amp;8,Despiece!$H$6:$H$705,0)))</f>
        <v/>
      </c>
      <c r="C15" s="7" t="str">
        <f aca="false">IF(A15="","",INDEX(Despiece!$D$6:$D$705,MATCH($B$4&amp;"|"&amp;8,Despiece!$H$6:$H$705,0)))</f>
        <v/>
      </c>
      <c r="D15" s="7" t="str">
        <f aca="false">IF(A15="","",INDEX(Despiece!$E$6:$E$705,MATCH($B$4&amp;"|"&amp;8,Despiece!$H$6:$H$705,0)))</f>
        <v/>
      </c>
      <c r="E15" s="8"/>
      <c r="F15" s="7" t="str">
        <f aca="false">IF(A15="","",IF(E15&lt;&gt;"",E15,IFERROR(IF($C15="Tela principal",INDEX(Recetas!$K$6:$K$115,MATCH($B$4,Recetas!$A$6:$A$115,0))&amp;"",IF($C15="Tela 2",INDEX(Recetas!$L$6:$L$115,MATCH($B$4,Recetas!$A$6:$A$115,0))&amp;"",IF(INDEX(Recetas!$M$6:$M$115,MATCH($B$4,Recetas!$A$6:$A$115,0))&amp;""="",INDEX(Recetas!$K$6:$K$115,MATCH($B$4,Recetas!$A$6:$A$115,0))&amp;"",INDEX(Recetas!$M$6:$M$115,MATCH($B$4,Recetas!$A$6:$A$115,0))&amp;""))),"")))</f>
        <v/>
      </c>
      <c r="G15" s="9" t="str">
        <f aca="false">IF(A15="","",IF(N(INDEX(Despiece!$F$6:$F$705,MATCH($B$4&amp;"|"&amp;8,Despiece!$H$6:$H$705,0)))&gt;0,INDEX(Despiece!$F$6:$F$705,MATCH($B$4&amp;"|"&amp;8,Despiece!$H$6:$H$705,0))*IFERROR(IF($C15="Tela principal",INDEX(Recetas!$Q$6:$Q$115,MATCH($B$4,Recetas!$A$6:$A$115,0)),IF($C15="Tela 2",INDEX(Recetas!$T$6:$T$115,MATCH($B$4,Recetas!$A$6:$A$115,0)),INDEX(Recetas!$W$6:$W$115,MATCH($B$4,Recetas!$A$6:$A$115,0))))/IF($C15="Tela principal",INDEX(Recetas!$O$6:$O$115,MATCH($B$4,Recetas!$A$6:$A$115,0)),IF($C15="Tela 2",INDEX(Recetas!$R$6:$R$115,MATCH($B$4,Recetas!$A$6:$A$115,0)),INDEX(Recetas!$U$6:$U$115,MATCH($B$4,Recetas!$A$6:$A$115,0)))),1+Parametros!$B$22),""))</f>
        <v/>
      </c>
      <c r="H15" s="10" t="str">
        <f aca="false">IF(OR(A15="",F15=""),"",IFERROR(IF(N(INDEX(Telas!$I$6:$I$105,MATCH(F15,Telas!$A$6:$A$105,0)))&gt;0,INDEX(Telas!$I$6:$I$105,MATCH(F15,Telas!$A$6:$A$105,0)),""),""))</f>
        <v/>
      </c>
      <c r="I15" s="11" t="str">
        <f aca="false">IF(AND(ISNUMBER(G15),ISNUMBER(H15)),G15*H15,"")</f>
        <v/>
      </c>
      <c r="J15" s="12" t="str">
        <f aca="false">IF(A15="","",IF(ISNUMBER(I15),"",IF(NOT(ISNUMBER(G15)),"Faltan los metros de esta pieza (hoja Despiece). ","")&amp;IF(F15="","Elige la tela. ",IF(NOT(ISNUMBER(H15)),"Falta precio o peso de 1 m de "&amp;F15&amp;" (hoja Telas). ",""))))</f>
        <v/>
      </c>
    </row>
    <row r="16" customFormat="false" ht="15" hidden="false" customHeight="false" outlineLevel="0" collapsed="false">
      <c r="A16" s="7" t="str">
        <f aca="false">IFERROR(INDEX(Despiece!$B$6:$B$705,MATCH($B$4&amp;"|"&amp;9,Despiece!$H$6:$H$705,0)),"")</f>
        <v/>
      </c>
      <c r="B16" s="7" t="str">
        <f aca="false">IF(A16="","",INDEX(Despiece!$C$6:$C$705,MATCH($B$4&amp;"|"&amp;9,Despiece!$H$6:$H$705,0)))</f>
        <v/>
      </c>
      <c r="C16" s="7" t="str">
        <f aca="false">IF(A16="","",INDEX(Despiece!$D$6:$D$705,MATCH($B$4&amp;"|"&amp;9,Despiece!$H$6:$H$705,0)))</f>
        <v/>
      </c>
      <c r="D16" s="7" t="str">
        <f aca="false">IF(A16="","",INDEX(Despiece!$E$6:$E$705,MATCH($B$4&amp;"|"&amp;9,Despiece!$H$6:$H$705,0)))</f>
        <v/>
      </c>
      <c r="E16" s="8"/>
      <c r="F16" s="7" t="str">
        <f aca="false">IF(A16="","",IF(E16&lt;&gt;"",E16,IFERROR(IF($C16="Tela principal",INDEX(Recetas!$K$6:$K$115,MATCH($B$4,Recetas!$A$6:$A$115,0))&amp;"",IF($C16="Tela 2",INDEX(Recetas!$L$6:$L$115,MATCH($B$4,Recetas!$A$6:$A$115,0))&amp;"",IF(INDEX(Recetas!$M$6:$M$115,MATCH($B$4,Recetas!$A$6:$A$115,0))&amp;""="",INDEX(Recetas!$K$6:$K$115,MATCH($B$4,Recetas!$A$6:$A$115,0))&amp;"",INDEX(Recetas!$M$6:$M$115,MATCH($B$4,Recetas!$A$6:$A$115,0))&amp;""))),"")))</f>
        <v/>
      </c>
      <c r="G16" s="9" t="str">
        <f aca="false">IF(A16="","",IF(N(INDEX(Despiece!$F$6:$F$705,MATCH($B$4&amp;"|"&amp;9,Despiece!$H$6:$H$705,0)))&gt;0,INDEX(Despiece!$F$6:$F$705,MATCH($B$4&amp;"|"&amp;9,Despiece!$H$6:$H$705,0))*IFERROR(IF($C16="Tela principal",INDEX(Recetas!$Q$6:$Q$115,MATCH($B$4,Recetas!$A$6:$A$115,0)),IF($C16="Tela 2",INDEX(Recetas!$T$6:$T$115,MATCH($B$4,Recetas!$A$6:$A$115,0)),INDEX(Recetas!$W$6:$W$115,MATCH($B$4,Recetas!$A$6:$A$115,0))))/IF($C16="Tela principal",INDEX(Recetas!$O$6:$O$115,MATCH($B$4,Recetas!$A$6:$A$115,0)),IF($C16="Tela 2",INDEX(Recetas!$R$6:$R$115,MATCH($B$4,Recetas!$A$6:$A$115,0)),INDEX(Recetas!$U$6:$U$115,MATCH($B$4,Recetas!$A$6:$A$115,0)))),1+Parametros!$B$22),""))</f>
        <v/>
      </c>
      <c r="H16" s="10" t="str">
        <f aca="false">IF(OR(A16="",F16=""),"",IFERROR(IF(N(INDEX(Telas!$I$6:$I$105,MATCH(F16,Telas!$A$6:$A$105,0)))&gt;0,INDEX(Telas!$I$6:$I$105,MATCH(F16,Telas!$A$6:$A$105,0)),""),""))</f>
        <v/>
      </c>
      <c r="I16" s="11" t="str">
        <f aca="false">IF(AND(ISNUMBER(G16),ISNUMBER(H16)),G16*H16,"")</f>
        <v/>
      </c>
      <c r="J16" s="12" t="str">
        <f aca="false">IF(A16="","",IF(ISNUMBER(I16),"",IF(NOT(ISNUMBER(G16)),"Faltan los metros de esta pieza (hoja Despiece). ","")&amp;IF(F16="","Elige la tela. ",IF(NOT(ISNUMBER(H16)),"Falta precio o peso de 1 m de "&amp;F16&amp;" (hoja Telas). ",""))))</f>
        <v/>
      </c>
    </row>
    <row r="17" customFormat="false" ht="15" hidden="false" customHeight="false" outlineLevel="0" collapsed="false">
      <c r="A17" s="7" t="str">
        <f aca="false">IFERROR(INDEX(Despiece!$B$6:$B$705,MATCH($B$4&amp;"|"&amp;10,Despiece!$H$6:$H$705,0)),"")</f>
        <v/>
      </c>
      <c r="B17" s="7" t="str">
        <f aca="false">IF(A17="","",INDEX(Despiece!$C$6:$C$705,MATCH($B$4&amp;"|"&amp;10,Despiece!$H$6:$H$705,0)))</f>
        <v/>
      </c>
      <c r="C17" s="7" t="str">
        <f aca="false">IF(A17="","",INDEX(Despiece!$D$6:$D$705,MATCH($B$4&amp;"|"&amp;10,Despiece!$H$6:$H$705,0)))</f>
        <v/>
      </c>
      <c r="D17" s="7" t="str">
        <f aca="false">IF(A17="","",INDEX(Despiece!$E$6:$E$705,MATCH($B$4&amp;"|"&amp;10,Despiece!$H$6:$H$705,0)))</f>
        <v/>
      </c>
      <c r="E17" s="8"/>
      <c r="F17" s="7" t="str">
        <f aca="false">IF(A17="","",IF(E17&lt;&gt;"",E17,IFERROR(IF($C17="Tela principal",INDEX(Recetas!$K$6:$K$115,MATCH($B$4,Recetas!$A$6:$A$115,0))&amp;"",IF($C17="Tela 2",INDEX(Recetas!$L$6:$L$115,MATCH($B$4,Recetas!$A$6:$A$115,0))&amp;"",IF(INDEX(Recetas!$M$6:$M$115,MATCH($B$4,Recetas!$A$6:$A$115,0))&amp;""="",INDEX(Recetas!$K$6:$K$115,MATCH($B$4,Recetas!$A$6:$A$115,0))&amp;"",INDEX(Recetas!$M$6:$M$115,MATCH($B$4,Recetas!$A$6:$A$115,0))&amp;""))),"")))</f>
        <v/>
      </c>
      <c r="G17" s="9" t="str">
        <f aca="false">IF(A17="","",IF(N(INDEX(Despiece!$F$6:$F$705,MATCH($B$4&amp;"|"&amp;10,Despiece!$H$6:$H$705,0)))&gt;0,INDEX(Despiece!$F$6:$F$705,MATCH($B$4&amp;"|"&amp;10,Despiece!$H$6:$H$705,0))*IFERROR(IF($C17="Tela principal",INDEX(Recetas!$Q$6:$Q$115,MATCH($B$4,Recetas!$A$6:$A$115,0)),IF($C17="Tela 2",INDEX(Recetas!$T$6:$T$115,MATCH($B$4,Recetas!$A$6:$A$115,0)),INDEX(Recetas!$W$6:$W$115,MATCH($B$4,Recetas!$A$6:$A$115,0))))/IF($C17="Tela principal",INDEX(Recetas!$O$6:$O$115,MATCH($B$4,Recetas!$A$6:$A$115,0)),IF($C17="Tela 2",INDEX(Recetas!$R$6:$R$115,MATCH($B$4,Recetas!$A$6:$A$115,0)),INDEX(Recetas!$U$6:$U$115,MATCH($B$4,Recetas!$A$6:$A$115,0)))),1+Parametros!$B$22),""))</f>
        <v/>
      </c>
      <c r="H17" s="10" t="str">
        <f aca="false">IF(OR(A17="",F17=""),"",IFERROR(IF(N(INDEX(Telas!$I$6:$I$105,MATCH(F17,Telas!$A$6:$A$105,0)))&gt;0,INDEX(Telas!$I$6:$I$105,MATCH(F17,Telas!$A$6:$A$105,0)),""),""))</f>
        <v/>
      </c>
      <c r="I17" s="11" t="str">
        <f aca="false">IF(AND(ISNUMBER(G17),ISNUMBER(H17)),G17*H17,"")</f>
        <v/>
      </c>
      <c r="J17" s="12" t="str">
        <f aca="false">IF(A17="","",IF(ISNUMBER(I17),"",IF(NOT(ISNUMBER(G17)),"Faltan los metros de esta pieza (hoja Despiece). ","")&amp;IF(F17="","Elige la tela. ",IF(NOT(ISNUMBER(H17)),"Falta precio o peso de 1 m de "&amp;F17&amp;" (hoja Telas). ",""))))</f>
        <v/>
      </c>
    </row>
    <row r="18" customFormat="false" ht="15" hidden="false" customHeight="false" outlineLevel="0" collapsed="false">
      <c r="A18" s="7" t="str">
        <f aca="false">IFERROR(INDEX(Despiece!$B$6:$B$705,MATCH($B$4&amp;"|"&amp;11,Despiece!$H$6:$H$705,0)),"")</f>
        <v/>
      </c>
      <c r="B18" s="7" t="str">
        <f aca="false">IF(A18="","",INDEX(Despiece!$C$6:$C$705,MATCH($B$4&amp;"|"&amp;11,Despiece!$H$6:$H$705,0)))</f>
        <v/>
      </c>
      <c r="C18" s="7" t="str">
        <f aca="false">IF(A18="","",INDEX(Despiece!$D$6:$D$705,MATCH($B$4&amp;"|"&amp;11,Despiece!$H$6:$H$705,0)))</f>
        <v/>
      </c>
      <c r="D18" s="7" t="str">
        <f aca="false">IF(A18="","",INDEX(Despiece!$E$6:$E$705,MATCH($B$4&amp;"|"&amp;11,Despiece!$H$6:$H$705,0)))</f>
        <v/>
      </c>
      <c r="E18" s="8"/>
      <c r="F18" s="7" t="str">
        <f aca="false">IF(A18="","",IF(E18&lt;&gt;"",E18,IFERROR(IF($C18="Tela principal",INDEX(Recetas!$K$6:$K$115,MATCH($B$4,Recetas!$A$6:$A$115,0))&amp;"",IF($C18="Tela 2",INDEX(Recetas!$L$6:$L$115,MATCH($B$4,Recetas!$A$6:$A$115,0))&amp;"",IF(INDEX(Recetas!$M$6:$M$115,MATCH($B$4,Recetas!$A$6:$A$115,0))&amp;""="",INDEX(Recetas!$K$6:$K$115,MATCH($B$4,Recetas!$A$6:$A$115,0))&amp;"",INDEX(Recetas!$M$6:$M$115,MATCH($B$4,Recetas!$A$6:$A$115,0))&amp;""))),"")))</f>
        <v/>
      </c>
      <c r="G18" s="9" t="str">
        <f aca="false">IF(A18="","",IF(N(INDEX(Despiece!$F$6:$F$705,MATCH($B$4&amp;"|"&amp;11,Despiece!$H$6:$H$705,0)))&gt;0,INDEX(Despiece!$F$6:$F$705,MATCH($B$4&amp;"|"&amp;11,Despiece!$H$6:$H$705,0))*IFERROR(IF($C18="Tela principal",INDEX(Recetas!$Q$6:$Q$115,MATCH($B$4,Recetas!$A$6:$A$115,0)),IF($C18="Tela 2",INDEX(Recetas!$T$6:$T$115,MATCH($B$4,Recetas!$A$6:$A$115,0)),INDEX(Recetas!$W$6:$W$115,MATCH($B$4,Recetas!$A$6:$A$115,0))))/IF($C18="Tela principal",INDEX(Recetas!$O$6:$O$115,MATCH($B$4,Recetas!$A$6:$A$115,0)),IF($C18="Tela 2",INDEX(Recetas!$R$6:$R$115,MATCH($B$4,Recetas!$A$6:$A$115,0)),INDEX(Recetas!$U$6:$U$115,MATCH($B$4,Recetas!$A$6:$A$115,0)))),1+Parametros!$B$22),""))</f>
        <v/>
      </c>
      <c r="H18" s="10" t="str">
        <f aca="false">IF(OR(A18="",F18=""),"",IFERROR(IF(N(INDEX(Telas!$I$6:$I$105,MATCH(F18,Telas!$A$6:$A$105,0)))&gt;0,INDEX(Telas!$I$6:$I$105,MATCH(F18,Telas!$A$6:$A$105,0)),""),""))</f>
        <v/>
      </c>
      <c r="I18" s="11" t="str">
        <f aca="false">IF(AND(ISNUMBER(G18),ISNUMBER(H18)),G18*H18,"")</f>
        <v/>
      </c>
      <c r="J18" s="12" t="str">
        <f aca="false">IF(A18="","",IF(ISNUMBER(I18),"",IF(NOT(ISNUMBER(G18)),"Faltan los metros de esta pieza (hoja Despiece). ","")&amp;IF(F18="","Elige la tela. ",IF(NOT(ISNUMBER(H18)),"Falta precio o peso de 1 m de "&amp;F18&amp;" (hoja Telas). ",""))))</f>
        <v/>
      </c>
    </row>
    <row r="19" customFormat="false" ht="15" hidden="false" customHeight="false" outlineLevel="0" collapsed="false">
      <c r="A19" s="7" t="str">
        <f aca="false">IFERROR(INDEX(Despiece!$B$6:$B$705,MATCH($B$4&amp;"|"&amp;12,Despiece!$H$6:$H$705,0)),"")</f>
        <v/>
      </c>
      <c r="B19" s="7" t="str">
        <f aca="false">IF(A19="","",INDEX(Despiece!$C$6:$C$705,MATCH($B$4&amp;"|"&amp;12,Despiece!$H$6:$H$705,0)))</f>
        <v/>
      </c>
      <c r="C19" s="7" t="str">
        <f aca="false">IF(A19="","",INDEX(Despiece!$D$6:$D$705,MATCH($B$4&amp;"|"&amp;12,Despiece!$H$6:$H$705,0)))</f>
        <v/>
      </c>
      <c r="D19" s="7" t="str">
        <f aca="false">IF(A19="","",INDEX(Despiece!$E$6:$E$705,MATCH($B$4&amp;"|"&amp;12,Despiece!$H$6:$H$705,0)))</f>
        <v/>
      </c>
      <c r="E19" s="8"/>
      <c r="F19" s="7" t="str">
        <f aca="false">IF(A19="","",IF(E19&lt;&gt;"",E19,IFERROR(IF($C19="Tela principal",INDEX(Recetas!$K$6:$K$115,MATCH($B$4,Recetas!$A$6:$A$115,0))&amp;"",IF($C19="Tela 2",INDEX(Recetas!$L$6:$L$115,MATCH($B$4,Recetas!$A$6:$A$115,0))&amp;"",IF(INDEX(Recetas!$M$6:$M$115,MATCH($B$4,Recetas!$A$6:$A$115,0))&amp;""="",INDEX(Recetas!$K$6:$K$115,MATCH($B$4,Recetas!$A$6:$A$115,0))&amp;"",INDEX(Recetas!$M$6:$M$115,MATCH($B$4,Recetas!$A$6:$A$115,0))&amp;""))),"")))</f>
        <v/>
      </c>
      <c r="G19" s="9" t="str">
        <f aca="false">IF(A19="","",IF(N(INDEX(Despiece!$F$6:$F$705,MATCH($B$4&amp;"|"&amp;12,Despiece!$H$6:$H$705,0)))&gt;0,INDEX(Despiece!$F$6:$F$705,MATCH($B$4&amp;"|"&amp;12,Despiece!$H$6:$H$705,0))*IFERROR(IF($C19="Tela principal",INDEX(Recetas!$Q$6:$Q$115,MATCH($B$4,Recetas!$A$6:$A$115,0)),IF($C19="Tela 2",INDEX(Recetas!$T$6:$T$115,MATCH($B$4,Recetas!$A$6:$A$115,0)),INDEX(Recetas!$W$6:$W$115,MATCH($B$4,Recetas!$A$6:$A$115,0))))/IF($C19="Tela principal",INDEX(Recetas!$O$6:$O$115,MATCH($B$4,Recetas!$A$6:$A$115,0)),IF($C19="Tela 2",INDEX(Recetas!$R$6:$R$115,MATCH($B$4,Recetas!$A$6:$A$115,0)),INDEX(Recetas!$U$6:$U$115,MATCH($B$4,Recetas!$A$6:$A$115,0)))),1+Parametros!$B$22),""))</f>
        <v/>
      </c>
      <c r="H19" s="10" t="str">
        <f aca="false">IF(OR(A19="",F19=""),"",IFERROR(IF(N(INDEX(Telas!$I$6:$I$105,MATCH(F19,Telas!$A$6:$A$105,0)))&gt;0,INDEX(Telas!$I$6:$I$105,MATCH(F19,Telas!$A$6:$A$105,0)),""),""))</f>
        <v/>
      </c>
      <c r="I19" s="11" t="str">
        <f aca="false">IF(AND(ISNUMBER(G19),ISNUMBER(H19)),G19*H19,"")</f>
        <v/>
      </c>
      <c r="J19" s="12" t="str">
        <f aca="false">IF(A19="","",IF(ISNUMBER(I19),"",IF(NOT(ISNUMBER(G19)),"Faltan los metros de esta pieza (hoja Despiece). ","")&amp;IF(F19="","Elige la tela. ",IF(NOT(ISNUMBER(H19)),"Falta precio o peso de 1 m de "&amp;F19&amp;" (hoja Telas). ",""))))</f>
        <v/>
      </c>
    </row>
    <row r="20" customFormat="false" ht="15" hidden="false" customHeight="false" outlineLevel="0" collapsed="false">
      <c r="A20" s="7" t="str">
        <f aca="false">IFERROR(INDEX(Despiece!$B$6:$B$705,MATCH($B$4&amp;"|"&amp;13,Despiece!$H$6:$H$705,0)),"")</f>
        <v/>
      </c>
      <c r="B20" s="7" t="str">
        <f aca="false">IF(A20="","",INDEX(Despiece!$C$6:$C$705,MATCH($B$4&amp;"|"&amp;13,Despiece!$H$6:$H$705,0)))</f>
        <v/>
      </c>
      <c r="C20" s="7" t="str">
        <f aca="false">IF(A20="","",INDEX(Despiece!$D$6:$D$705,MATCH($B$4&amp;"|"&amp;13,Despiece!$H$6:$H$705,0)))</f>
        <v/>
      </c>
      <c r="D20" s="7" t="str">
        <f aca="false">IF(A20="","",INDEX(Despiece!$E$6:$E$705,MATCH($B$4&amp;"|"&amp;13,Despiece!$H$6:$H$705,0)))</f>
        <v/>
      </c>
      <c r="E20" s="8"/>
      <c r="F20" s="7" t="str">
        <f aca="false">IF(A20="","",IF(E20&lt;&gt;"",E20,IFERROR(IF($C20="Tela principal",INDEX(Recetas!$K$6:$K$115,MATCH($B$4,Recetas!$A$6:$A$115,0))&amp;"",IF($C20="Tela 2",INDEX(Recetas!$L$6:$L$115,MATCH($B$4,Recetas!$A$6:$A$115,0))&amp;"",IF(INDEX(Recetas!$M$6:$M$115,MATCH($B$4,Recetas!$A$6:$A$115,0))&amp;""="",INDEX(Recetas!$K$6:$K$115,MATCH($B$4,Recetas!$A$6:$A$115,0))&amp;"",INDEX(Recetas!$M$6:$M$115,MATCH($B$4,Recetas!$A$6:$A$115,0))&amp;""))),"")))</f>
        <v/>
      </c>
      <c r="G20" s="9" t="str">
        <f aca="false">IF(A20="","",IF(N(INDEX(Despiece!$F$6:$F$705,MATCH($B$4&amp;"|"&amp;13,Despiece!$H$6:$H$705,0)))&gt;0,INDEX(Despiece!$F$6:$F$705,MATCH($B$4&amp;"|"&amp;13,Despiece!$H$6:$H$705,0))*IFERROR(IF($C20="Tela principal",INDEX(Recetas!$Q$6:$Q$115,MATCH($B$4,Recetas!$A$6:$A$115,0)),IF($C20="Tela 2",INDEX(Recetas!$T$6:$T$115,MATCH($B$4,Recetas!$A$6:$A$115,0)),INDEX(Recetas!$W$6:$W$115,MATCH($B$4,Recetas!$A$6:$A$115,0))))/IF($C20="Tela principal",INDEX(Recetas!$O$6:$O$115,MATCH($B$4,Recetas!$A$6:$A$115,0)),IF($C20="Tela 2",INDEX(Recetas!$R$6:$R$115,MATCH($B$4,Recetas!$A$6:$A$115,0)),INDEX(Recetas!$U$6:$U$115,MATCH($B$4,Recetas!$A$6:$A$115,0)))),1+Parametros!$B$22),""))</f>
        <v/>
      </c>
      <c r="H20" s="10" t="str">
        <f aca="false">IF(OR(A20="",F20=""),"",IFERROR(IF(N(INDEX(Telas!$I$6:$I$105,MATCH(F20,Telas!$A$6:$A$105,0)))&gt;0,INDEX(Telas!$I$6:$I$105,MATCH(F20,Telas!$A$6:$A$105,0)),""),""))</f>
        <v/>
      </c>
      <c r="I20" s="11" t="str">
        <f aca="false">IF(AND(ISNUMBER(G20),ISNUMBER(H20)),G20*H20,"")</f>
        <v/>
      </c>
      <c r="J20" s="12" t="str">
        <f aca="false">IF(A20="","",IF(ISNUMBER(I20),"",IF(NOT(ISNUMBER(G20)),"Faltan los metros de esta pieza (hoja Despiece). ","")&amp;IF(F20="","Elige la tela. ",IF(NOT(ISNUMBER(H20)),"Falta precio o peso de 1 m de "&amp;F20&amp;" (hoja Telas). ",""))))</f>
        <v/>
      </c>
    </row>
    <row r="21" customFormat="false" ht="15" hidden="false" customHeight="false" outlineLevel="0" collapsed="false">
      <c r="A21" s="7" t="str">
        <f aca="false">IFERROR(INDEX(Despiece!$B$6:$B$705,MATCH($B$4&amp;"|"&amp;14,Despiece!$H$6:$H$705,0)),"")</f>
        <v/>
      </c>
      <c r="B21" s="7" t="str">
        <f aca="false">IF(A21="","",INDEX(Despiece!$C$6:$C$705,MATCH($B$4&amp;"|"&amp;14,Despiece!$H$6:$H$705,0)))</f>
        <v/>
      </c>
      <c r="C21" s="7" t="str">
        <f aca="false">IF(A21="","",INDEX(Despiece!$D$6:$D$705,MATCH($B$4&amp;"|"&amp;14,Despiece!$H$6:$H$705,0)))</f>
        <v/>
      </c>
      <c r="D21" s="7" t="str">
        <f aca="false">IF(A21="","",INDEX(Despiece!$E$6:$E$705,MATCH($B$4&amp;"|"&amp;14,Despiece!$H$6:$H$705,0)))</f>
        <v/>
      </c>
      <c r="E21" s="8"/>
      <c r="F21" s="7" t="str">
        <f aca="false">IF(A21="","",IF(E21&lt;&gt;"",E21,IFERROR(IF($C21="Tela principal",INDEX(Recetas!$K$6:$K$115,MATCH($B$4,Recetas!$A$6:$A$115,0))&amp;"",IF($C21="Tela 2",INDEX(Recetas!$L$6:$L$115,MATCH($B$4,Recetas!$A$6:$A$115,0))&amp;"",IF(INDEX(Recetas!$M$6:$M$115,MATCH($B$4,Recetas!$A$6:$A$115,0))&amp;""="",INDEX(Recetas!$K$6:$K$115,MATCH($B$4,Recetas!$A$6:$A$115,0))&amp;"",INDEX(Recetas!$M$6:$M$115,MATCH($B$4,Recetas!$A$6:$A$115,0))&amp;""))),"")))</f>
        <v/>
      </c>
      <c r="G21" s="9" t="str">
        <f aca="false">IF(A21="","",IF(N(INDEX(Despiece!$F$6:$F$705,MATCH($B$4&amp;"|"&amp;14,Despiece!$H$6:$H$705,0)))&gt;0,INDEX(Despiece!$F$6:$F$705,MATCH($B$4&amp;"|"&amp;14,Despiece!$H$6:$H$705,0))*IFERROR(IF($C21="Tela principal",INDEX(Recetas!$Q$6:$Q$115,MATCH($B$4,Recetas!$A$6:$A$115,0)),IF($C21="Tela 2",INDEX(Recetas!$T$6:$T$115,MATCH($B$4,Recetas!$A$6:$A$115,0)),INDEX(Recetas!$W$6:$W$115,MATCH($B$4,Recetas!$A$6:$A$115,0))))/IF($C21="Tela principal",INDEX(Recetas!$O$6:$O$115,MATCH($B$4,Recetas!$A$6:$A$115,0)),IF($C21="Tela 2",INDEX(Recetas!$R$6:$R$115,MATCH($B$4,Recetas!$A$6:$A$115,0)),INDEX(Recetas!$U$6:$U$115,MATCH($B$4,Recetas!$A$6:$A$115,0)))),1+Parametros!$B$22),""))</f>
        <v/>
      </c>
      <c r="H21" s="10" t="str">
        <f aca="false">IF(OR(A21="",F21=""),"",IFERROR(IF(N(INDEX(Telas!$I$6:$I$105,MATCH(F21,Telas!$A$6:$A$105,0)))&gt;0,INDEX(Telas!$I$6:$I$105,MATCH(F21,Telas!$A$6:$A$105,0)),""),""))</f>
        <v/>
      </c>
      <c r="I21" s="11" t="str">
        <f aca="false">IF(AND(ISNUMBER(G21),ISNUMBER(H21)),G21*H21,"")</f>
        <v/>
      </c>
      <c r="J21" s="12" t="str">
        <f aca="false">IF(A21="","",IF(ISNUMBER(I21),"",IF(NOT(ISNUMBER(G21)),"Faltan los metros de esta pieza (hoja Despiece). ","")&amp;IF(F21="","Elige la tela. ",IF(NOT(ISNUMBER(H21)),"Falta precio o peso de 1 m de "&amp;F21&amp;" (hoja Telas). ",""))))</f>
        <v/>
      </c>
    </row>
    <row r="22" customFormat="false" ht="15" hidden="false" customHeight="false" outlineLevel="0" collapsed="false">
      <c r="A22" s="7" t="str">
        <f aca="false">IFERROR(INDEX(Despiece!$B$6:$B$705,MATCH($B$4&amp;"|"&amp;15,Despiece!$H$6:$H$705,0)),"")</f>
        <v/>
      </c>
      <c r="B22" s="7" t="str">
        <f aca="false">IF(A22="","",INDEX(Despiece!$C$6:$C$705,MATCH($B$4&amp;"|"&amp;15,Despiece!$H$6:$H$705,0)))</f>
        <v/>
      </c>
      <c r="C22" s="7" t="str">
        <f aca="false">IF(A22="","",INDEX(Despiece!$D$6:$D$705,MATCH($B$4&amp;"|"&amp;15,Despiece!$H$6:$H$705,0)))</f>
        <v/>
      </c>
      <c r="D22" s="7" t="str">
        <f aca="false">IF(A22="","",INDEX(Despiece!$E$6:$E$705,MATCH($B$4&amp;"|"&amp;15,Despiece!$H$6:$H$705,0)))</f>
        <v/>
      </c>
      <c r="E22" s="8"/>
      <c r="F22" s="7" t="str">
        <f aca="false">IF(A22="","",IF(E22&lt;&gt;"",E22,IFERROR(IF($C22="Tela principal",INDEX(Recetas!$K$6:$K$115,MATCH($B$4,Recetas!$A$6:$A$115,0))&amp;"",IF($C22="Tela 2",INDEX(Recetas!$L$6:$L$115,MATCH($B$4,Recetas!$A$6:$A$115,0))&amp;"",IF(INDEX(Recetas!$M$6:$M$115,MATCH($B$4,Recetas!$A$6:$A$115,0))&amp;""="",INDEX(Recetas!$K$6:$K$115,MATCH($B$4,Recetas!$A$6:$A$115,0))&amp;"",INDEX(Recetas!$M$6:$M$115,MATCH($B$4,Recetas!$A$6:$A$115,0))&amp;""))),"")))</f>
        <v/>
      </c>
      <c r="G22" s="9" t="str">
        <f aca="false">IF(A22="","",IF(N(INDEX(Despiece!$F$6:$F$705,MATCH($B$4&amp;"|"&amp;15,Despiece!$H$6:$H$705,0)))&gt;0,INDEX(Despiece!$F$6:$F$705,MATCH($B$4&amp;"|"&amp;15,Despiece!$H$6:$H$705,0))*IFERROR(IF($C22="Tela principal",INDEX(Recetas!$Q$6:$Q$115,MATCH($B$4,Recetas!$A$6:$A$115,0)),IF($C22="Tela 2",INDEX(Recetas!$T$6:$T$115,MATCH($B$4,Recetas!$A$6:$A$115,0)),INDEX(Recetas!$W$6:$W$115,MATCH($B$4,Recetas!$A$6:$A$115,0))))/IF($C22="Tela principal",INDEX(Recetas!$O$6:$O$115,MATCH($B$4,Recetas!$A$6:$A$115,0)),IF($C22="Tela 2",INDEX(Recetas!$R$6:$R$115,MATCH($B$4,Recetas!$A$6:$A$115,0)),INDEX(Recetas!$U$6:$U$115,MATCH($B$4,Recetas!$A$6:$A$115,0)))),1+Parametros!$B$22),""))</f>
        <v/>
      </c>
      <c r="H22" s="10" t="str">
        <f aca="false">IF(OR(A22="",F22=""),"",IFERROR(IF(N(INDEX(Telas!$I$6:$I$105,MATCH(F22,Telas!$A$6:$A$105,0)))&gt;0,INDEX(Telas!$I$6:$I$105,MATCH(F22,Telas!$A$6:$A$105,0)),""),""))</f>
        <v/>
      </c>
      <c r="I22" s="11" t="str">
        <f aca="false">IF(AND(ISNUMBER(G22),ISNUMBER(H22)),G22*H22,"")</f>
        <v/>
      </c>
      <c r="J22" s="12" t="str">
        <f aca="false">IF(A22="","",IF(ISNUMBER(I22),"",IF(NOT(ISNUMBER(G22)),"Faltan los metros de esta pieza (hoja Despiece). ","")&amp;IF(F22="","Elige la tela. ",IF(NOT(ISNUMBER(H22)),"Falta precio o peso de 1 m de "&amp;F22&amp;" (hoja Telas). ",""))))</f>
        <v/>
      </c>
    </row>
    <row r="24" customFormat="false" ht="15" hidden="false" customHeight="false" outlineLevel="0" collapsed="false">
      <c r="A24" s="13" t="s">
        <v>16</v>
      </c>
    </row>
    <row r="25" customFormat="false" ht="15" hidden="false" customHeight="false" outlineLevel="0" collapsed="false">
      <c r="A25" s="0" t="s">
        <v>17</v>
      </c>
      <c r="I25" s="10" t="str">
        <f aca="false">IF(COUNTA(A8:A22)-COUNTBLANK(A8:A22)=0,"",IF(SUMPRODUCT((A8:A22&lt;&gt;"")*NOT(ISNUMBER(I8:I22)))&gt;0,"Faltan datos ↑",SUM(I8:I22)))</f>
        <v>Faltan datos ↑</v>
      </c>
      <c r="J25" s="14"/>
    </row>
    <row r="26" customFormat="false" ht="15" hidden="false" customHeight="false" outlineLevel="0" collapsed="false">
      <c r="A26" s="0" t="s">
        <v>18</v>
      </c>
      <c r="I26" s="10" t="n">
        <f aca="false">IFERROR(INDEX(Recetas!$AA$6:$AA$115,MATCH($B$4,Recetas!$A$6:$A$115,0))*1,"Faltan metros impresos")</f>
        <v>0</v>
      </c>
      <c r="J26" s="14" t="str">
        <f aca="false">IFERROR(TEXT(INDEX(Recetas!$Y$6:$Y$115,MATCH($B$4,Recetas!$A$6:$A$115,0)),"0.00")&amp;" m impresos × "&amp;TEXT(Parametros!$B$19,"$#,##0")&amp;" por metro"&amp;IF(N(Parametros!$B$19)=0,"  ← OJO: costo de impresión en $0 (Parametros)",""),"")</f>
        <v>1.90 m impresos × $0 por metro  ← OJO: costo de impresión en $0 (Parametros)</v>
      </c>
    </row>
    <row r="27" customFormat="false" ht="15" hidden="false" customHeight="false" outlineLevel="0" collapsed="false">
      <c r="A27" s="0" t="s">
        <v>19</v>
      </c>
      <c r="I27" s="10" t="n">
        <f aca="false">IFERROR(INDEX(Recetas!$AB$6:$AB$115,MATCH($B$4,Recetas!$A$6:$A$115,0))*1,"Falta tipo/precio de confección")</f>
        <v>2000</v>
      </c>
      <c r="J27" s="14" t="str">
        <f aca="false">IFERROR(INDEX(Recetas!$F$6:$F$115,MATCH($B$4,Recetas!$A$6:$A$115,0))&amp;"","")</f>
        <v>Camiseta De Futbol</v>
      </c>
    </row>
    <row r="28" customFormat="false" ht="15" hidden="false" customHeight="false" outlineLevel="0" collapsed="false">
      <c r="A28" s="0" t="s">
        <v>20</v>
      </c>
      <c r="I28" s="10" t="n">
        <f aca="false">IFERROR(INDEX(Recetas!$AC$6:$AC$115,MATCH($B$4,Recetas!$A$6:$A$115,0))*1,0)</f>
        <v>0</v>
      </c>
      <c r="J28" s="14" t="str">
        <f aca="false">IFERROR(IF(INDEX(Recetas!$G$6:$G$115,MATCH($B$4,Recetas!$A$6:$A$115,0))&amp;""="","Sin avíos",INDEX(Recetas!$G$6:$G$115,MATCH($B$4,Recetas!$A$6:$A$115,0))&amp;" × "&amp;INDEX(Recetas!$H$6:$H$115,MATCH($B$4,Recetas!$A$6:$A$115,0))&amp;IF(INDEX(Recetas!$I$6:$I$115,MATCH($B$4,Recetas!$A$6:$A$115,0))&amp;""="",""," + "&amp;INDEX(Recetas!$I$6:$I$115,MATCH($B$4,Recetas!$A$6:$A$115,0))&amp;" × "&amp;INDEX(Recetas!$J$6:$J$115,MATCH($B$4,Recetas!$A$6:$A$115,0)))),"")</f>
        <v>Sin avíos</v>
      </c>
    </row>
    <row r="29" customFormat="false" ht="15" hidden="false" customHeight="false" outlineLevel="0" collapsed="false">
      <c r="A29" s="0" t="s">
        <v>21</v>
      </c>
      <c r="I29" s="15"/>
      <c r="J29" s="14" t="s">
        <v>22</v>
      </c>
    </row>
    <row r="30" customFormat="false" ht="15" hidden="false" customHeight="false" outlineLevel="0" collapsed="false">
      <c r="A30" s="16" t="s">
        <v>23</v>
      </c>
      <c r="I30" s="17" t="str">
        <f aca="false">IFERROR(I25+I26+I27+I28+N(I29),"Completa los datos ↑")</f>
        <v>Completa los datos ↑</v>
      </c>
    </row>
    <row r="32" customFormat="false" ht="15" hidden="false" customHeight="false" outlineLevel="0" collapsed="false">
      <c r="A32" s="13" t="s">
        <v>24</v>
      </c>
    </row>
    <row r="33" customFormat="false" ht="15" hidden="false" customHeight="false" outlineLevel="0" collapsed="false">
      <c r="A33" s="0" t="str">
        <f aca="false">"Precio mínimo de venta (neto): costo × "&amp;TEXT(Parametros!$B$12,"0.00")&amp;"  (gastos generales "&amp;TEXT(Parametros!$B$8,"0.0%")&amp;" + ganancia "&amp;TEXT(Parametros!$B$11,"0%")&amp;")"</f>
        <v>Precio mínimo de venta (neto): costo × 2.40  (gastos generales 43.4% + ganancia 15%)</v>
      </c>
      <c r="I33" s="11" t="str">
        <f aca="false">IF(ISNUMBER(I30),I30*Parametros!$B$12,"")</f>
        <v/>
      </c>
    </row>
    <row r="34" customFormat="false" ht="15" hidden="false" customHeight="false" outlineLevel="0" collapsed="false">
      <c r="A34" s="0" t="s">
        <v>25</v>
      </c>
      <c r="I34" s="15"/>
    </row>
    <row r="35" customFormat="false" ht="15" hidden="false" customHeight="false" outlineLevel="0" collapsed="false">
      <c r="A35" s="0" t="s">
        <v>26</v>
      </c>
      <c r="I35" s="10" t="str">
        <f aca="false">IF(N(I34)&gt;0,I34*Parametros!$B$8,"")</f>
        <v/>
      </c>
    </row>
    <row r="36" customFormat="false" ht="15" hidden="false" customHeight="false" outlineLevel="0" collapsed="false">
      <c r="A36" s="0" t="s">
        <v>27</v>
      </c>
      <c r="I36" s="11" t="str">
        <f aca="false">IF(AND(ISNUMBER(I30),N(I34)&gt;0),I34-I30-I35,"")</f>
        <v/>
      </c>
      <c r="J36" s="18" t="str">
        <f aca="false">IF(ISNUMBER(I36),TEXT(I36/I34,"0.0%")&amp;" del precio"&amp;IF(I36&lt;0,"  ← PIERDE PLATA",IF(I36/I34&lt;Parametros!$B$11,"  ← bajo la meta","")),"")</f>
        <v/>
      </c>
    </row>
    <row r="38" customFormat="false" ht="15" hidden="false" customHeight="false" outlineLevel="0" collapsed="false">
      <c r="A38" s="2" t="s">
        <v>28</v>
      </c>
    </row>
  </sheetData>
  <mergeCells count="1">
    <mergeCell ref="B4:E4"/>
  </mergeCells>
  <dataValidations count="16">
    <dataValidation allowBlank="true" errorStyle="stop" operator="between" showDropDown="false" showErrorMessage="false" showInputMessage="false" sqref="B4" type="list">
      <formula1>Recetas!$A$6:$A$115</formula1>
      <formula2>0</formula2>
    </dataValidation>
    <dataValidation allowBlank="true" errorStyle="stop" operator="between" showDropDown="false" showErrorMessage="false" showInputMessage="false" sqref="E8" type="list">
      <formula1>Telas!$A$6:$A$105</formula1>
      <formula2>0</formula2>
    </dataValidation>
    <dataValidation allowBlank="true" errorStyle="stop" operator="between" showDropDown="false" showErrorMessage="false" showInputMessage="false" sqref="E9" type="list">
      <formula1>Telas!$A$6:$A$105</formula1>
      <formula2>0</formula2>
    </dataValidation>
    <dataValidation allowBlank="true" errorStyle="stop" operator="between" showDropDown="false" showErrorMessage="false" showInputMessage="false" sqref="E10" type="list">
      <formula1>Telas!$A$6:$A$105</formula1>
      <formula2>0</formula2>
    </dataValidation>
    <dataValidation allowBlank="true" errorStyle="stop" operator="between" showDropDown="false" showErrorMessage="false" showInputMessage="false" sqref="E11" type="list">
      <formula1>Telas!$A$6:$A$105</formula1>
      <formula2>0</formula2>
    </dataValidation>
    <dataValidation allowBlank="true" errorStyle="stop" operator="between" showDropDown="false" showErrorMessage="false" showInputMessage="false" sqref="E12" type="list">
      <formula1>Telas!$A$6:$A$105</formula1>
      <formula2>0</formula2>
    </dataValidation>
    <dataValidation allowBlank="true" errorStyle="stop" operator="between" showDropDown="false" showErrorMessage="false" showInputMessage="false" sqref="E13" type="list">
      <formula1>Telas!$A$6:$A$105</formula1>
      <formula2>0</formula2>
    </dataValidation>
    <dataValidation allowBlank="true" errorStyle="stop" operator="between" showDropDown="false" showErrorMessage="false" showInputMessage="false" sqref="E14" type="list">
      <formula1>Telas!$A$6:$A$105</formula1>
      <formula2>0</formula2>
    </dataValidation>
    <dataValidation allowBlank="true" errorStyle="stop" operator="between" showDropDown="false" showErrorMessage="false" showInputMessage="false" sqref="E15" type="list">
      <formula1>Telas!$A$6:$A$105</formula1>
      <formula2>0</formula2>
    </dataValidation>
    <dataValidation allowBlank="true" errorStyle="stop" operator="between" showDropDown="false" showErrorMessage="false" showInputMessage="false" sqref="E16" type="list">
      <formula1>Telas!$A$6:$A$105</formula1>
      <formula2>0</formula2>
    </dataValidation>
    <dataValidation allowBlank="true" errorStyle="stop" operator="between" showDropDown="false" showErrorMessage="false" showInputMessage="false" sqref="E17" type="list">
      <formula1>Telas!$A$6:$A$105</formula1>
      <formula2>0</formula2>
    </dataValidation>
    <dataValidation allowBlank="true" errorStyle="stop" operator="between" showDropDown="false" showErrorMessage="false" showInputMessage="false" sqref="E18" type="list">
      <formula1>Telas!$A$6:$A$105</formula1>
      <formula2>0</formula2>
    </dataValidation>
    <dataValidation allowBlank="true" errorStyle="stop" operator="between" showDropDown="false" showErrorMessage="false" showInputMessage="false" sqref="E19" type="list">
      <formula1>Telas!$A$6:$A$105</formula1>
      <formula2>0</formula2>
    </dataValidation>
    <dataValidation allowBlank="true" errorStyle="stop" operator="between" showDropDown="false" showErrorMessage="false" showInputMessage="false" sqref="E20" type="list">
      <formula1>Telas!$A$6:$A$105</formula1>
      <formula2>0</formula2>
    </dataValidation>
    <dataValidation allowBlank="true" errorStyle="stop" operator="between" showDropDown="false" showErrorMessage="false" showInputMessage="false" sqref="E21" type="list">
      <formula1>Telas!$A$6:$A$105</formula1>
      <formula2>0</formula2>
    </dataValidation>
    <dataValidation allowBlank="true" errorStyle="stop" operator="between" showDropDown="false" showErrorMessage="false" showInputMessage="false" sqref="E22" type="list">
      <formula1>Telas!$A$6:$A$105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0"/>
  </cols>
  <sheetData>
    <row r="1" customFormat="false" ht="19.7" hidden="false" customHeight="false" outlineLevel="0" collapsed="false">
      <c r="A1" s="19" t="s">
        <v>29</v>
      </c>
    </row>
    <row r="3" customFormat="false" ht="15" hidden="false" customHeight="false" outlineLevel="0" collapsed="false">
      <c r="B3" s="20" t="s">
        <v>30</v>
      </c>
    </row>
    <row r="4" customFormat="false" ht="31.5" hidden="false" customHeight="true" outlineLevel="0" collapsed="false">
      <c r="B4" s="21" t="s">
        <v>31</v>
      </c>
    </row>
    <row r="5" customFormat="false" ht="15" hidden="false" customHeight="false" outlineLevel="0" collapsed="false">
      <c r="B5" s="20" t="s">
        <v>32</v>
      </c>
    </row>
    <row r="6" customFormat="false" ht="31.5" hidden="false" customHeight="true" outlineLevel="0" collapsed="false">
      <c r="B6" s="21" t="s">
        <v>33</v>
      </c>
    </row>
    <row r="7" customFormat="false" ht="15" hidden="false" customHeight="false" outlineLevel="0" collapsed="false">
      <c r="B7" s="20" t="s">
        <v>34</v>
      </c>
    </row>
    <row r="8" customFormat="false" ht="31.5" hidden="false" customHeight="true" outlineLevel="0" collapsed="false">
      <c r="B8" s="21" t="s">
        <v>35</v>
      </c>
    </row>
    <row r="9" customFormat="false" ht="15" hidden="false" customHeight="false" outlineLevel="0" collapsed="false">
      <c r="B9" s="20" t="s">
        <v>36</v>
      </c>
    </row>
    <row r="10" customFormat="false" ht="31.5" hidden="false" customHeight="true" outlineLevel="0" collapsed="false">
      <c r="B10" s="21" t="s">
        <v>37</v>
      </c>
    </row>
    <row r="11" customFormat="false" ht="15" hidden="false" customHeight="false" outlineLevel="0" collapsed="false">
      <c r="B11" s="20" t="s">
        <v>38</v>
      </c>
    </row>
    <row r="12" customFormat="false" ht="31.5" hidden="false" customHeight="true" outlineLevel="0" collapsed="false">
      <c r="B12" s="21" t="s">
        <v>39</v>
      </c>
    </row>
    <row r="13" customFormat="false" ht="15" hidden="false" customHeight="false" outlineLevel="0" collapsed="false">
      <c r="B13" s="20" t="s">
        <v>40</v>
      </c>
    </row>
    <row r="14" customFormat="false" ht="31.5" hidden="false" customHeight="true" outlineLevel="0" collapsed="false">
      <c r="B14" s="21" t="s">
        <v>41</v>
      </c>
    </row>
    <row r="15" customFormat="false" ht="15" hidden="false" customHeight="false" outlineLevel="0" collapsed="false">
      <c r="B15" s="20" t="s">
        <v>42</v>
      </c>
    </row>
    <row r="16" customFormat="false" ht="31.5" hidden="false" customHeight="true" outlineLevel="0" collapsed="false">
      <c r="B16" s="21" t="s">
        <v>43</v>
      </c>
    </row>
    <row r="17" customFormat="false" ht="15" hidden="false" customHeight="false" outlineLevel="0" collapsed="false">
      <c r="B17" s="20" t="s">
        <v>44</v>
      </c>
    </row>
    <row r="18" customFormat="false" ht="31.5" hidden="false" customHeight="true" outlineLevel="0" collapsed="false">
      <c r="B18" s="21" t="s">
        <v>45</v>
      </c>
    </row>
    <row r="19" customFormat="false" ht="15" hidden="false" customHeight="false" outlineLevel="0" collapsed="false">
      <c r="B19" s="20" t="s">
        <v>46</v>
      </c>
    </row>
    <row r="20" customFormat="false" ht="31.5" hidden="false" customHeight="true" outlineLevel="0" collapsed="false">
      <c r="B20" s="21" t="s">
        <v>47</v>
      </c>
    </row>
    <row r="21" customFormat="false" ht="15" hidden="false" customHeight="false" outlineLevel="0" collapsed="false">
      <c r="B21" s="20" t="s">
        <v>48</v>
      </c>
    </row>
    <row r="22" customFormat="false" ht="31.5" hidden="false" customHeight="true" outlineLevel="0" collapsed="false">
      <c r="B22" s="21" t="s">
        <v>49</v>
      </c>
    </row>
    <row r="23" customFormat="false" ht="15" hidden="false" customHeight="false" outlineLevel="0" collapsed="false">
      <c r="B23" s="20" t="s">
        <v>50</v>
      </c>
    </row>
    <row r="24" customFormat="false" ht="31.5" hidden="false" customHeight="true" outlineLevel="0" collapsed="false">
      <c r="B24" s="21" t="s">
        <v>51</v>
      </c>
    </row>
    <row r="25" customFormat="false" ht="15" hidden="false" customHeight="false" outlineLevel="0" collapsed="false">
      <c r="B25" s="20" t="s">
        <v>52</v>
      </c>
    </row>
    <row r="26" customFormat="false" ht="31.5" hidden="false" customHeight="true" outlineLevel="0" collapsed="false">
      <c r="B26" s="21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5"/>
    <col collapsed="false" customWidth="true" hidden="false" outlineLevel="0" max="6" min="6" style="0" width="26"/>
    <col collapsed="false" customWidth="true" hidden="false" outlineLevel="0" max="7" min="7" style="0" width="14"/>
    <col collapsed="false" customWidth="true" hidden="false" outlineLevel="0" max="8" min="8" style="0" width="6"/>
    <col collapsed="false" customWidth="true" hidden="false" outlineLevel="0" max="9" min="9" style="0" width="14"/>
    <col collapsed="false" customWidth="true" hidden="false" outlineLevel="0" max="10" min="10" style="0" width="6"/>
    <col collapsed="false" customWidth="true" hidden="false" outlineLevel="0" max="11" min="11" style="0" width="28"/>
    <col collapsed="false" customWidth="true" hidden="false" outlineLevel="0" max="12" min="12" style="0" width="18"/>
    <col collapsed="false" customWidth="true" hidden="false" outlineLevel="0" max="14" min="13" style="0" width="14"/>
    <col collapsed="false" customWidth="true" hidden="false" outlineLevel="0" max="23" min="15" style="0" width="10"/>
    <col collapsed="false" customWidth="true" hidden="false" outlineLevel="0" max="24" min="24" style="0" width="12"/>
    <col collapsed="false" customWidth="true" hidden="false" outlineLevel="0" max="25" min="25" style="0" width="10"/>
    <col collapsed="false" customWidth="true" hidden="false" outlineLevel="0" max="27" min="26" style="0" width="11"/>
    <col collapsed="false" customWidth="true" hidden="false" outlineLevel="0" max="28" min="28" style="0" width="12"/>
    <col collapsed="false" customWidth="true" hidden="false" outlineLevel="0" max="29" min="29" style="0" width="10"/>
    <col collapsed="false" customWidth="true" hidden="false" outlineLevel="0" max="31" min="30" style="0" width="13"/>
    <col collapsed="false" customWidth="true" hidden="false" outlineLevel="0" max="32" min="32" style="0" width="12"/>
    <col collapsed="false" customWidth="true" hidden="false" outlineLevel="0" max="33" min="33" style="0" width="44"/>
    <col collapsed="false" customWidth="true" hidden="false" outlineLevel="0" max="34" min="34" style="0" width="50"/>
  </cols>
  <sheetData>
    <row r="1" customFormat="false" ht="17.35" hidden="false" customHeight="false" outlineLevel="0" collapsed="false">
      <c r="A1" s="1" t="s">
        <v>54</v>
      </c>
    </row>
    <row r="2" customFormat="false" ht="15" hidden="false" customHeight="false" outlineLevel="0" collapsed="false">
      <c r="A2" s="2" t="s">
        <v>55</v>
      </c>
    </row>
    <row r="3" customFormat="false" ht="15" hidden="false" customHeight="false" outlineLevel="0" collapsed="false">
      <c r="A3" s="22" t="str">
        <f aca="false">"Recetas listas: "&amp;COUNTIF(AG6:AG115,"Lista*")&amp;" de "&amp;COUNTA(A6:A115)&amp;"   ·   Precio mínimo = costo × "&amp;TEXT(Parametros!B12,"0.00")&amp;" (gastos generales "&amp;TEXT(Parametros!B8,"0.0%")&amp;" + meta "&amp;TEXT(Parametros!B11,"0%")&amp;")"</f>
        <v>Recetas listas: 1 de 58   ·   Precio mínimo = costo × 2.40 (gastos generales 43.4% + meta 15%)</v>
      </c>
    </row>
    <row r="4" customFormat="false" ht="15" hidden="false" customHeight="false" outlineLevel="0" collapsed="false">
      <c r="A4" s="23" t="s">
        <v>56</v>
      </c>
      <c r="F4" s="24" t="s">
        <v>57</v>
      </c>
      <c r="O4" s="25" t="s">
        <v>58</v>
      </c>
      <c r="R4" s="25" t="s">
        <v>59</v>
      </c>
      <c r="U4" s="25" t="s">
        <v>60</v>
      </c>
      <c r="X4" s="25" t="s">
        <v>61</v>
      </c>
      <c r="Z4" s="26" t="s">
        <v>62</v>
      </c>
    </row>
    <row r="5" customFormat="false" ht="45" hidden="false" customHeight="true" outlineLevel="0" collapsed="false">
      <c r="A5" s="6" t="s">
        <v>63</v>
      </c>
      <c r="B5" s="6" t="s">
        <v>64</v>
      </c>
      <c r="C5" s="6" t="s">
        <v>65</v>
      </c>
      <c r="D5" s="6" t="s">
        <v>66</v>
      </c>
      <c r="E5" s="6" t="s">
        <v>67</v>
      </c>
      <c r="F5" s="6" t="s">
        <v>68</v>
      </c>
      <c r="G5" s="6" t="s">
        <v>69</v>
      </c>
      <c r="H5" s="6" t="s">
        <v>7</v>
      </c>
      <c r="I5" s="6" t="s">
        <v>70</v>
      </c>
      <c r="J5" s="6" t="s">
        <v>7</v>
      </c>
      <c r="K5" s="6" t="s">
        <v>71</v>
      </c>
      <c r="L5" s="6" t="s">
        <v>72</v>
      </c>
      <c r="M5" s="6" t="s">
        <v>73</v>
      </c>
      <c r="N5" s="6" t="s">
        <v>74</v>
      </c>
      <c r="O5" s="6" t="s">
        <v>75</v>
      </c>
      <c r="P5" s="6" t="s">
        <v>76</v>
      </c>
      <c r="Q5" s="6" t="s">
        <v>77</v>
      </c>
      <c r="R5" s="6" t="s">
        <v>75</v>
      </c>
      <c r="S5" s="6" t="s">
        <v>76</v>
      </c>
      <c r="T5" s="6" t="s">
        <v>77</v>
      </c>
      <c r="U5" s="6" t="s">
        <v>75</v>
      </c>
      <c r="V5" s="6" t="s">
        <v>76</v>
      </c>
      <c r="W5" s="6" t="s">
        <v>77</v>
      </c>
      <c r="X5" s="6" t="s">
        <v>78</v>
      </c>
      <c r="Y5" s="6" t="s">
        <v>79</v>
      </c>
      <c r="Z5" s="6" t="s">
        <v>80</v>
      </c>
      <c r="AA5" s="6" t="s">
        <v>81</v>
      </c>
      <c r="AB5" s="6" t="s">
        <v>82</v>
      </c>
      <c r="AC5" s="6" t="s">
        <v>83</v>
      </c>
      <c r="AD5" s="6" t="s">
        <v>84</v>
      </c>
      <c r="AE5" s="6" t="s">
        <v>85</v>
      </c>
      <c r="AF5" s="6" t="s">
        <v>86</v>
      </c>
      <c r="AG5" s="6" t="s">
        <v>87</v>
      </c>
      <c r="AH5" s="6" t="s">
        <v>88</v>
      </c>
    </row>
    <row r="6" customFormat="false" ht="15" hidden="false" customHeight="false" outlineLevel="0" collapsed="false">
      <c r="A6" s="27" t="s">
        <v>89</v>
      </c>
      <c r="B6" s="27" t="s">
        <v>90</v>
      </c>
      <c r="C6" s="27" t="s">
        <v>91</v>
      </c>
      <c r="D6" s="27" t="s">
        <v>92</v>
      </c>
      <c r="E6" s="27" t="s">
        <v>93</v>
      </c>
      <c r="F6" s="27" t="s">
        <v>94</v>
      </c>
      <c r="G6" s="8"/>
      <c r="H6" s="27"/>
      <c r="I6" s="8"/>
      <c r="J6" s="27"/>
      <c r="K6" s="8"/>
      <c r="L6" s="8"/>
      <c r="M6" s="8"/>
      <c r="N6" s="8"/>
      <c r="O6" s="9" t="str">
        <f aca="false">IF($A6="","",IF(COUNTIFS(Despiece!$A$6:$A$705,$A6,Despiece!$D$6:$D$705,"Tela principal",Despiece!$F$6:$F$705,"&gt;0")=0,"",SUMIFS(Despiece!$F$6:$F$705,Despiece!$A$6:$A$705,$A6,Despiece!$D$6:$D$705,"Tela principal")))</f>
        <v/>
      </c>
      <c r="P6" s="9" t="str">
        <f aca="false">IF($A6="","",IFERROR(AVERAGEIFS(Mediciones!$K$6:$K$305,Mediciones!$C$6:$C$305,$A6,Mediciones!$D$6:$D$305,"Tela principal"),""))</f>
        <v/>
      </c>
      <c r="Q6" s="28" t="str">
        <f aca="false">IF($A6="","",IF(N(IF($N6="Despiece",IF(ISNUMBER(O6),O6*(1+Parametros!$B$22),IF(COUNTIFS(Despiece!$A$6:$A$705,$A6,Despiece!$D$6:$D$705,"Tela principal")&gt;0,"",0)),IF($N6="Medición real",IF(ISNUMBER(P6),P6,IF(COUNTIFS(Mediciones!$C$6:$C$305,$A6,Mediciones!$D$6:$D$305,"Tela principal")&gt;0,"",0)),IF(ISNUMBER(P6),P6,IF(ISNUMBER(O6),O6*(1+Parametros!$B$22),IF(OR(COUNTIFS(Despiece!$A$6:$A$705,$A6,Despiece!$D$6:$D$705,"Tela principal")&gt;0,COUNTIFS(Mediciones!$C$6:$C$305,$A6,Mediciones!$D$6:$D$305,"Tela principal")&gt;0),"",0))))))=0,"",IF($N6="Despiece",IF(ISNUMBER(O6),O6*(1+Parametros!$B$22),IF(COUNTIFS(Despiece!$A$6:$A$705,$A6,Despiece!$D$6:$D$705,"Tela principal")&gt;0,"",0)),IF($N6="Medición real",IF(ISNUMBER(P6),P6,IF(COUNTIFS(Mediciones!$C$6:$C$305,$A6,Mediciones!$D$6:$D$305,"Tela principal")&gt;0,"",0)),IF(ISNUMBER(P6),P6,IF(ISNUMBER(O6),O6*(1+Parametros!$B$22),IF(OR(COUNTIFS(Despiece!$A$6:$A$705,$A6,Despiece!$D$6:$D$705,"Tela principal")&gt;0,COUNTIFS(Mediciones!$C$6:$C$305,$A6,Mediciones!$D$6:$D$305,"Tela principal")&gt;0),"",0)))))))</f>
        <v/>
      </c>
      <c r="R6" s="9" t="str">
        <f aca="false">IF($A6="","",IF(COUNTIFS(Despiece!$A$6:$A$705,$A6,Despiece!$D$6:$D$705,"Tela 2",Despiece!$F$6:$F$705,"&gt;0")=0,"",SUMIFS(Despiece!$F$6:$F$705,Despiece!$A$6:$A$705,$A6,Despiece!$D$6:$D$705,"Tela 2")))</f>
        <v/>
      </c>
      <c r="S6" s="9" t="str">
        <f aca="false">IF($A6="","",IFERROR(AVERAGEIFS(Mediciones!$K$6:$K$305,Mediciones!$C$6:$C$305,$A6,Mediciones!$D$6:$D$305,"Tela 2"),""))</f>
        <v/>
      </c>
      <c r="T6" s="28" t="n">
        <f aca="false">IF($A6="","",IF($N6="Despiece",IF(ISNUMBER(R6),R6*(1+Parametros!$B$22),IF(COUNTIFS(Despiece!$A$6:$A$705,$A6,Despiece!$D$6:$D$705,"Tela 2")&gt;0,"",0)),IF($N6="Medición real",IF(ISNUMBER(S6),S6,IF(COUNTIFS(Mediciones!$C$6:$C$305,$A6,Mediciones!$D$6:$D$305,"Tela 2")&gt;0,"",0)),IF(ISNUMBER(S6),S6,IF(ISNUMBER(R6),R6*(1+Parametros!$B$22),IF(OR(COUNTIFS(Despiece!$A$6:$A$705,$A6,Despiece!$D$6:$D$705,"Tela 2")&gt;0,COUNTIFS(Mediciones!$C$6:$C$305,$A6,Mediciones!$D$6:$D$305,"Tela 2")&gt;0),"",0))))))</f>
        <v>0</v>
      </c>
      <c r="U6" s="9" t="str">
        <f aca="false">IF($A6="","",IF(COUNTIFS(Despiece!$A$6:$A$705,$A6,Despiece!$D$6:$D$705,"Tela 3",Despiece!$F$6:$F$705,"&gt;0")=0,"",SUMIFS(Despiece!$F$6:$F$705,Despiece!$A$6:$A$705,$A6,Despiece!$D$6:$D$705,"Tela 3")))</f>
        <v/>
      </c>
      <c r="V6" s="9" t="str">
        <f aca="false">IF($A6="","",IFERROR(AVERAGEIFS(Mediciones!$K$6:$K$305,Mediciones!$C$6:$C$305,$A6,Mediciones!$D$6:$D$305,"Tela 3"),""))</f>
        <v/>
      </c>
      <c r="W6" s="28" t="n">
        <f aca="false">IF($A6="","",IF($N6="Despiece",IF(ISNUMBER(U6),U6*(1+Parametros!$B$22),IF(COUNTIFS(Despiece!$A$6:$A$705,$A6,Despiece!$D$6:$D$705,"Tela 3")&gt;0,"",0)),IF($N6="Medición real",IF(ISNUMBER(V6),V6,IF(COUNTIFS(Mediciones!$C$6:$C$305,$A6,Mediciones!$D$6:$D$305,"Tela 3")&gt;0,"",0)),IF(ISNUMBER(V6),V6,IF(ISNUMBER(U6),U6*(1+Parametros!$B$22),IF(OR(COUNTIFS(Despiece!$A$6:$A$705,$A6,Despiece!$D$6:$D$705,"Tela 3")&gt;0,COUNTIFS(Mediciones!$C$6:$C$305,$A6,Mediciones!$D$6:$D$305,"Tela 3")&gt;0),"",0))))))</f>
        <v>0</v>
      </c>
      <c r="X6" s="27"/>
      <c r="Y6" s="9" t="str">
        <f aca="false">IF($A6="","",IF(ISNUMBER(X6),X6,IF(COUNTIFS(Despiece!$A$6:$A$705,$A6,Despiece!$E$6:$E$705,"Sublimada",Despiece!$F$6:$F$705,"&gt;0")&gt;0,SUMIFS(Despiece!$F$6:$F$705,Despiece!$A$6:$A$705,$A6,Despiece!$E$6:$E$705,"Sublimada")*(1+Parametros!$B$22),IF(COUNTIFS(Despiece!$A$6:$A$705,$A6,Despiece!$E$6:$E$705,"Sublimada")=0,0,""))))</f>
        <v/>
      </c>
      <c r="Z6" s="10" t="str">
        <f aca="false">IF($A6="","",IFERROR(IF(ISNUMBER(Q6),IF(Q6=0,0,Q6*INDEX(Telas!$I$6:$I$105,MATCH(K6,Telas!$A$6:$A$105,0))),NA())+IF(ISNUMBER(T6),IF(T6=0,0,T6*INDEX(Telas!$I$6:$I$105,MATCH(L6,Telas!$A$6:$A$105,0))),NA())+IF(ISNUMBER(W6),IF(W6=0,0,W6*INDEX(Telas!$I$6:$I$105,MATCH(IF(M6="",K6,M6),Telas!$A$6:$A$105,0))),NA()),""))</f>
        <v/>
      </c>
      <c r="AA6" s="10" t="str">
        <f aca="false">IF($A6="","",IF(ISNUMBER(Y6),Y6*Parametros!$B$19,""))</f>
        <v/>
      </c>
      <c r="AB6" s="10" t="n">
        <f aca="false">IF(OR($A6="",F6=""),"",IFERROR(INDEX(Confeccion!$B$6:$B$125,MATCH(F6,Confeccion!$A$6:$A$125,0)),""))</f>
        <v>2000</v>
      </c>
      <c r="AC6" s="10" t="n">
        <f aca="false">IF($A6="","",IFERROR(N(H6)*IF(G6="",0,INDEX(Avios!$C$6:$C$65,MATCH(G6,Avios!$A$6:$A$65,0)))+N(J6)*IF(I6="",0,INDEX(Avios!$C$6:$C$65,MATCH(I6,Avios!$A$6:$A$65,0))),""))</f>
        <v>0</v>
      </c>
      <c r="AD6" s="11" t="str">
        <f aca="false">IF($A6="","",IFERROR(Z6+AA6+AB6+AC6,""))</f>
        <v/>
      </c>
      <c r="AE6" s="10" t="str">
        <f aca="false">IF(ISNUMBER(AD6),AD6*Parametros!$B$12,"")</f>
        <v/>
      </c>
      <c r="AF6" s="29" t="str">
        <f aca="false">IF(AND(ISNUMBER(Q6),K6&lt;&gt;""),IFERROR(1/(Q6*INDEX(Telas!$G$6:$G$105,MATCH(K6,Telas!$A$6:$A$105,0))),""),"")</f>
        <v/>
      </c>
      <c r="AG6" s="0" t="str">
        <f aca="false">IF($A6="","",IF(ISNUMBER(AD6),IF(AND(N(Y6)&gt;0,N(Parametros!$B$19)=0),"Lista, pero sin costo de impresión (Parametros)","Lista"),IF(Q6="","Consumo tela principal (Despiece o Mediciones). ","")&amp;IF(COUNTIFS(Mediciones!$C$6:$C$305,$A6,Mediciones!$K$6:$K$305,"")&gt;0,"Pesar 1 m de la tela medida (Telas, kg por metro). ","")&amp;IF(T6="","Consumo Tela 2. ","")&amp;IF(W6="","Consumo Tela 3. ","")&amp;IF(K6="","Elegir tela principal. ",IF(ISERROR(INDEX(Telas!$I$6:$I$105,MATCH(K6,Telas!$A$6:$A$105,0))*1),"Precio o peso por metro de "&amp;K6&amp;". ",""))&amp;IF(AND(N(T6)&gt;0,L6=""),"Elegir Tela 2. ",IF(AND(N(T6)&gt;0,ISERROR(INDEX(Telas!$I$6:$I$105,MATCH(L6,Telas!$A$6:$A$105,0))*1)),"Precio o peso por metro de "&amp;L6&amp;". ",""))&amp;IF(Y6="","Metros impresos. ","")&amp;IF(F6="","Tipo de confección. ",IF(AB6="","Precio de confección. ",""))))</f>
        <v>Consumo tela principal (Despiece o Mediciones). Elegir tela principal. Metros impresos. </v>
      </c>
      <c r="AH6" s="27" t="s">
        <v>95</v>
      </c>
    </row>
    <row r="7" customFormat="false" ht="15" hidden="false" customHeight="false" outlineLevel="0" collapsed="false">
      <c r="A7" s="27" t="s">
        <v>96</v>
      </c>
      <c r="B7" s="27" t="s">
        <v>90</v>
      </c>
      <c r="C7" s="27" t="s">
        <v>91</v>
      </c>
      <c r="D7" s="27" t="s">
        <v>92</v>
      </c>
      <c r="E7" s="27" t="s">
        <v>97</v>
      </c>
      <c r="F7" s="27" t="s">
        <v>94</v>
      </c>
      <c r="G7" s="8"/>
      <c r="H7" s="27"/>
      <c r="I7" s="8"/>
      <c r="J7" s="27"/>
      <c r="K7" s="8"/>
      <c r="L7" s="8"/>
      <c r="M7" s="8"/>
      <c r="N7" s="8"/>
      <c r="O7" s="9" t="str">
        <f aca="false">IF($A7="","",IF(COUNTIFS(Despiece!$A$6:$A$705,$A7,Despiece!$D$6:$D$705,"Tela principal",Despiece!$F$6:$F$705,"&gt;0")=0,"",SUMIFS(Despiece!$F$6:$F$705,Despiece!$A$6:$A$705,$A7,Despiece!$D$6:$D$705,"Tela principal")))</f>
        <v/>
      </c>
      <c r="P7" s="9" t="str">
        <f aca="false">IF($A7="","",IFERROR(AVERAGEIFS(Mediciones!$K$6:$K$305,Mediciones!$C$6:$C$305,$A7,Mediciones!$D$6:$D$305,"Tela principal"),""))</f>
        <v/>
      </c>
      <c r="Q7" s="28" t="str">
        <f aca="false">IF($A7="","",IF(N(IF($N7="Despiece",IF(ISNUMBER(O7),O7*(1+Parametros!$B$22),IF(COUNTIFS(Despiece!$A$6:$A$705,$A7,Despiece!$D$6:$D$705,"Tela principal")&gt;0,"",0)),IF($N7="Medición real",IF(ISNUMBER(P7),P7,IF(COUNTIFS(Mediciones!$C$6:$C$305,$A7,Mediciones!$D$6:$D$305,"Tela principal")&gt;0,"",0)),IF(ISNUMBER(P7),P7,IF(ISNUMBER(O7),O7*(1+Parametros!$B$22),IF(OR(COUNTIFS(Despiece!$A$6:$A$705,$A7,Despiece!$D$6:$D$705,"Tela principal")&gt;0,COUNTIFS(Mediciones!$C$6:$C$305,$A7,Mediciones!$D$6:$D$305,"Tela principal")&gt;0),"",0))))))=0,"",IF($N7="Despiece",IF(ISNUMBER(O7),O7*(1+Parametros!$B$22),IF(COUNTIFS(Despiece!$A$6:$A$705,$A7,Despiece!$D$6:$D$705,"Tela principal")&gt;0,"",0)),IF($N7="Medición real",IF(ISNUMBER(P7),P7,IF(COUNTIFS(Mediciones!$C$6:$C$305,$A7,Mediciones!$D$6:$D$305,"Tela principal")&gt;0,"",0)),IF(ISNUMBER(P7),P7,IF(ISNUMBER(O7),O7*(1+Parametros!$B$22),IF(OR(COUNTIFS(Despiece!$A$6:$A$705,$A7,Despiece!$D$6:$D$705,"Tela principal")&gt;0,COUNTIFS(Mediciones!$C$6:$C$305,$A7,Mediciones!$D$6:$D$305,"Tela principal")&gt;0),"",0)))))))</f>
        <v/>
      </c>
      <c r="R7" s="9" t="str">
        <f aca="false">IF($A7="","",IF(COUNTIFS(Despiece!$A$6:$A$705,$A7,Despiece!$D$6:$D$705,"Tela 2",Despiece!$F$6:$F$705,"&gt;0")=0,"",SUMIFS(Despiece!$F$6:$F$705,Despiece!$A$6:$A$705,$A7,Despiece!$D$6:$D$705,"Tela 2")))</f>
        <v/>
      </c>
      <c r="S7" s="9" t="str">
        <f aca="false">IF($A7="","",IFERROR(AVERAGEIFS(Mediciones!$K$6:$K$305,Mediciones!$C$6:$C$305,$A7,Mediciones!$D$6:$D$305,"Tela 2"),""))</f>
        <v/>
      </c>
      <c r="T7" s="28" t="n">
        <f aca="false">IF($A7="","",IF($N7="Despiece",IF(ISNUMBER(R7),R7*(1+Parametros!$B$22),IF(COUNTIFS(Despiece!$A$6:$A$705,$A7,Despiece!$D$6:$D$705,"Tela 2")&gt;0,"",0)),IF($N7="Medición real",IF(ISNUMBER(S7),S7,IF(COUNTIFS(Mediciones!$C$6:$C$305,$A7,Mediciones!$D$6:$D$305,"Tela 2")&gt;0,"",0)),IF(ISNUMBER(S7),S7,IF(ISNUMBER(R7),R7*(1+Parametros!$B$22),IF(OR(COUNTIFS(Despiece!$A$6:$A$705,$A7,Despiece!$D$6:$D$705,"Tela 2")&gt;0,COUNTIFS(Mediciones!$C$6:$C$305,$A7,Mediciones!$D$6:$D$305,"Tela 2")&gt;0),"",0))))))</f>
        <v>0</v>
      </c>
      <c r="U7" s="9" t="str">
        <f aca="false">IF($A7="","",IF(COUNTIFS(Despiece!$A$6:$A$705,$A7,Despiece!$D$6:$D$705,"Tela 3",Despiece!$F$6:$F$705,"&gt;0")=0,"",SUMIFS(Despiece!$F$6:$F$705,Despiece!$A$6:$A$705,$A7,Despiece!$D$6:$D$705,"Tela 3")))</f>
        <v/>
      </c>
      <c r="V7" s="9" t="str">
        <f aca="false">IF($A7="","",IFERROR(AVERAGEIFS(Mediciones!$K$6:$K$305,Mediciones!$C$6:$C$305,$A7,Mediciones!$D$6:$D$305,"Tela 3"),""))</f>
        <v/>
      </c>
      <c r="W7" s="28" t="n">
        <f aca="false">IF($A7="","",IF($N7="Despiece",IF(ISNUMBER(U7),U7*(1+Parametros!$B$22),IF(COUNTIFS(Despiece!$A$6:$A$705,$A7,Despiece!$D$6:$D$705,"Tela 3")&gt;0,"",0)),IF($N7="Medición real",IF(ISNUMBER(V7),V7,IF(COUNTIFS(Mediciones!$C$6:$C$305,$A7,Mediciones!$D$6:$D$305,"Tela 3")&gt;0,"",0)),IF(ISNUMBER(V7),V7,IF(ISNUMBER(U7),U7*(1+Parametros!$B$22),IF(OR(COUNTIFS(Despiece!$A$6:$A$705,$A7,Despiece!$D$6:$D$705,"Tela 3")&gt;0,COUNTIFS(Mediciones!$C$6:$C$305,$A7,Mediciones!$D$6:$D$305,"Tela 3")&gt;0),"",0))))))</f>
        <v>0</v>
      </c>
      <c r="X7" s="27"/>
      <c r="Y7" s="9" t="str">
        <f aca="false">IF($A7="","",IF(ISNUMBER(X7),X7,IF(COUNTIFS(Despiece!$A$6:$A$705,$A7,Despiece!$E$6:$E$705,"Sublimada",Despiece!$F$6:$F$705,"&gt;0")&gt;0,SUMIFS(Despiece!$F$6:$F$705,Despiece!$A$6:$A$705,$A7,Despiece!$E$6:$E$705,"Sublimada")*(1+Parametros!$B$22),IF(COUNTIFS(Despiece!$A$6:$A$705,$A7,Despiece!$E$6:$E$705,"Sublimada")=0,0,""))))</f>
        <v/>
      </c>
      <c r="Z7" s="10" t="str">
        <f aca="false">IF($A7="","",IFERROR(IF(ISNUMBER(Q7),IF(Q7=0,0,Q7*INDEX(Telas!$I$6:$I$105,MATCH(K7,Telas!$A$6:$A$105,0))),NA())+IF(ISNUMBER(T7),IF(T7=0,0,T7*INDEX(Telas!$I$6:$I$105,MATCH(L7,Telas!$A$6:$A$105,0))),NA())+IF(ISNUMBER(W7),IF(W7=0,0,W7*INDEX(Telas!$I$6:$I$105,MATCH(IF(M7="",K7,M7),Telas!$A$6:$A$105,0))),NA()),""))</f>
        <v/>
      </c>
      <c r="AA7" s="10" t="str">
        <f aca="false">IF($A7="","",IF(ISNUMBER(Y7),Y7*Parametros!$B$19,""))</f>
        <v/>
      </c>
      <c r="AB7" s="10" t="n">
        <f aca="false">IF(OR($A7="",F7=""),"",IFERROR(INDEX(Confeccion!$B$6:$B$125,MATCH(F7,Confeccion!$A$6:$A$125,0)),""))</f>
        <v>2000</v>
      </c>
      <c r="AC7" s="10" t="n">
        <f aca="false">IF($A7="","",IFERROR(N(H7)*IF(G7="",0,INDEX(Avios!$C$6:$C$65,MATCH(G7,Avios!$A$6:$A$65,0)))+N(J7)*IF(I7="",0,INDEX(Avios!$C$6:$C$65,MATCH(I7,Avios!$A$6:$A$65,0))),""))</f>
        <v>0</v>
      </c>
      <c r="AD7" s="11" t="str">
        <f aca="false">IF($A7="","",IFERROR(Z7+AA7+AB7+AC7,""))</f>
        <v/>
      </c>
      <c r="AE7" s="10" t="str">
        <f aca="false">IF(ISNUMBER(AD7),AD7*Parametros!$B$12,"")</f>
        <v/>
      </c>
      <c r="AF7" s="29" t="str">
        <f aca="false">IF(AND(ISNUMBER(Q7),K7&lt;&gt;""),IFERROR(1/(Q7*INDEX(Telas!$G$6:$G$105,MATCH(K7,Telas!$A$6:$A$105,0))),""),"")</f>
        <v/>
      </c>
      <c r="AG7" s="0" t="str">
        <f aca="false">IF($A7="","",IF(ISNUMBER(AD7),IF(AND(N(Y7)&gt;0,N(Parametros!$B$19)=0),"Lista, pero sin costo de impresión (Parametros)","Lista"),IF(Q7="","Consumo tela principal (Despiece o Mediciones). ","")&amp;IF(COUNTIFS(Mediciones!$C$6:$C$305,$A7,Mediciones!$K$6:$K$305,"")&gt;0,"Pesar 1 m de la tela medida (Telas, kg por metro). ","")&amp;IF(T7="","Consumo Tela 2. ","")&amp;IF(W7="","Consumo Tela 3. ","")&amp;IF(K7="","Elegir tela principal. ",IF(ISERROR(INDEX(Telas!$I$6:$I$105,MATCH(K7,Telas!$A$6:$A$105,0))*1),"Precio o peso por metro de "&amp;K7&amp;". ",""))&amp;IF(AND(N(T7)&gt;0,L7=""),"Elegir Tela 2. ",IF(AND(N(T7)&gt;0,ISERROR(INDEX(Telas!$I$6:$I$105,MATCH(L7,Telas!$A$6:$A$105,0))*1)),"Precio o peso por metro de "&amp;L7&amp;". ",""))&amp;IF(Y7="","Metros impresos. ","")&amp;IF(F7="","Tipo de confección. ",IF(AB7="","Precio de confección. ",""))))</f>
        <v>Consumo tela principal (Despiece o Mediciones). Elegir tela principal. Metros impresos. </v>
      </c>
      <c r="AH7" s="27" t="s">
        <v>95</v>
      </c>
    </row>
    <row r="8" customFormat="false" ht="15" hidden="false" customHeight="false" outlineLevel="0" collapsed="false">
      <c r="A8" s="27" t="s">
        <v>98</v>
      </c>
      <c r="B8" s="27" t="s">
        <v>99</v>
      </c>
      <c r="C8" s="27" t="s">
        <v>91</v>
      </c>
      <c r="D8" s="27" t="s">
        <v>92</v>
      </c>
      <c r="E8" s="27" t="s">
        <v>100</v>
      </c>
      <c r="F8" s="27" t="s">
        <v>94</v>
      </c>
      <c r="G8" s="8"/>
      <c r="H8" s="27"/>
      <c r="I8" s="8"/>
      <c r="J8" s="27"/>
      <c r="K8" s="8"/>
      <c r="L8" s="8"/>
      <c r="M8" s="8"/>
      <c r="N8" s="8"/>
      <c r="O8" s="9" t="str">
        <f aca="false">IF($A8="","",IF(COUNTIFS(Despiece!$A$6:$A$705,$A8,Despiece!$D$6:$D$705,"Tela principal",Despiece!$F$6:$F$705,"&gt;0")=0,"",SUMIFS(Despiece!$F$6:$F$705,Despiece!$A$6:$A$705,$A8,Despiece!$D$6:$D$705,"Tela principal")))</f>
        <v/>
      </c>
      <c r="P8" s="9" t="str">
        <f aca="false">IF($A8="","",IFERROR(AVERAGEIFS(Mediciones!$K$6:$K$305,Mediciones!$C$6:$C$305,$A8,Mediciones!$D$6:$D$305,"Tela principal"),""))</f>
        <v/>
      </c>
      <c r="Q8" s="28" t="str">
        <f aca="false">IF($A8="","",IF(N(IF($N8="Despiece",IF(ISNUMBER(O8),O8*(1+Parametros!$B$22),IF(COUNTIFS(Despiece!$A$6:$A$705,$A8,Despiece!$D$6:$D$705,"Tela principal")&gt;0,"",0)),IF($N8="Medición real",IF(ISNUMBER(P8),P8,IF(COUNTIFS(Mediciones!$C$6:$C$305,$A8,Mediciones!$D$6:$D$305,"Tela principal")&gt;0,"",0)),IF(ISNUMBER(P8),P8,IF(ISNUMBER(O8),O8*(1+Parametros!$B$22),IF(OR(COUNTIFS(Despiece!$A$6:$A$705,$A8,Despiece!$D$6:$D$705,"Tela principal")&gt;0,COUNTIFS(Mediciones!$C$6:$C$305,$A8,Mediciones!$D$6:$D$305,"Tela principal")&gt;0),"",0))))))=0,"",IF($N8="Despiece",IF(ISNUMBER(O8),O8*(1+Parametros!$B$22),IF(COUNTIFS(Despiece!$A$6:$A$705,$A8,Despiece!$D$6:$D$705,"Tela principal")&gt;0,"",0)),IF($N8="Medición real",IF(ISNUMBER(P8),P8,IF(COUNTIFS(Mediciones!$C$6:$C$305,$A8,Mediciones!$D$6:$D$305,"Tela principal")&gt;0,"",0)),IF(ISNUMBER(P8),P8,IF(ISNUMBER(O8),O8*(1+Parametros!$B$22),IF(OR(COUNTIFS(Despiece!$A$6:$A$705,$A8,Despiece!$D$6:$D$705,"Tela principal")&gt;0,COUNTIFS(Mediciones!$C$6:$C$305,$A8,Mediciones!$D$6:$D$305,"Tela principal")&gt;0),"",0)))))))</f>
        <v/>
      </c>
      <c r="R8" s="9" t="str">
        <f aca="false">IF($A8="","",IF(COUNTIFS(Despiece!$A$6:$A$705,$A8,Despiece!$D$6:$D$705,"Tela 2",Despiece!$F$6:$F$705,"&gt;0")=0,"",SUMIFS(Despiece!$F$6:$F$705,Despiece!$A$6:$A$705,$A8,Despiece!$D$6:$D$705,"Tela 2")))</f>
        <v/>
      </c>
      <c r="S8" s="9" t="str">
        <f aca="false">IF($A8="","",IFERROR(AVERAGEIFS(Mediciones!$K$6:$K$305,Mediciones!$C$6:$C$305,$A8,Mediciones!$D$6:$D$305,"Tela 2"),""))</f>
        <v/>
      </c>
      <c r="T8" s="28" t="n">
        <f aca="false">IF($A8="","",IF($N8="Despiece",IF(ISNUMBER(R8),R8*(1+Parametros!$B$22),IF(COUNTIFS(Despiece!$A$6:$A$705,$A8,Despiece!$D$6:$D$705,"Tela 2")&gt;0,"",0)),IF($N8="Medición real",IF(ISNUMBER(S8),S8,IF(COUNTIFS(Mediciones!$C$6:$C$305,$A8,Mediciones!$D$6:$D$305,"Tela 2")&gt;0,"",0)),IF(ISNUMBER(S8),S8,IF(ISNUMBER(R8),R8*(1+Parametros!$B$22),IF(OR(COUNTIFS(Despiece!$A$6:$A$705,$A8,Despiece!$D$6:$D$705,"Tela 2")&gt;0,COUNTIFS(Mediciones!$C$6:$C$305,$A8,Mediciones!$D$6:$D$305,"Tela 2")&gt;0),"",0))))))</f>
        <v>0</v>
      </c>
      <c r="U8" s="9" t="str">
        <f aca="false">IF($A8="","",IF(COUNTIFS(Despiece!$A$6:$A$705,$A8,Despiece!$D$6:$D$705,"Tela 3",Despiece!$F$6:$F$705,"&gt;0")=0,"",SUMIFS(Despiece!$F$6:$F$705,Despiece!$A$6:$A$705,$A8,Despiece!$D$6:$D$705,"Tela 3")))</f>
        <v/>
      </c>
      <c r="V8" s="9" t="str">
        <f aca="false">IF($A8="","",IFERROR(AVERAGEIFS(Mediciones!$K$6:$K$305,Mediciones!$C$6:$C$305,$A8,Mediciones!$D$6:$D$305,"Tela 3"),""))</f>
        <v/>
      </c>
      <c r="W8" s="28" t="n">
        <f aca="false">IF($A8="","",IF($N8="Despiece",IF(ISNUMBER(U8),U8*(1+Parametros!$B$22),IF(COUNTIFS(Despiece!$A$6:$A$705,$A8,Despiece!$D$6:$D$705,"Tela 3")&gt;0,"",0)),IF($N8="Medición real",IF(ISNUMBER(V8),V8,IF(COUNTIFS(Mediciones!$C$6:$C$305,$A8,Mediciones!$D$6:$D$305,"Tela 3")&gt;0,"",0)),IF(ISNUMBER(V8),V8,IF(ISNUMBER(U8),U8*(1+Parametros!$B$22),IF(OR(COUNTIFS(Despiece!$A$6:$A$705,$A8,Despiece!$D$6:$D$705,"Tela 3")&gt;0,COUNTIFS(Mediciones!$C$6:$C$305,$A8,Mediciones!$D$6:$D$305,"Tela 3")&gt;0),"",0))))))</f>
        <v>0</v>
      </c>
      <c r="X8" s="27"/>
      <c r="Y8" s="9" t="str">
        <f aca="false">IF($A8="","",IF(ISNUMBER(X8),X8,IF(COUNTIFS(Despiece!$A$6:$A$705,$A8,Despiece!$E$6:$E$705,"Sublimada",Despiece!$F$6:$F$705,"&gt;0")&gt;0,SUMIFS(Despiece!$F$6:$F$705,Despiece!$A$6:$A$705,$A8,Despiece!$E$6:$E$705,"Sublimada")*(1+Parametros!$B$22),IF(COUNTIFS(Despiece!$A$6:$A$705,$A8,Despiece!$E$6:$E$705,"Sublimada")=0,0,""))))</f>
        <v/>
      </c>
      <c r="Z8" s="10" t="str">
        <f aca="false">IF($A8="","",IFERROR(IF(ISNUMBER(Q8),IF(Q8=0,0,Q8*INDEX(Telas!$I$6:$I$105,MATCH(K8,Telas!$A$6:$A$105,0))),NA())+IF(ISNUMBER(T8),IF(T8=0,0,T8*INDEX(Telas!$I$6:$I$105,MATCH(L8,Telas!$A$6:$A$105,0))),NA())+IF(ISNUMBER(W8),IF(W8=0,0,W8*INDEX(Telas!$I$6:$I$105,MATCH(IF(M8="",K8,M8),Telas!$A$6:$A$105,0))),NA()),""))</f>
        <v/>
      </c>
      <c r="AA8" s="10" t="str">
        <f aca="false">IF($A8="","",IF(ISNUMBER(Y8),Y8*Parametros!$B$19,""))</f>
        <v/>
      </c>
      <c r="AB8" s="10" t="n">
        <f aca="false">IF(OR($A8="",F8=""),"",IFERROR(INDEX(Confeccion!$B$6:$B$125,MATCH(F8,Confeccion!$A$6:$A$125,0)),""))</f>
        <v>2000</v>
      </c>
      <c r="AC8" s="10" t="n">
        <f aca="false">IF($A8="","",IFERROR(N(H8)*IF(G8="",0,INDEX(Avios!$C$6:$C$65,MATCH(G8,Avios!$A$6:$A$65,0)))+N(J8)*IF(I8="",0,INDEX(Avios!$C$6:$C$65,MATCH(I8,Avios!$A$6:$A$65,0))),""))</f>
        <v>0</v>
      </c>
      <c r="AD8" s="11" t="str">
        <f aca="false">IF($A8="","",IFERROR(Z8+AA8+AB8+AC8,""))</f>
        <v/>
      </c>
      <c r="AE8" s="10" t="str">
        <f aca="false">IF(ISNUMBER(AD8),AD8*Parametros!$B$12,"")</f>
        <v/>
      </c>
      <c r="AF8" s="29" t="str">
        <f aca="false">IF(AND(ISNUMBER(Q8),K8&lt;&gt;""),IFERROR(1/(Q8*INDEX(Telas!$G$6:$G$105,MATCH(K8,Telas!$A$6:$A$105,0))),""),"")</f>
        <v/>
      </c>
      <c r="AG8" s="0" t="str">
        <f aca="false">IF($A8="","",IF(ISNUMBER(AD8),IF(AND(N(Y8)&gt;0,N(Parametros!$B$19)=0),"Lista, pero sin costo de impresión (Parametros)","Lista"),IF(Q8="","Consumo tela principal (Despiece o Mediciones). ","")&amp;IF(COUNTIFS(Mediciones!$C$6:$C$305,$A8,Mediciones!$K$6:$K$305,"")&gt;0,"Pesar 1 m de la tela medida (Telas, kg por metro). ","")&amp;IF(T8="","Consumo Tela 2. ","")&amp;IF(W8="","Consumo Tela 3. ","")&amp;IF(K8="","Elegir tela principal. ",IF(ISERROR(INDEX(Telas!$I$6:$I$105,MATCH(K8,Telas!$A$6:$A$105,0))*1),"Precio o peso por metro de "&amp;K8&amp;". ",""))&amp;IF(AND(N(T8)&gt;0,L8=""),"Elegir Tela 2. ",IF(AND(N(T8)&gt;0,ISERROR(INDEX(Telas!$I$6:$I$105,MATCH(L8,Telas!$A$6:$A$105,0))*1)),"Precio o peso por metro de "&amp;L8&amp;". ",""))&amp;IF(Y8="","Metros impresos. ","")&amp;IF(F8="","Tipo de confección. ",IF(AB8="","Precio de confección. ",""))))</f>
        <v>Consumo tela principal (Despiece o Mediciones). Elegir tela principal. Metros impresos. </v>
      </c>
      <c r="AH8" s="27" t="s">
        <v>95</v>
      </c>
    </row>
    <row r="9" customFormat="false" ht="15" hidden="false" customHeight="false" outlineLevel="0" collapsed="false">
      <c r="A9" s="27" t="s">
        <v>101</v>
      </c>
      <c r="B9" s="27" t="s">
        <v>99</v>
      </c>
      <c r="C9" s="27" t="s">
        <v>91</v>
      </c>
      <c r="D9" s="27" t="s">
        <v>92</v>
      </c>
      <c r="E9" s="27" t="s">
        <v>102</v>
      </c>
      <c r="F9" s="27" t="s">
        <v>94</v>
      </c>
      <c r="G9" s="8"/>
      <c r="H9" s="27"/>
      <c r="I9" s="8"/>
      <c r="J9" s="27"/>
      <c r="K9" s="8" t="s">
        <v>103</v>
      </c>
      <c r="L9" s="8" t="s">
        <v>104</v>
      </c>
      <c r="M9" s="8"/>
      <c r="N9" s="8"/>
      <c r="O9" s="9" t="str">
        <f aca="false">IF($A9="","",IF(COUNTIFS(Despiece!$A$6:$A$705,$A9,Despiece!$D$6:$D$705,"Tela principal",Despiece!$F$6:$F$705,"&gt;0")=0,"",SUMIFS(Despiece!$F$6:$F$705,Despiece!$A$6:$A$705,$A9,Despiece!$D$6:$D$705,"Tela principal")))</f>
        <v/>
      </c>
      <c r="P9" s="9" t="str">
        <f aca="false">IF($A9="","",IFERROR(AVERAGEIFS(Mediciones!$K$6:$K$305,Mediciones!$C$6:$C$305,$A9,Mediciones!$D$6:$D$305,"Tela principal"),""))</f>
        <v/>
      </c>
      <c r="Q9" s="28" t="str">
        <f aca="false">IF($A9="","",IF(N(IF($N9="Despiece",IF(ISNUMBER(O9),O9*(1+Parametros!$B$22),IF(COUNTIFS(Despiece!$A$6:$A$705,$A9,Despiece!$D$6:$D$705,"Tela principal")&gt;0,"",0)),IF($N9="Medición real",IF(ISNUMBER(P9),P9,IF(COUNTIFS(Mediciones!$C$6:$C$305,$A9,Mediciones!$D$6:$D$305,"Tela principal")&gt;0,"",0)),IF(ISNUMBER(P9),P9,IF(ISNUMBER(O9),O9*(1+Parametros!$B$22),IF(OR(COUNTIFS(Despiece!$A$6:$A$705,$A9,Despiece!$D$6:$D$705,"Tela principal")&gt;0,COUNTIFS(Mediciones!$C$6:$C$305,$A9,Mediciones!$D$6:$D$305,"Tela principal")&gt;0),"",0))))))=0,"",IF($N9="Despiece",IF(ISNUMBER(O9),O9*(1+Parametros!$B$22),IF(COUNTIFS(Despiece!$A$6:$A$705,$A9,Despiece!$D$6:$D$705,"Tela principal")&gt;0,"",0)),IF($N9="Medición real",IF(ISNUMBER(P9),P9,IF(COUNTIFS(Mediciones!$C$6:$C$305,$A9,Mediciones!$D$6:$D$305,"Tela principal")&gt;0,"",0)),IF(ISNUMBER(P9),P9,IF(ISNUMBER(O9),O9*(1+Parametros!$B$22),IF(OR(COUNTIFS(Despiece!$A$6:$A$705,$A9,Despiece!$D$6:$D$705,"Tela principal")&gt;0,COUNTIFS(Mediciones!$C$6:$C$305,$A9,Mediciones!$D$6:$D$305,"Tela principal")&gt;0),"",0)))))))</f>
        <v/>
      </c>
      <c r="R9" s="9" t="str">
        <f aca="false">IF($A9="","",IF(COUNTIFS(Despiece!$A$6:$A$705,$A9,Despiece!$D$6:$D$705,"Tela 2",Despiece!$F$6:$F$705,"&gt;0")=0,"",SUMIFS(Despiece!$F$6:$F$705,Despiece!$A$6:$A$705,$A9,Despiece!$D$6:$D$705,"Tela 2")))</f>
        <v/>
      </c>
      <c r="S9" s="9" t="str">
        <f aca="false">IF($A9="","",IFERROR(AVERAGEIFS(Mediciones!$K$6:$K$305,Mediciones!$C$6:$C$305,$A9,Mediciones!$D$6:$D$305,"Tela 2"),""))</f>
        <v/>
      </c>
      <c r="T9" s="28" t="str">
        <f aca="false">IF($A9="","",IF($N9="Despiece",IF(ISNUMBER(R9),R9*(1+Parametros!$B$22),IF(COUNTIFS(Despiece!$A$6:$A$705,$A9,Despiece!$D$6:$D$705,"Tela 2")&gt;0,"",0)),IF($N9="Medición real",IF(ISNUMBER(S9),S9,IF(COUNTIFS(Mediciones!$C$6:$C$305,$A9,Mediciones!$D$6:$D$305,"Tela 2")&gt;0,"",0)),IF(ISNUMBER(S9),S9,IF(ISNUMBER(R9),R9*(1+Parametros!$B$22),IF(OR(COUNTIFS(Despiece!$A$6:$A$705,$A9,Despiece!$D$6:$D$705,"Tela 2")&gt;0,COUNTIFS(Mediciones!$C$6:$C$305,$A9,Mediciones!$D$6:$D$305,"Tela 2")&gt;0),"",0))))))</f>
        <v/>
      </c>
      <c r="U9" s="9" t="str">
        <f aca="false">IF($A9="","",IF(COUNTIFS(Despiece!$A$6:$A$705,$A9,Despiece!$D$6:$D$705,"Tela 3",Despiece!$F$6:$F$705,"&gt;0")=0,"",SUMIFS(Despiece!$F$6:$F$705,Despiece!$A$6:$A$705,$A9,Despiece!$D$6:$D$705,"Tela 3")))</f>
        <v/>
      </c>
      <c r="V9" s="9" t="str">
        <f aca="false">IF($A9="","",IFERROR(AVERAGEIFS(Mediciones!$K$6:$K$305,Mediciones!$C$6:$C$305,$A9,Mediciones!$D$6:$D$305,"Tela 3"),""))</f>
        <v/>
      </c>
      <c r="W9" s="28" t="n">
        <f aca="false">IF($A9="","",IF($N9="Despiece",IF(ISNUMBER(U9),U9*(1+Parametros!$B$22),IF(COUNTIFS(Despiece!$A$6:$A$705,$A9,Despiece!$D$6:$D$705,"Tela 3")&gt;0,"",0)),IF($N9="Medición real",IF(ISNUMBER(V9),V9,IF(COUNTIFS(Mediciones!$C$6:$C$305,$A9,Mediciones!$D$6:$D$305,"Tela 3")&gt;0,"",0)),IF(ISNUMBER(V9),V9,IF(ISNUMBER(U9),U9*(1+Parametros!$B$22),IF(OR(COUNTIFS(Despiece!$A$6:$A$705,$A9,Despiece!$D$6:$D$705,"Tela 3")&gt;0,COUNTIFS(Mediciones!$C$6:$C$305,$A9,Mediciones!$D$6:$D$305,"Tela 3")&gt;0),"",0))))))</f>
        <v>0</v>
      </c>
      <c r="X9" s="27"/>
      <c r="Y9" s="9" t="str">
        <f aca="false">IF($A9="","",IF(ISNUMBER(X9),X9,IF(COUNTIFS(Despiece!$A$6:$A$705,$A9,Despiece!$E$6:$E$705,"Sublimada",Despiece!$F$6:$F$705,"&gt;0")&gt;0,SUMIFS(Despiece!$F$6:$F$705,Despiece!$A$6:$A$705,$A9,Despiece!$E$6:$E$705,"Sublimada")*(1+Parametros!$B$22),IF(COUNTIFS(Despiece!$A$6:$A$705,$A9,Despiece!$E$6:$E$705,"Sublimada")=0,0,""))))</f>
        <v/>
      </c>
      <c r="Z9" s="10" t="str">
        <f aca="false">IF($A9="","",IFERROR(IF(ISNUMBER(Q9),IF(Q9=0,0,Q9*INDEX(Telas!$I$6:$I$105,MATCH(K9,Telas!$A$6:$A$105,0))),NA())+IF(ISNUMBER(T9),IF(T9=0,0,T9*INDEX(Telas!$I$6:$I$105,MATCH(L9,Telas!$A$6:$A$105,0))),NA())+IF(ISNUMBER(W9),IF(W9=0,0,W9*INDEX(Telas!$I$6:$I$105,MATCH(IF(M9="",K9,M9),Telas!$A$6:$A$105,0))),NA()),""))</f>
        <v/>
      </c>
      <c r="AA9" s="10" t="str">
        <f aca="false">IF($A9="","",IF(ISNUMBER(Y9),Y9*Parametros!$B$19,""))</f>
        <v/>
      </c>
      <c r="AB9" s="10" t="n">
        <f aca="false">IF(OR($A9="",F9=""),"",IFERROR(INDEX(Confeccion!$B$6:$B$125,MATCH(F9,Confeccion!$A$6:$A$125,0)),""))</f>
        <v>2000</v>
      </c>
      <c r="AC9" s="10" t="n">
        <f aca="false">IF($A9="","",IFERROR(N(H9)*IF(G9="",0,INDEX(Avios!$C$6:$C$65,MATCH(G9,Avios!$A$6:$A$65,0)))+N(J9)*IF(I9="",0,INDEX(Avios!$C$6:$C$65,MATCH(I9,Avios!$A$6:$A$65,0))),""))</f>
        <v>0</v>
      </c>
      <c r="AD9" s="11" t="str">
        <f aca="false">IF($A9="","",IFERROR(Z9+AA9+AB9+AC9,""))</f>
        <v/>
      </c>
      <c r="AE9" s="10" t="str">
        <f aca="false">IF(ISNUMBER(AD9),AD9*Parametros!$B$12,"")</f>
        <v/>
      </c>
      <c r="AF9" s="29" t="str">
        <f aca="false">IF(AND(ISNUMBER(Q9),K9&lt;&gt;""),IFERROR(1/(Q9*INDEX(Telas!$G$6:$G$105,MATCH(K9,Telas!$A$6:$A$105,0))),""),"")</f>
        <v/>
      </c>
      <c r="AG9" s="0" t="str">
        <f aca="false">IF($A9="","",IF(ISNUMBER(AD9),IF(AND(N(Y9)&gt;0,N(Parametros!$B$19)=0),"Lista, pero sin costo de impresión (Parametros)","Lista"),IF(Q9="","Consumo tela principal (Despiece o Mediciones). ","")&amp;IF(COUNTIFS(Mediciones!$C$6:$C$305,$A9,Mediciones!$K$6:$K$305,"")&gt;0,"Pesar 1 m de la tela medida (Telas, kg por metro). ","")&amp;IF(T9="","Consumo Tela 2. ","")&amp;IF(W9="","Consumo Tela 3. ","")&amp;IF(K9="","Elegir tela principal. ",IF(ISERROR(INDEX(Telas!$I$6:$I$105,MATCH(K9,Telas!$A$6:$A$105,0))*1),"Precio o peso por metro de "&amp;K9&amp;". ",""))&amp;IF(AND(N(T9)&gt;0,L9=""),"Elegir Tela 2. ",IF(AND(N(T9)&gt;0,ISERROR(INDEX(Telas!$I$6:$I$105,MATCH(L9,Telas!$A$6:$A$105,0))*1)),"Precio o peso por metro de "&amp;L9&amp;". ",""))&amp;IF(Y9="","Metros impresos. ","")&amp;IF(F9="","Tipo de confección. ",IF(AB9="","Precio de confección. ",""))))</f>
        <v>Consumo tela principal (Despiece o Mediciones). Pesar 1 m de la tela medida (Telas, kg por metro). Consumo Tela 2. Precio o peso por metro de CIRE BLANCO. Metros impresos. </v>
      </c>
      <c r="AH9" s="27" t="s">
        <v>105</v>
      </c>
    </row>
    <row r="10" customFormat="false" ht="15" hidden="false" customHeight="false" outlineLevel="0" collapsed="false">
      <c r="A10" s="27" t="s">
        <v>106</v>
      </c>
      <c r="B10" s="27" t="s">
        <v>107</v>
      </c>
      <c r="C10" s="27" t="s">
        <v>91</v>
      </c>
      <c r="D10" s="27" t="s">
        <v>92</v>
      </c>
      <c r="E10" s="27" t="s">
        <v>93</v>
      </c>
      <c r="F10" s="27" t="s">
        <v>94</v>
      </c>
      <c r="G10" s="8"/>
      <c r="H10" s="27"/>
      <c r="I10" s="8"/>
      <c r="J10" s="27"/>
      <c r="K10" s="8"/>
      <c r="L10" s="8"/>
      <c r="M10" s="8"/>
      <c r="N10" s="8"/>
      <c r="O10" s="9" t="str">
        <f aca="false">IF($A10="","",IF(COUNTIFS(Despiece!$A$6:$A$705,$A10,Despiece!$D$6:$D$705,"Tela principal",Despiece!$F$6:$F$705,"&gt;0")=0,"",SUMIFS(Despiece!$F$6:$F$705,Despiece!$A$6:$A$705,$A10,Despiece!$D$6:$D$705,"Tela principal")))</f>
        <v/>
      </c>
      <c r="P10" s="9" t="str">
        <f aca="false">IF($A10="","",IFERROR(AVERAGEIFS(Mediciones!$K$6:$K$305,Mediciones!$C$6:$C$305,$A10,Mediciones!$D$6:$D$305,"Tela principal"),""))</f>
        <v/>
      </c>
      <c r="Q10" s="28" t="str">
        <f aca="false">IF($A10="","",IF(N(IF($N10="Despiece",IF(ISNUMBER(O10),O10*(1+Parametros!$B$22),IF(COUNTIFS(Despiece!$A$6:$A$705,$A10,Despiece!$D$6:$D$705,"Tela principal")&gt;0,"",0)),IF($N10="Medición real",IF(ISNUMBER(P10),P10,IF(COUNTIFS(Mediciones!$C$6:$C$305,$A10,Mediciones!$D$6:$D$305,"Tela principal")&gt;0,"",0)),IF(ISNUMBER(P10),P10,IF(ISNUMBER(O10),O10*(1+Parametros!$B$22),IF(OR(COUNTIFS(Despiece!$A$6:$A$705,$A10,Despiece!$D$6:$D$705,"Tela principal")&gt;0,COUNTIFS(Mediciones!$C$6:$C$305,$A10,Mediciones!$D$6:$D$305,"Tela principal")&gt;0),"",0))))))=0,"",IF($N10="Despiece",IF(ISNUMBER(O10),O10*(1+Parametros!$B$22),IF(COUNTIFS(Despiece!$A$6:$A$705,$A10,Despiece!$D$6:$D$705,"Tela principal")&gt;0,"",0)),IF($N10="Medición real",IF(ISNUMBER(P10),P10,IF(COUNTIFS(Mediciones!$C$6:$C$305,$A10,Mediciones!$D$6:$D$305,"Tela principal")&gt;0,"",0)),IF(ISNUMBER(P10),P10,IF(ISNUMBER(O10),O10*(1+Parametros!$B$22),IF(OR(COUNTIFS(Despiece!$A$6:$A$705,$A10,Despiece!$D$6:$D$705,"Tela principal")&gt;0,COUNTIFS(Mediciones!$C$6:$C$305,$A10,Mediciones!$D$6:$D$305,"Tela principal")&gt;0),"",0)))))))</f>
        <v/>
      </c>
      <c r="R10" s="9" t="str">
        <f aca="false">IF($A10="","",IF(COUNTIFS(Despiece!$A$6:$A$705,$A10,Despiece!$D$6:$D$705,"Tela 2",Despiece!$F$6:$F$705,"&gt;0")=0,"",SUMIFS(Despiece!$F$6:$F$705,Despiece!$A$6:$A$705,$A10,Despiece!$D$6:$D$705,"Tela 2")))</f>
        <v/>
      </c>
      <c r="S10" s="9" t="str">
        <f aca="false">IF($A10="","",IFERROR(AVERAGEIFS(Mediciones!$K$6:$K$305,Mediciones!$C$6:$C$305,$A10,Mediciones!$D$6:$D$305,"Tela 2"),""))</f>
        <v/>
      </c>
      <c r="T10" s="28" t="n">
        <f aca="false">IF($A10="","",IF($N10="Despiece",IF(ISNUMBER(R10),R10*(1+Parametros!$B$22),IF(COUNTIFS(Despiece!$A$6:$A$705,$A10,Despiece!$D$6:$D$705,"Tela 2")&gt;0,"",0)),IF($N10="Medición real",IF(ISNUMBER(S10),S10,IF(COUNTIFS(Mediciones!$C$6:$C$305,$A10,Mediciones!$D$6:$D$305,"Tela 2")&gt;0,"",0)),IF(ISNUMBER(S10),S10,IF(ISNUMBER(R10),R10*(1+Parametros!$B$22),IF(OR(COUNTIFS(Despiece!$A$6:$A$705,$A10,Despiece!$D$6:$D$705,"Tela 2")&gt;0,COUNTIFS(Mediciones!$C$6:$C$305,$A10,Mediciones!$D$6:$D$305,"Tela 2")&gt;0),"",0))))))</f>
        <v>0</v>
      </c>
      <c r="U10" s="9" t="str">
        <f aca="false">IF($A10="","",IF(COUNTIFS(Despiece!$A$6:$A$705,$A10,Despiece!$D$6:$D$705,"Tela 3",Despiece!$F$6:$F$705,"&gt;0")=0,"",SUMIFS(Despiece!$F$6:$F$705,Despiece!$A$6:$A$705,$A10,Despiece!$D$6:$D$705,"Tela 3")))</f>
        <v/>
      </c>
      <c r="V10" s="9" t="str">
        <f aca="false">IF($A10="","",IFERROR(AVERAGEIFS(Mediciones!$K$6:$K$305,Mediciones!$C$6:$C$305,$A10,Mediciones!$D$6:$D$305,"Tela 3"),""))</f>
        <v/>
      </c>
      <c r="W10" s="28" t="n">
        <f aca="false">IF($A10="","",IF($N10="Despiece",IF(ISNUMBER(U10),U10*(1+Parametros!$B$22),IF(COUNTIFS(Despiece!$A$6:$A$705,$A10,Despiece!$D$6:$D$705,"Tela 3")&gt;0,"",0)),IF($N10="Medición real",IF(ISNUMBER(V10),V10,IF(COUNTIFS(Mediciones!$C$6:$C$305,$A10,Mediciones!$D$6:$D$305,"Tela 3")&gt;0,"",0)),IF(ISNUMBER(V10),V10,IF(ISNUMBER(U10),U10*(1+Parametros!$B$22),IF(OR(COUNTIFS(Despiece!$A$6:$A$705,$A10,Despiece!$D$6:$D$705,"Tela 3")&gt;0,COUNTIFS(Mediciones!$C$6:$C$305,$A10,Mediciones!$D$6:$D$305,"Tela 3")&gt;0),"",0))))))</f>
        <v>0</v>
      </c>
      <c r="X10" s="27"/>
      <c r="Y10" s="9" t="str">
        <f aca="false">IF($A10="","",IF(ISNUMBER(X10),X10,IF(COUNTIFS(Despiece!$A$6:$A$705,$A10,Despiece!$E$6:$E$705,"Sublimada",Despiece!$F$6:$F$705,"&gt;0")&gt;0,SUMIFS(Despiece!$F$6:$F$705,Despiece!$A$6:$A$705,$A10,Despiece!$E$6:$E$705,"Sublimada")*(1+Parametros!$B$22),IF(COUNTIFS(Despiece!$A$6:$A$705,$A10,Despiece!$E$6:$E$705,"Sublimada")=0,0,""))))</f>
        <v/>
      </c>
      <c r="Z10" s="10" t="str">
        <f aca="false">IF($A10="","",IFERROR(IF(ISNUMBER(Q10),IF(Q10=0,0,Q10*INDEX(Telas!$I$6:$I$105,MATCH(K10,Telas!$A$6:$A$105,0))),NA())+IF(ISNUMBER(T10),IF(T10=0,0,T10*INDEX(Telas!$I$6:$I$105,MATCH(L10,Telas!$A$6:$A$105,0))),NA())+IF(ISNUMBER(W10),IF(W10=0,0,W10*INDEX(Telas!$I$6:$I$105,MATCH(IF(M10="",K10,M10),Telas!$A$6:$A$105,0))),NA()),""))</f>
        <v/>
      </c>
      <c r="AA10" s="10" t="str">
        <f aca="false">IF($A10="","",IF(ISNUMBER(Y10),Y10*Parametros!$B$19,""))</f>
        <v/>
      </c>
      <c r="AB10" s="10" t="n">
        <f aca="false">IF(OR($A10="",F10=""),"",IFERROR(INDEX(Confeccion!$B$6:$B$125,MATCH(F10,Confeccion!$A$6:$A$125,0)),""))</f>
        <v>2000</v>
      </c>
      <c r="AC10" s="10" t="n">
        <f aca="false">IF($A10="","",IFERROR(N(H10)*IF(G10="",0,INDEX(Avios!$C$6:$C$65,MATCH(G10,Avios!$A$6:$A$65,0)))+N(J10)*IF(I10="",0,INDEX(Avios!$C$6:$C$65,MATCH(I10,Avios!$A$6:$A$65,0))),""))</f>
        <v>0</v>
      </c>
      <c r="AD10" s="11" t="str">
        <f aca="false">IF($A10="","",IFERROR(Z10+AA10+AB10+AC10,""))</f>
        <v/>
      </c>
      <c r="AE10" s="10" t="str">
        <f aca="false">IF(ISNUMBER(AD10),AD10*Parametros!$B$12,"")</f>
        <v/>
      </c>
      <c r="AF10" s="29" t="str">
        <f aca="false">IF(AND(ISNUMBER(Q10),K10&lt;&gt;""),IFERROR(1/(Q10*INDEX(Telas!$G$6:$G$105,MATCH(K10,Telas!$A$6:$A$105,0))),""),"")</f>
        <v/>
      </c>
      <c r="AG10" s="0" t="str">
        <f aca="false">IF($A10="","",IF(ISNUMBER(AD10),IF(AND(N(Y10)&gt;0,N(Parametros!$B$19)=0),"Lista, pero sin costo de impresión (Parametros)","Lista"),IF(Q10="","Consumo tela principal (Despiece o Mediciones). ","")&amp;IF(COUNTIFS(Mediciones!$C$6:$C$305,$A10,Mediciones!$K$6:$K$305,"")&gt;0,"Pesar 1 m de la tela medida (Telas, kg por metro). ","")&amp;IF(T10="","Consumo Tela 2. ","")&amp;IF(W10="","Consumo Tela 3. ","")&amp;IF(K10="","Elegir tela principal. ",IF(ISERROR(INDEX(Telas!$I$6:$I$105,MATCH(K10,Telas!$A$6:$A$105,0))*1),"Precio o peso por metro de "&amp;K10&amp;". ",""))&amp;IF(AND(N(T10)&gt;0,L10=""),"Elegir Tela 2. ",IF(AND(N(T10)&gt;0,ISERROR(INDEX(Telas!$I$6:$I$105,MATCH(L10,Telas!$A$6:$A$105,0))*1)),"Precio o peso por metro de "&amp;L10&amp;". ",""))&amp;IF(Y10="","Metros impresos. ","")&amp;IF(F10="","Tipo de confección. ",IF(AB10="","Precio de confección. ",""))))</f>
        <v>Consumo tela principal (Despiece o Mediciones). Elegir tela principal. Metros impresos. </v>
      </c>
      <c r="AH10" s="27" t="s">
        <v>95</v>
      </c>
    </row>
    <row r="11" customFormat="false" ht="15" hidden="false" customHeight="false" outlineLevel="0" collapsed="false">
      <c r="A11" s="27" t="s">
        <v>108</v>
      </c>
      <c r="B11" s="27" t="s">
        <v>107</v>
      </c>
      <c r="C11" s="27" t="s">
        <v>91</v>
      </c>
      <c r="D11" s="27" t="s">
        <v>92</v>
      </c>
      <c r="E11" s="27" t="s">
        <v>97</v>
      </c>
      <c r="F11" s="27" t="s">
        <v>94</v>
      </c>
      <c r="G11" s="8"/>
      <c r="H11" s="27"/>
      <c r="I11" s="8"/>
      <c r="J11" s="27"/>
      <c r="K11" s="8"/>
      <c r="L11" s="8"/>
      <c r="M11" s="8"/>
      <c r="N11" s="8"/>
      <c r="O11" s="9" t="str">
        <f aca="false">IF($A11="","",IF(COUNTIFS(Despiece!$A$6:$A$705,$A11,Despiece!$D$6:$D$705,"Tela principal",Despiece!$F$6:$F$705,"&gt;0")=0,"",SUMIFS(Despiece!$F$6:$F$705,Despiece!$A$6:$A$705,$A11,Despiece!$D$6:$D$705,"Tela principal")))</f>
        <v/>
      </c>
      <c r="P11" s="9" t="str">
        <f aca="false">IF($A11="","",IFERROR(AVERAGEIFS(Mediciones!$K$6:$K$305,Mediciones!$C$6:$C$305,$A11,Mediciones!$D$6:$D$305,"Tela principal"),""))</f>
        <v/>
      </c>
      <c r="Q11" s="28" t="str">
        <f aca="false">IF($A11="","",IF(N(IF($N11="Despiece",IF(ISNUMBER(O11),O11*(1+Parametros!$B$22),IF(COUNTIFS(Despiece!$A$6:$A$705,$A11,Despiece!$D$6:$D$705,"Tela principal")&gt;0,"",0)),IF($N11="Medición real",IF(ISNUMBER(P11),P11,IF(COUNTIFS(Mediciones!$C$6:$C$305,$A11,Mediciones!$D$6:$D$305,"Tela principal")&gt;0,"",0)),IF(ISNUMBER(P11),P11,IF(ISNUMBER(O11),O11*(1+Parametros!$B$22),IF(OR(COUNTIFS(Despiece!$A$6:$A$705,$A11,Despiece!$D$6:$D$705,"Tela principal")&gt;0,COUNTIFS(Mediciones!$C$6:$C$305,$A11,Mediciones!$D$6:$D$305,"Tela principal")&gt;0),"",0))))))=0,"",IF($N11="Despiece",IF(ISNUMBER(O11),O11*(1+Parametros!$B$22),IF(COUNTIFS(Despiece!$A$6:$A$705,$A11,Despiece!$D$6:$D$705,"Tela principal")&gt;0,"",0)),IF($N11="Medición real",IF(ISNUMBER(P11),P11,IF(COUNTIFS(Mediciones!$C$6:$C$305,$A11,Mediciones!$D$6:$D$305,"Tela principal")&gt;0,"",0)),IF(ISNUMBER(P11),P11,IF(ISNUMBER(O11),O11*(1+Parametros!$B$22),IF(OR(COUNTIFS(Despiece!$A$6:$A$705,$A11,Despiece!$D$6:$D$705,"Tela principal")&gt;0,COUNTIFS(Mediciones!$C$6:$C$305,$A11,Mediciones!$D$6:$D$305,"Tela principal")&gt;0),"",0)))))))</f>
        <v/>
      </c>
      <c r="R11" s="9" t="str">
        <f aca="false">IF($A11="","",IF(COUNTIFS(Despiece!$A$6:$A$705,$A11,Despiece!$D$6:$D$705,"Tela 2",Despiece!$F$6:$F$705,"&gt;0")=0,"",SUMIFS(Despiece!$F$6:$F$705,Despiece!$A$6:$A$705,$A11,Despiece!$D$6:$D$705,"Tela 2")))</f>
        <v/>
      </c>
      <c r="S11" s="9" t="str">
        <f aca="false">IF($A11="","",IFERROR(AVERAGEIFS(Mediciones!$K$6:$K$305,Mediciones!$C$6:$C$305,$A11,Mediciones!$D$6:$D$305,"Tela 2"),""))</f>
        <v/>
      </c>
      <c r="T11" s="28" t="n">
        <f aca="false">IF($A11="","",IF($N11="Despiece",IF(ISNUMBER(R11),R11*(1+Parametros!$B$22),IF(COUNTIFS(Despiece!$A$6:$A$705,$A11,Despiece!$D$6:$D$705,"Tela 2")&gt;0,"",0)),IF($N11="Medición real",IF(ISNUMBER(S11),S11,IF(COUNTIFS(Mediciones!$C$6:$C$305,$A11,Mediciones!$D$6:$D$305,"Tela 2")&gt;0,"",0)),IF(ISNUMBER(S11),S11,IF(ISNUMBER(R11),R11*(1+Parametros!$B$22),IF(OR(COUNTIFS(Despiece!$A$6:$A$705,$A11,Despiece!$D$6:$D$705,"Tela 2")&gt;0,COUNTIFS(Mediciones!$C$6:$C$305,$A11,Mediciones!$D$6:$D$305,"Tela 2")&gt;0),"",0))))))</f>
        <v>0</v>
      </c>
      <c r="U11" s="9" t="str">
        <f aca="false">IF($A11="","",IF(COUNTIFS(Despiece!$A$6:$A$705,$A11,Despiece!$D$6:$D$705,"Tela 3",Despiece!$F$6:$F$705,"&gt;0")=0,"",SUMIFS(Despiece!$F$6:$F$705,Despiece!$A$6:$A$705,$A11,Despiece!$D$6:$D$705,"Tela 3")))</f>
        <v/>
      </c>
      <c r="V11" s="9" t="str">
        <f aca="false">IF($A11="","",IFERROR(AVERAGEIFS(Mediciones!$K$6:$K$305,Mediciones!$C$6:$C$305,$A11,Mediciones!$D$6:$D$305,"Tela 3"),""))</f>
        <v/>
      </c>
      <c r="W11" s="28" t="n">
        <f aca="false">IF($A11="","",IF($N11="Despiece",IF(ISNUMBER(U11),U11*(1+Parametros!$B$22),IF(COUNTIFS(Despiece!$A$6:$A$705,$A11,Despiece!$D$6:$D$705,"Tela 3")&gt;0,"",0)),IF($N11="Medición real",IF(ISNUMBER(V11),V11,IF(COUNTIFS(Mediciones!$C$6:$C$305,$A11,Mediciones!$D$6:$D$305,"Tela 3")&gt;0,"",0)),IF(ISNUMBER(V11),V11,IF(ISNUMBER(U11),U11*(1+Parametros!$B$22),IF(OR(COUNTIFS(Despiece!$A$6:$A$705,$A11,Despiece!$D$6:$D$705,"Tela 3")&gt;0,COUNTIFS(Mediciones!$C$6:$C$305,$A11,Mediciones!$D$6:$D$305,"Tela 3")&gt;0),"",0))))))</f>
        <v>0</v>
      </c>
      <c r="X11" s="27"/>
      <c r="Y11" s="9" t="str">
        <f aca="false">IF($A11="","",IF(ISNUMBER(X11),X11,IF(COUNTIFS(Despiece!$A$6:$A$705,$A11,Despiece!$E$6:$E$705,"Sublimada",Despiece!$F$6:$F$705,"&gt;0")&gt;0,SUMIFS(Despiece!$F$6:$F$705,Despiece!$A$6:$A$705,$A11,Despiece!$E$6:$E$705,"Sublimada")*(1+Parametros!$B$22),IF(COUNTIFS(Despiece!$A$6:$A$705,$A11,Despiece!$E$6:$E$705,"Sublimada")=0,0,""))))</f>
        <v/>
      </c>
      <c r="Z11" s="10" t="str">
        <f aca="false">IF($A11="","",IFERROR(IF(ISNUMBER(Q11),IF(Q11=0,0,Q11*INDEX(Telas!$I$6:$I$105,MATCH(K11,Telas!$A$6:$A$105,0))),NA())+IF(ISNUMBER(T11),IF(T11=0,0,T11*INDEX(Telas!$I$6:$I$105,MATCH(L11,Telas!$A$6:$A$105,0))),NA())+IF(ISNUMBER(W11),IF(W11=0,0,W11*INDEX(Telas!$I$6:$I$105,MATCH(IF(M11="",K11,M11),Telas!$A$6:$A$105,0))),NA()),""))</f>
        <v/>
      </c>
      <c r="AA11" s="10" t="str">
        <f aca="false">IF($A11="","",IF(ISNUMBER(Y11),Y11*Parametros!$B$19,""))</f>
        <v/>
      </c>
      <c r="AB11" s="10" t="n">
        <f aca="false">IF(OR($A11="",F11=""),"",IFERROR(INDEX(Confeccion!$B$6:$B$125,MATCH(F11,Confeccion!$A$6:$A$125,0)),""))</f>
        <v>2000</v>
      </c>
      <c r="AC11" s="10" t="n">
        <f aca="false">IF($A11="","",IFERROR(N(H11)*IF(G11="",0,INDEX(Avios!$C$6:$C$65,MATCH(G11,Avios!$A$6:$A$65,0)))+N(J11)*IF(I11="",0,INDEX(Avios!$C$6:$C$65,MATCH(I11,Avios!$A$6:$A$65,0))),""))</f>
        <v>0</v>
      </c>
      <c r="AD11" s="11" t="str">
        <f aca="false">IF($A11="","",IFERROR(Z11+AA11+AB11+AC11,""))</f>
        <v/>
      </c>
      <c r="AE11" s="10" t="str">
        <f aca="false">IF(ISNUMBER(AD11),AD11*Parametros!$B$12,"")</f>
        <v/>
      </c>
      <c r="AF11" s="29" t="str">
        <f aca="false">IF(AND(ISNUMBER(Q11),K11&lt;&gt;""),IFERROR(1/(Q11*INDEX(Telas!$G$6:$G$105,MATCH(K11,Telas!$A$6:$A$105,0))),""),"")</f>
        <v/>
      </c>
      <c r="AG11" s="0" t="str">
        <f aca="false">IF($A11="","",IF(ISNUMBER(AD11),IF(AND(N(Y11)&gt;0,N(Parametros!$B$19)=0),"Lista, pero sin costo de impresión (Parametros)","Lista"),IF(Q11="","Consumo tela principal (Despiece o Mediciones). ","")&amp;IF(COUNTIFS(Mediciones!$C$6:$C$305,$A11,Mediciones!$K$6:$K$305,"")&gt;0,"Pesar 1 m de la tela medida (Telas, kg por metro). ","")&amp;IF(T11="","Consumo Tela 2. ","")&amp;IF(W11="","Consumo Tela 3. ","")&amp;IF(K11="","Elegir tela principal. ",IF(ISERROR(INDEX(Telas!$I$6:$I$105,MATCH(K11,Telas!$A$6:$A$105,0))*1),"Precio o peso por metro de "&amp;K11&amp;". ",""))&amp;IF(AND(N(T11)&gt;0,L11=""),"Elegir Tela 2. ",IF(AND(N(T11)&gt;0,ISERROR(INDEX(Telas!$I$6:$I$105,MATCH(L11,Telas!$A$6:$A$105,0))*1)),"Precio o peso por metro de "&amp;L11&amp;". ",""))&amp;IF(Y11="","Metros impresos. ","")&amp;IF(F11="","Tipo de confección. ",IF(AB11="","Precio de confección. ",""))))</f>
        <v>Consumo tela principal (Despiece o Mediciones). Elegir tela principal. Metros impresos. </v>
      </c>
      <c r="AH11" s="27" t="s">
        <v>95</v>
      </c>
    </row>
    <row r="12" customFormat="false" ht="15" hidden="false" customHeight="false" outlineLevel="0" collapsed="false">
      <c r="A12" s="27" t="s">
        <v>109</v>
      </c>
      <c r="B12" s="27" t="s">
        <v>110</v>
      </c>
      <c r="C12" s="27" t="s">
        <v>91</v>
      </c>
      <c r="D12" s="27" t="s">
        <v>92</v>
      </c>
      <c r="E12" s="27" t="s">
        <v>100</v>
      </c>
      <c r="F12" s="27" t="s">
        <v>94</v>
      </c>
      <c r="G12" s="8"/>
      <c r="H12" s="27"/>
      <c r="I12" s="8"/>
      <c r="J12" s="27"/>
      <c r="K12" s="8"/>
      <c r="L12" s="8"/>
      <c r="M12" s="8"/>
      <c r="N12" s="8"/>
      <c r="O12" s="9" t="str">
        <f aca="false">IF($A12="","",IF(COUNTIFS(Despiece!$A$6:$A$705,$A12,Despiece!$D$6:$D$705,"Tela principal",Despiece!$F$6:$F$705,"&gt;0")=0,"",SUMIFS(Despiece!$F$6:$F$705,Despiece!$A$6:$A$705,$A12,Despiece!$D$6:$D$705,"Tela principal")))</f>
        <v/>
      </c>
      <c r="P12" s="9" t="str">
        <f aca="false">IF($A12="","",IFERROR(AVERAGEIFS(Mediciones!$K$6:$K$305,Mediciones!$C$6:$C$305,$A12,Mediciones!$D$6:$D$305,"Tela principal"),""))</f>
        <v/>
      </c>
      <c r="Q12" s="28" t="str">
        <f aca="false">IF($A12="","",IF(N(IF($N12="Despiece",IF(ISNUMBER(O12),O12*(1+Parametros!$B$22),IF(COUNTIFS(Despiece!$A$6:$A$705,$A12,Despiece!$D$6:$D$705,"Tela principal")&gt;0,"",0)),IF($N12="Medición real",IF(ISNUMBER(P12),P12,IF(COUNTIFS(Mediciones!$C$6:$C$305,$A12,Mediciones!$D$6:$D$305,"Tela principal")&gt;0,"",0)),IF(ISNUMBER(P12),P12,IF(ISNUMBER(O12),O12*(1+Parametros!$B$22),IF(OR(COUNTIFS(Despiece!$A$6:$A$705,$A12,Despiece!$D$6:$D$705,"Tela principal")&gt;0,COUNTIFS(Mediciones!$C$6:$C$305,$A12,Mediciones!$D$6:$D$305,"Tela principal")&gt;0),"",0))))))=0,"",IF($N12="Despiece",IF(ISNUMBER(O12),O12*(1+Parametros!$B$22),IF(COUNTIFS(Despiece!$A$6:$A$705,$A12,Despiece!$D$6:$D$705,"Tela principal")&gt;0,"",0)),IF($N12="Medición real",IF(ISNUMBER(P12),P12,IF(COUNTIFS(Mediciones!$C$6:$C$305,$A12,Mediciones!$D$6:$D$305,"Tela principal")&gt;0,"",0)),IF(ISNUMBER(P12),P12,IF(ISNUMBER(O12),O12*(1+Parametros!$B$22),IF(OR(COUNTIFS(Despiece!$A$6:$A$705,$A12,Despiece!$D$6:$D$705,"Tela principal")&gt;0,COUNTIFS(Mediciones!$C$6:$C$305,$A12,Mediciones!$D$6:$D$305,"Tela principal")&gt;0),"",0)))))))</f>
        <v/>
      </c>
      <c r="R12" s="9" t="str">
        <f aca="false">IF($A12="","",IF(COUNTIFS(Despiece!$A$6:$A$705,$A12,Despiece!$D$6:$D$705,"Tela 2",Despiece!$F$6:$F$705,"&gt;0")=0,"",SUMIFS(Despiece!$F$6:$F$705,Despiece!$A$6:$A$705,$A12,Despiece!$D$6:$D$705,"Tela 2")))</f>
        <v/>
      </c>
      <c r="S12" s="9" t="str">
        <f aca="false">IF($A12="","",IFERROR(AVERAGEIFS(Mediciones!$K$6:$K$305,Mediciones!$C$6:$C$305,$A12,Mediciones!$D$6:$D$305,"Tela 2"),""))</f>
        <v/>
      </c>
      <c r="T12" s="28" t="n">
        <f aca="false">IF($A12="","",IF($N12="Despiece",IF(ISNUMBER(R12),R12*(1+Parametros!$B$22),IF(COUNTIFS(Despiece!$A$6:$A$705,$A12,Despiece!$D$6:$D$705,"Tela 2")&gt;0,"",0)),IF($N12="Medición real",IF(ISNUMBER(S12),S12,IF(COUNTIFS(Mediciones!$C$6:$C$305,$A12,Mediciones!$D$6:$D$305,"Tela 2")&gt;0,"",0)),IF(ISNUMBER(S12),S12,IF(ISNUMBER(R12),R12*(1+Parametros!$B$22),IF(OR(COUNTIFS(Despiece!$A$6:$A$705,$A12,Despiece!$D$6:$D$705,"Tela 2")&gt;0,COUNTIFS(Mediciones!$C$6:$C$305,$A12,Mediciones!$D$6:$D$305,"Tela 2")&gt;0),"",0))))))</f>
        <v>0</v>
      </c>
      <c r="U12" s="9" t="str">
        <f aca="false">IF($A12="","",IF(COUNTIFS(Despiece!$A$6:$A$705,$A12,Despiece!$D$6:$D$705,"Tela 3",Despiece!$F$6:$F$705,"&gt;0")=0,"",SUMIFS(Despiece!$F$6:$F$705,Despiece!$A$6:$A$705,$A12,Despiece!$D$6:$D$705,"Tela 3")))</f>
        <v/>
      </c>
      <c r="V12" s="9" t="str">
        <f aca="false">IF($A12="","",IFERROR(AVERAGEIFS(Mediciones!$K$6:$K$305,Mediciones!$C$6:$C$305,$A12,Mediciones!$D$6:$D$305,"Tela 3"),""))</f>
        <v/>
      </c>
      <c r="W12" s="28" t="n">
        <f aca="false">IF($A12="","",IF($N12="Despiece",IF(ISNUMBER(U12),U12*(1+Parametros!$B$22),IF(COUNTIFS(Despiece!$A$6:$A$705,$A12,Despiece!$D$6:$D$705,"Tela 3")&gt;0,"",0)),IF($N12="Medición real",IF(ISNUMBER(V12),V12,IF(COUNTIFS(Mediciones!$C$6:$C$305,$A12,Mediciones!$D$6:$D$305,"Tela 3")&gt;0,"",0)),IF(ISNUMBER(V12),V12,IF(ISNUMBER(U12),U12*(1+Parametros!$B$22),IF(OR(COUNTIFS(Despiece!$A$6:$A$705,$A12,Despiece!$D$6:$D$705,"Tela 3")&gt;0,COUNTIFS(Mediciones!$C$6:$C$305,$A12,Mediciones!$D$6:$D$305,"Tela 3")&gt;0),"",0))))))</f>
        <v>0</v>
      </c>
      <c r="X12" s="27"/>
      <c r="Y12" s="9" t="str">
        <f aca="false">IF($A12="","",IF(ISNUMBER(X12),X12,IF(COUNTIFS(Despiece!$A$6:$A$705,$A12,Despiece!$E$6:$E$705,"Sublimada",Despiece!$F$6:$F$705,"&gt;0")&gt;0,SUMIFS(Despiece!$F$6:$F$705,Despiece!$A$6:$A$705,$A12,Despiece!$E$6:$E$705,"Sublimada")*(1+Parametros!$B$22),IF(COUNTIFS(Despiece!$A$6:$A$705,$A12,Despiece!$E$6:$E$705,"Sublimada")=0,0,""))))</f>
        <v/>
      </c>
      <c r="Z12" s="10" t="str">
        <f aca="false">IF($A12="","",IFERROR(IF(ISNUMBER(Q12),IF(Q12=0,0,Q12*INDEX(Telas!$I$6:$I$105,MATCH(K12,Telas!$A$6:$A$105,0))),NA())+IF(ISNUMBER(T12),IF(T12=0,0,T12*INDEX(Telas!$I$6:$I$105,MATCH(L12,Telas!$A$6:$A$105,0))),NA())+IF(ISNUMBER(W12),IF(W12=0,0,W12*INDEX(Telas!$I$6:$I$105,MATCH(IF(M12="",K12,M12),Telas!$A$6:$A$105,0))),NA()),""))</f>
        <v/>
      </c>
      <c r="AA12" s="10" t="str">
        <f aca="false">IF($A12="","",IF(ISNUMBER(Y12),Y12*Parametros!$B$19,""))</f>
        <v/>
      </c>
      <c r="AB12" s="10" t="n">
        <f aca="false">IF(OR($A12="",F12=""),"",IFERROR(INDEX(Confeccion!$B$6:$B$125,MATCH(F12,Confeccion!$A$6:$A$125,0)),""))</f>
        <v>2000</v>
      </c>
      <c r="AC12" s="10" t="n">
        <f aca="false">IF($A12="","",IFERROR(N(H12)*IF(G12="",0,INDEX(Avios!$C$6:$C$65,MATCH(G12,Avios!$A$6:$A$65,0)))+N(J12)*IF(I12="",0,INDEX(Avios!$C$6:$C$65,MATCH(I12,Avios!$A$6:$A$65,0))),""))</f>
        <v>0</v>
      </c>
      <c r="AD12" s="11" t="str">
        <f aca="false">IF($A12="","",IFERROR(Z12+AA12+AB12+AC12,""))</f>
        <v/>
      </c>
      <c r="AE12" s="10" t="str">
        <f aca="false">IF(ISNUMBER(AD12),AD12*Parametros!$B$12,"")</f>
        <v/>
      </c>
      <c r="AF12" s="29" t="str">
        <f aca="false">IF(AND(ISNUMBER(Q12),K12&lt;&gt;""),IFERROR(1/(Q12*INDEX(Telas!$G$6:$G$105,MATCH(K12,Telas!$A$6:$A$105,0))),""),"")</f>
        <v/>
      </c>
      <c r="AG12" s="0" t="str">
        <f aca="false">IF($A12="","",IF(ISNUMBER(AD12),IF(AND(N(Y12)&gt;0,N(Parametros!$B$19)=0),"Lista, pero sin costo de impresión (Parametros)","Lista"),IF(Q12="","Consumo tela principal (Despiece o Mediciones). ","")&amp;IF(COUNTIFS(Mediciones!$C$6:$C$305,$A12,Mediciones!$K$6:$K$305,"")&gt;0,"Pesar 1 m de la tela medida (Telas, kg por metro). ","")&amp;IF(T12="","Consumo Tela 2. ","")&amp;IF(W12="","Consumo Tela 3. ","")&amp;IF(K12="","Elegir tela principal. ",IF(ISERROR(INDEX(Telas!$I$6:$I$105,MATCH(K12,Telas!$A$6:$A$105,0))*1),"Precio o peso por metro de "&amp;K12&amp;". ",""))&amp;IF(AND(N(T12)&gt;0,L12=""),"Elegir Tela 2. ",IF(AND(N(T12)&gt;0,ISERROR(INDEX(Telas!$I$6:$I$105,MATCH(L12,Telas!$A$6:$A$105,0))*1)),"Precio o peso por metro de "&amp;L12&amp;". ",""))&amp;IF(Y12="","Metros impresos. ","")&amp;IF(F12="","Tipo de confección. ",IF(AB12="","Precio de confección. ",""))))</f>
        <v>Consumo tela principal (Despiece o Mediciones). Elegir tela principal. Metros impresos. </v>
      </c>
      <c r="AH12" s="27" t="s">
        <v>95</v>
      </c>
    </row>
    <row r="13" customFormat="false" ht="15" hidden="false" customHeight="false" outlineLevel="0" collapsed="false">
      <c r="A13" s="27" t="s">
        <v>111</v>
      </c>
      <c r="B13" s="27" t="s">
        <v>110</v>
      </c>
      <c r="C13" s="27" t="s">
        <v>91</v>
      </c>
      <c r="D13" s="27" t="s">
        <v>92</v>
      </c>
      <c r="E13" s="27" t="s">
        <v>102</v>
      </c>
      <c r="F13" s="27" t="s">
        <v>94</v>
      </c>
      <c r="G13" s="8"/>
      <c r="H13" s="27"/>
      <c r="I13" s="8"/>
      <c r="J13" s="27"/>
      <c r="K13" s="8"/>
      <c r="L13" s="8"/>
      <c r="M13" s="8"/>
      <c r="N13" s="8"/>
      <c r="O13" s="9" t="str">
        <f aca="false">IF($A13="","",IF(COUNTIFS(Despiece!$A$6:$A$705,$A13,Despiece!$D$6:$D$705,"Tela principal",Despiece!$F$6:$F$705,"&gt;0")=0,"",SUMIFS(Despiece!$F$6:$F$705,Despiece!$A$6:$A$705,$A13,Despiece!$D$6:$D$705,"Tela principal")))</f>
        <v/>
      </c>
      <c r="P13" s="9" t="str">
        <f aca="false">IF($A13="","",IFERROR(AVERAGEIFS(Mediciones!$K$6:$K$305,Mediciones!$C$6:$C$305,$A13,Mediciones!$D$6:$D$305,"Tela principal"),""))</f>
        <v/>
      </c>
      <c r="Q13" s="28" t="str">
        <f aca="false">IF($A13="","",IF(N(IF($N13="Despiece",IF(ISNUMBER(O13),O13*(1+Parametros!$B$22),IF(COUNTIFS(Despiece!$A$6:$A$705,$A13,Despiece!$D$6:$D$705,"Tela principal")&gt;0,"",0)),IF($N13="Medición real",IF(ISNUMBER(P13),P13,IF(COUNTIFS(Mediciones!$C$6:$C$305,$A13,Mediciones!$D$6:$D$305,"Tela principal")&gt;0,"",0)),IF(ISNUMBER(P13),P13,IF(ISNUMBER(O13),O13*(1+Parametros!$B$22),IF(OR(COUNTIFS(Despiece!$A$6:$A$705,$A13,Despiece!$D$6:$D$705,"Tela principal")&gt;0,COUNTIFS(Mediciones!$C$6:$C$305,$A13,Mediciones!$D$6:$D$305,"Tela principal")&gt;0),"",0))))))=0,"",IF($N13="Despiece",IF(ISNUMBER(O13),O13*(1+Parametros!$B$22),IF(COUNTIFS(Despiece!$A$6:$A$705,$A13,Despiece!$D$6:$D$705,"Tela principal")&gt;0,"",0)),IF($N13="Medición real",IF(ISNUMBER(P13),P13,IF(COUNTIFS(Mediciones!$C$6:$C$305,$A13,Mediciones!$D$6:$D$305,"Tela principal")&gt;0,"",0)),IF(ISNUMBER(P13),P13,IF(ISNUMBER(O13),O13*(1+Parametros!$B$22),IF(OR(COUNTIFS(Despiece!$A$6:$A$705,$A13,Despiece!$D$6:$D$705,"Tela principal")&gt;0,COUNTIFS(Mediciones!$C$6:$C$305,$A13,Mediciones!$D$6:$D$305,"Tela principal")&gt;0),"",0)))))))</f>
        <v/>
      </c>
      <c r="R13" s="9" t="str">
        <f aca="false">IF($A13="","",IF(COUNTIFS(Despiece!$A$6:$A$705,$A13,Despiece!$D$6:$D$705,"Tela 2",Despiece!$F$6:$F$705,"&gt;0")=0,"",SUMIFS(Despiece!$F$6:$F$705,Despiece!$A$6:$A$705,$A13,Despiece!$D$6:$D$705,"Tela 2")))</f>
        <v/>
      </c>
      <c r="S13" s="9" t="str">
        <f aca="false">IF($A13="","",IFERROR(AVERAGEIFS(Mediciones!$K$6:$K$305,Mediciones!$C$6:$C$305,$A13,Mediciones!$D$6:$D$305,"Tela 2"),""))</f>
        <v/>
      </c>
      <c r="T13" s="28" t="n">
        <f aca="false">IF($A13="","",IF($N13="Despiece",IF(ISNUMBER(R13),R13*(1+Parametros!$B$22),IF(COUNTIFS(Despiece!$A$6:$A$705,$A13,Despiece!$D$6:$D$705,"Tela 2")&gt;0,"",0)),IF($N13="Medición real",IF(ISNUMBER(S13),S13,IF(COUNTIFS(Mediciones!$C$6:$C$305,$A13,Mediciones!$D$6:$D$305,"Tela 2")&gt;0,"",0)),IF(ISNUMBER(S13),S13,IF(ISNUMBER(R13),R13*(1+Parametros!$B$22),IF(OR(COUNTIFS(Despiece!$A$6:$A$705,$A13,Despiece!$D$6:$D$705,"Tela 2")&gt;0,COUNTIFS(Mediciones!$C$6:$C$305,$A13,Mediciones!$D$6:$D$305,"Tela 2")&gt;0),"",0))))))</f>
        <v>0</v>
      </c>
      <c r="U13" s="9" t="str">
        <f aca="false">IF($A13="","",IF(COUNTIFS(Despiece!$A$6:$A$705,$A13,Despiece!$D$6:$D$705,"Tela 3",Despiece!$F$6:$F$705,"&gt;0")=0,"",SUMIFS(Despiece!$F$6:$F$705,Despiece!$A$6:$A$705,$A13,Despiece!$D$6:$D$705,"Tela 3")))</f>
        <v/>
      </c>
      <c r="V13" s="9" t="str">
        <f aca="false">IF($A13="","",IFERROR(AVERAGEIFS(Mediciones!$K$6:$K$305,Mediciones!$C$6:$C$305,$A13,Mediciones!$D$6:$D$305,"Tela 3"),""))</f>
        <v/>
      </c>
      <c r="W13" s="28" t="n">
        <f aca="false">IF($A13="","",IF($N13="Despiece",IF(ISNUMBER(U13),U13*(1+Parametros!$B$22),IF(COUNTIFS(Despiece!$A$6:$A$705,$A13,Despiece!$D$6:$D$705,"Tela 3")&gt;0,"",0)),IF($N13="Medición real",IF(ISNUMBER(V13),V13,IF(COUNTIFS(Mediciones!$C$6:$C$305,$A13,Mediciones!$D$6:$D$305,"Tela 3")&gt;0,"",0)),IF(ISNUMBER(V13),V13,IF(ISNUMBER(U13),U13*(1+Parametros!$B$22),IF(OR(COUNTIFS(Despiece!$A$6:$A$705,$A13,Despiece!$D$6:$D$705,"Tela 3")&gt;0,COUNTIFS(Mediciones!$C$6:$C$305,$A13,Mediciones!$D$6:$D$305,"Tela 3")&gt;0),"",0))))))</f>
        <v>0</v>
      </c>
      <c r="X13" s="27"/>
      <c r="Y13" s="9" t="str">
        <f aca="false">IF($A13="","",IF(ISNUMBER(X13),X13,IF(COUNTIFS(Despiece!$A$6:$A$705,$A13,Despiece!$E$6:$E$705,"Sublimada",Despiece!$F$6:$F$705,"&gt;0")&gt;0,SUMIFS(Despiece!$F$6:$F$705,Despiece!$A$6:$A$705,$A13,Despiece!$E$6:$E$705,"Sublimada")*(1+Parametros!$B$22),IF(COUNTIFS(Despiece!$A$6:$A$705,$A13,Despiece!$E$6:$E$705,"Sublimada")=0,0,""))))</f>
        <v/>
      </c>
      <c r="Z13" s="10" t="str">
        <f aca="false">IF($A13="","",IFERROR(IF(ISNUMBER(Q13),IF(Q13=0,0,Q13*INDEX(Telas!$I$6:$I$105,MATCH(K13,Telas!$A$6:$A$105,0))),NA())+IF(ISNUMBER(T13),IF(T13=0,0,T13*INDEX(Telas!$I$6:$I$105,MATCH(L13,Telas!$A$6:$A$105,0))),NA())+IF(ISNUMBER(W13),IF(W13=0,0,W13*INDEX(Telas!$I$6:$I$105,MATCH(IF(M13="",K13,M13),Telas!$A$6:$A$105,0))),NA()),""))</f>
        <v/>
      </c>
      <c r="AA13" s="10" t="str">
        <f aca="false">IF($A13="","",IF(ISNUMBER(Y13),Y13*Parametros!$B$19,""))</f>
        <v/>
      </c>
      <c r="AB13" s="10" t="n">
        <f aca="false">IF(OR($A13="",F13=""),"",IFERROR(INDEX(Confeccion!$B$6:$B$125,MATCH(F13,Confeccion!$A$6:$A$125,0)),""))</f>
        <v>2000</v>
      </c>
      <c r="AC13" s="10" t="n">
        <f aca="false">IF($A13="","",IFERROR(N(H13)*IF(G13="",0,INDEX(Avios!$C$6:$C$65,MATCH(G13,Avios!$A$6:$A$65,0)))+N(J13)*IF(I13="",0,INDEX(Avios!$C$6:$C$65,MATCH(I13,Avios!$A$6:$A$65,0))),""))</f>
        <v>0</v>
      </c>
      <c r="AD13" s="11" t="str">
        <f aca="false">IF($A13="","",IFERROR(Z13+AA13+AB13+AC13,""))</f>
        <v/>
      </c>
      <c r="AE13" s="10" t="str">
        <f aca="false">IF(ISNUMBER(AD13),AD13*Parametros!$B$12,"")</f>
        <v/>
      </c>
      <c r="AF13" s="29" t="str">
        <f aca="false">IF(AND(ISNUMBER(Q13),K13&lt;&gt;""),IFERROR(1/(Q13*INDEX(Telas!$G$6:$G$105,MATCH(K13,Telas!$A$6:$A$105,0))),""),"")</f>
        <v/>
      </c>
      <c r="AG13" s="0" t="str">
        <f aca="false">IF($A13="","",IF(ISNUMBER(AD13),IF(AND(N(Y13)&gt;0,N(Parametros!$B$19)=0),"Lista, pero sin costo de impresión (Parametros)","Lista"),IF(Q13="","Consumo tela principal (Despiece o Mediciones). ","")&amp;IF(COUNTIFS(Mediciones!$C$6:$C$305,$A13,Mediciones!$K$6:$K$305,"")&gt;0,"Pesar 1 m de la tela medida (Telas, kg por metro). ","")&amp;IF(T13="","Consumo Tela 2. ","")&amp;IF(W13="","Consumo Tela 3. ","")&amp;IF(K13="","Elegir tela principal. ",IF(ISERROR(INDEX(Telas!$I$6:$I$105,MATCH(K13,Telas!$A$6:$A$105,0))*1),"Precio o peso por metro de "&amp;K13&amp;". ",""))&amp;IF(AND(N(T13)&gt;0,L13=""),"Elegir Tela 2. ",IF(AND(N(T13)&gt;0,ISERROR(INDEX(Telas!$I$6:$I$105,MATCH(L13,Telas!$A$6:$A$105,0))*1)),"Precio o peso por metro de "&amp;L13&amp;". ",""))&amp;IF(Y13="","Metros impresos. ","")&amp;IF(F13="","Tipo de confección. ",IF(AB13="","Precio de confección. ",""))))</f>
        <v>Consumo tela principal (Despiece o Mediciones). Elegir tela principal. Metros impresos. </v>
      </c>
      <c r="AH13" s="27" t="s">
        <v>95</v>
      </c>
    </row>
    <row r="14" customFormat="false" ht="15" hidden="false" customHeight="false" outlineLevel="0" collapsed="false">
      <c r="A14" s="27" t="s">
        <v>112</v>
      </c>
      <c r="B14" s="27" t="s">
        <v>113</v>
      </c>
      <c r="C14" s="27" t="s">
        <v>91</v>
      </c>
      <c r="D14" s="27" t="s">
        <v>92</v>
      </c>
      <c r="E14" s="27" t="s">
        <v>93</v>
      </c>
      <c r="F14" s="27" t="s">
        <v>94</v>
      </c>
      <c r="G14" s="8"/>
      <c r="H14" s="27"/>
      <c r="I14" s="8"/>
      <c r="J14" s="27"/>
      <c r="K14" s="8"/>
      <c r="L14" s="8"/>
      <c r="M14" s="8"/>
      <c r="N14" s="8"/>
      <c r="O14" s="9" t="str">
        <f aca="false">IF($A14="","",IF(COUNTIFS(Despiece!$A$6:$A$705,$A14,Despiece!$D$6:$D$705,"Tela principal",Despiece!$F$6:$F$705,"&gt;0")=0,"",SUMIFS(Despiece!$F$6:$F$705,Despiece!$A$6:$A$705,$A14,Despiece!$D$6:$D$705,"Tela principal")))</f>
        <v/>
      </c>
      <c r="P14" s="9" t="str">
        <f aca="false">IF($A14="","",IFERROR(AVERAGEIFS(Mediciones!$K$6:$K$305,Mediciones!$C$6:$C$305,$A14,Mediciones!$D$6:$D$305,"Tela principal"),""))</f>
        <v/>
      </c>
      <c r="Q14" s="28" t="str">
        <f aca="false">IF($A14="","",IF(N(IF($N14="Despiece",IF(ISNUMBER(O14),O14*(1+Parametros!$B$22),IF(COUNTIFS(Despiece!$A$6:$A$705,$A14,Despiece!$D$6:$D$705,"Tela principal")&gt;0,"",0)),IF($N14="Medición real",IF(ISNUMBER(P14),P14,IF(COUNTIFS(Mediciones!$C$6:$C$305,$A14,Mediciones!$D$6:$D$305,"Tela principal")&gt;0,"",0)),IF(ISNUMBER(P14),P14,IF(ISNUMBER(O14),O14*(1+Parametros!$B$22),IF(OR(COUNTIFS(Despiece!$A$6:$A$705,$A14,Despiece!$D$6:$D$705,"Tela principal")&gt;0,COUNTIFS(Mediciones!$C$6:$C$305,$A14,Mediciones!$D$6:$D$305,"Tela principal")&gt;0),"",0))))))=0,"",IF($N14="Despiece",IF(ISNUMBER(O14),O14*(1+Parametros!$B$22),IF(COUNTIFS(Despiece!$A$6:$A$705,$A14,Despiece!$D$6:$D$705,"Tela principal")&gt;0,"",0)),IF($N14="Medición real",IF(ISNUMBER(P14),P14,IF(COUNTIFS(Mediciones!$C$6:$C$305,$A14,Mediciones!$D$6:$D$305,"Tela principal")&gt;0,"",0)),IF(ISNUMBER(P14),P14,IF(ISNUMBER(O14),O14*(1+Parametros!$B$22),IF(OR(COUNTIFS(Despiece!$A$6:$A$705,$A14,Despiece!$D$6:$D$705,"Tela principal")&gt;0,COUNTIFS(Mediciones!$C$6:$C$305,$A14,Mediciones!$D$6:$D$305,"Tela principal")&gt;0),"",0)))))))</f>
        <v/>
      </c>
      <c r="R14" s="9" t="str">
        <f aca="false">IF($A14="","",IF(COUNTIFS(Despiece!$A$6:$A$705,$A14,Despiece!$D$6:$D$705,"Tela 2",Despiece!$F$6:$F$705,"&gt;0")=0,"",SUMIFS(Despiece!$F$6:$F$705,Despiece!$A$6:$A$705,$A14,Despiece!$D$6:$D$705,"Tela 2")))</f>
        <v/>
      </c>
      <c r="S14" s="9" t="str">
        <f aca="false">IF($A14="","",IFERROR(AVERAGEIFS(Mediciones!$K$6:$K$305,Mediciones!$C$6:$C$305,$A14,Mediciones!$D$6:$D$305,"Tela 2"),""))</f>
        <v/>
      </c>
      <c r="T14" s="28" t="n">
        <f aca="false">IF($A14="","",IF($N14="Despiece",IF(ISNUMBER(R14),R14*(1+Parametros!$B$22),IF(COUNTIFS(Despiece!$A$6:$A$705,$A14,Despiece!$D$6:$D$705,"Tela 2")&gt;0,"",0)),IF($N14="Medición real",IF(ISNUMBER(S14),S14,IF(COUNTIFS(Mediciones!$C$6:$C$305,$A14,Mediciones!$D$6:$D$305,"Tela 2")&gt;0,"",0)),IF(ISNUMBER(S14),S14,IF(ISNUMBER(R14),R14*(1+Parametros!$B$22),IF(OR(COUNTIFS(Despiece!$A$6:$A$705,$A14,Despiece!$D$6:$D$705,"Tela 2")&gt;0,COUNTIFS(Mediciones!$C$6:$C$305,$A14,Mediciones!$D$6:$D$305,"Tela 2")&gt;0),"",0))))))</f>
        <v>0</v>
      </c>
      <c r="U14" s="9" t="str">
        <f aca="false">IF($A14="","",IF(COUNTIFS(Despiece!$A$6:$A$705,$A14,Despiece!$D$6:$D$705,"Tela 3",Despiece!$F$6:$F$705,"&gt;0")=0,"",SUMIFS(Despiece!$F$6:$F$705,Despiece!$A$6:$A$705,$A14,Despiece!$D$6:$D$705,"Tela 3")))</f>
        <v/>
      </c>
      <c r="V14" s="9" t="str">
        <f aca="false">IF($A14="","",IFERROR(AVERAGEIFS(Mediciones!$K$6:$K$305,Mediciones!$C$6:$C$305,$A14,Mediciones!$D$6:$D$305,"Tela 3"),""))</f>
        <v/>
      </c>
      <c r="W14" s="28" t="n">
        <f aca="false">IF($A14="","",IF($N14="Despiece",IF(ISNUMBER(U14),U14*(1+Parametros!$B$22),IF(COUNTIFS(Despiece!$A$6:$A$705,$A14,Despiece!$D$6:$D$705,"Tela 3")&gt;0,"",0)),IF($N14="Medición real",IF(ISNUMBER(V14),V14,IF(COUNTIFS(Mediciones!$C$6:$C$305,$A14,Mediciones!$D$6:$D$305,"Tela 3")&gt;0,"",0)),IF(ISNUMBER(V14),V14,IF(ISNUMBER(U14),U14*(1+Parametros!$B$22),IF(OR(COUNTIFS(Despiece!$A$6:$A$705,$A14,Despiece!$D$6:$D$705,"Tela 3")&gt;0,COUNTIFS(Mediciones!$C$6:$C$305,$A14,Mediciones!$D$6:$D$305,"Tela 3")&gt;0),"",0))))))</f>
        <v>0</v>
      </c>
      <c r="X14" s="27"/>
      <c r="Y14" s="9" t="str">
        <f aca="false">IF($A14="","",IF(ISNUMBER(X14),X14,IF(COUNTIFS(Despiece!$A$6:$A$705,$A14,Despiece!$E$6:$E$705,"Sublimada",Despiece!$F$6:$F$705,"&gt;0")&gt;0,SUMIFS(Despiece!$F$6:$F$705,Despiece!$A$6:$A$705,$A14,Despiece!$E$6:$E$705,"Sublimada")*(1+Parametros!$B$22),IF(COUNTIFS(Despiece!$A$6:$A$705,$A14,Despiece!$E$6:$E$705,"Sublimada")=0,0,""))))</f>
        <v/>
      </c>
      <c r="Z14" s="10" t="str">
        <f aca="false">IF($A14="","",IFERROR(IF(ISNUMBER(Q14),IF(Q14=0,0,Q14*INDEX(Telas!$I$6:$I$105,MATCH(K14,Telas!$A$6:$A$105,0))),NA())+IF(ISNUMBER(T14),IF(T14=0,0,T14*INDEX(Telas!$I$6:$I$105,MATCH(L14,Telas!$A$6:$A$105,0))),NA())+IF(ISNUMBER(W14),IF(W14=0,0,W14*INDEX(Telas!$I$6:$I$105,MATCH(IF(M14="",K14,M14),Telas!$A$6:$A$105,0))),NA()),""))</f>
        <v/>
      </c>
      <c r="AA14" s="10" t="str">
        <f aca="false">IF($A14="","",IF(ISNUMBER(Y14),Y14*Parametros!$B$19,""))</f>
        <v/>
      </c>
      <c r="AB14" s="10" t="n">
        <f aca="false">IF(OR($A14="",F14=""),"",IFERROR(INDEX(Confeccion!$B$6:$B$125,MATCH(F14,Confeccion!$A$6:$A$125,0)),""))</f>
        <v>2000</v>
      </c>
      <c r="AC14" s="10" t="n">
        <f aca="false">IF($A14="","",IFERROR(N(H14)*IF(G14="",0,INDEX(Avios!$C$6:$C$65,MATCH(G14,Avios!$A$6:$A$65,0)))+N(J14)*IF(I14="",0,INDEX(Avios!$C$6:$C$65,MATCH(I14,Avios!$A$6:$A$65,0))),""))</f>
        <v>0</v>
      </c>
      <c r="AD14" s="11" t="str">
        <f aca="false">IF($A14="","",IFERROR(Z14+AA14+AB14+AC14,""))</f>
        <v/>
      </c>
      <c r="AE14" s="10" t="str">
        <f aca="false">IF(ISNUMBER(AD14),AD14*Parametros!$B$12,"")</f>
        <v/>
      </c>
      <c r="AF14" s="29" t="str">
        <f aca="false">IF(AND(ISNUMBER(Q14),K14&lt;&gt;""),IFERROR(1/(Q14*INDEX(Telas!$G$6:$G$105,MATCH(K14,Telas!$A$6:$A$105,0))),""),"")</f>
        <v/>
      </c>
      <c r="AG14" s="0" t="str">
        <f aca="false">IF($A14="","",IF(ISNUMBER(AD14),IF(AND(N(Y14)&gt;0,N(Parametros!$B$19)=0),"Lista, pero sin costo de impresión (Parametros)","Lista"),IF(Q14="","Consumo tela principal (Despiece o Mediciones). ","")&amp;IF(COUNTIFS(Mediciones!$C$6:$C$305,$A14,Mediciones!$K$6:$K$305,"")&gt;0,"Pesar 1 m de la tela medida (Telas, kg por metro). ","")&amp;IF(T14="","Consumo Tela 2. ","")&amp;IF(W14="","Consumo Tela 3. ","")&amp;IF(K14="","Elegir tela principal. ",IF(ISERROR(INDEX(Telas!$I$6:$I$105,MATCH(K14,Telas!$A$6:$A$105,0))*1),"Precio o peso por metro de "&amp;K14&amp;". ",""))&amp;IF(AND(N(T14)&gt;0,L14=""),"Elegir Tela 2. ",IF(AND(N(T14)&gt;0,ISERROR(INDEX(Telas!$I$6:$I$105,MATCH(L14,Telas!$A$6:$A$105,0))*1)),"Precio o peso por metro de "&amp;L14&amp;". ",""))&amp;IF(Y14="","Metros impresos. ","")&amp;IF(F14="","Tipo de confección. ",IF(AB14="","Precio de confección. ",""))))</f>
        <v>Consumo tela principal (Despiece o Mediciones). Elegir tela principal. Metros impresos. </v>
      </c>
      <c r="AH14" s="27" t="s">
        <v>95</v>
      </c>
    </row>
    <row r="15" customFormat="false" ht="15" hidden="false" customHeight="false" outlineLevel="0" collapsed="false">
      <c r="A15" s="27" t="s">
        <v>114</v>
      </c>
      <c r="B15" s="27" t="s">
        <v>113</v>
      </c>
      <c r="C15" s="27" t="s">
        <v>91</v>
      </c>
      <c r="D15" s="27" t="s">
        <v>92</v>
      </c>
      <c r="E15" s="27" t="s">
        <v>97</v>
      </c>
      <c r="F15" s="27" t="s">
        <v>94</v>
      </c>
      <c r="G15" s="8"/>
      <c r="H15" s="27"/>
      <c r="I15" s="8"/>
      <c r="J15" s="27"/>
      <c r="K15" s="8"/>
      <c r="L15" s="8"/>
      <c r="M15" s="8"/>
      <c r="N15" s="8"/>
      <c r="O15" s="9" t="str">
        <f aca="false">IF($A15="","",IF(COUNTIFS(Despiece!$A$6:$A$705,$A15,Despiece!$D$6:$D$705,"Tela principal",Despiece!$F$6:$F$705,"&gt;0")=0,"",SUMIFS(Despiece!$F$6:$F$705,Despiece!$A$6:$A$705,$A15,Despiece!$D$6:$D$705,"Tela principal")))</f>
        <v/>
      </c>
      <c r="P15" s="9" t="str">
        <f aca="false">IF($A15="","",IFERROR(AVERAGEIFS(Mediciones!$K$6:$K$305,Mediciones!$C$6:$C$305,$A15,Mediciones!$D$6:$D$305,"Tela principal"),""))</f>
        <v/>
      </c>
      <c r="Q15" s="28" t="str">
        <f aca="false">IF($A15="","",IF(N(IF($N15="Despiece",IF(ISNUMBER(O15),O15*(1+Parametros!$B$22),IF(COUNTIFS(Despiece!$A$6:$A$705,$A15,Despiece!$D$6:$D$705,"Tela principal")&gt;0,"",0)),IF($N15="Medición real",IF(ISNUMBER(P15),P15,IF(COUNTIFS(Mediciones!$C$6:$C$305,$A15,Mediciones!$D$6:$D$305,"Tela principal")&gt;0,"",0)),IF(ISNUMBER(P15),P15,IF(ISNUMBER(O15),O15*(1+Parametros!$B$22),IF(OR(COUNTIFS(Despiece!$A$6:$A$705,$A15,Despiece!$D$6:$D$705,"Tela principal")&gt;0,COUNTIFS(Mediciones!$C$6:$C$305,$A15,Mediciones!$D$6:$D$305,"Tela principal")&gt;0),"",0))))))=0,"",IF($N15="Despiece",IF(ISNUMBER(O15),O15*(1+Parametros!$B$22),IF(COUNTIFS(Despiece!$A$6:$A$705,$A15,Despiece!$D$6:$D$705,"Tela principal")&gt;0,"",0)),IF($N15="Medición real",IF(ISNUMBER(P15),P15,IF(COUNTIFS(Mediciones!$C$6:$C$305,$A15,Mediciones!$D$6:$D$305,"Tela principal")&gt;0,"",0)),IF(ISNUMBER(P15),P15,IF(ISNUMBER(O15),O15*(1+Parametros!$B$22),IF(OR(COUNTIFS(Despiece!$A$6:$A$705,$A15,Despiece!$D$6:$D$705,"Tela principal")&gt;0,COUNTIFS(Mediciones!$C$6:$C$305,$A15,Mediciones!$D$6:$D$305,"Tela principal")&gt;0),"",0)))))))</f>
        <v/>
      </c>
      <c r="R15" s="9" t="str">
        <f aca="false">IF($A15="","",IF(COUNTIFS(Despiece!$A$6:$A$705,$A15,Despiece!$D$6:$D$705,"Tela 2",Despiece!$F$6:$F$705,"&gt;0")=0,"",SUMIFS(Despiece!$F$6:$F$705,Despiece!$A$6:$A$705,$A15,Despiece!$D$6:$D$705,"Tela 2")))</f>
        <v/>
      </c>
      <c r="S15" s="9" t="str">
        <f aca="false">IF($A15="","",IFERROR(AVERAGEIFS(Mediciones!$K$6:$K$305,Mediciones!$C$6:$C$305,$A15,Mediciones!$D$6:$D$305,"Tela 2"),""))</f>
        <v/>
      </c>
      <c r="T15" s="28" t="n">
        <f aca="false">IF($A15="","",IF($N15="Despiece",IF(ISNUMBER(R15),R15*(1+Parametros!$B$22),IF(COUNTIFS(Despiece!$A$6:$A$705,$A15,Despiece!$D$6:$D$705,"Tela 2")&gt;0,"",0)),IF($N15="Medición real",IF(ISNUMBER(S15),S15,IF(COUNTIFS(Mediciones!$C$6:$C$305,$A15,Mediciones!$D$6:$D$305,"Tela 2")&gt;0,"",0)),IF(ISNUMBER(S15),S15,IF(ISNUMBER(R15),R15*(1+Parametros!$B$22),IF(OR(COUNTIFS(Despiece!$A$6:$A$705,$A15,Despiece!$D$6:$D$705,"Tela 2")&gt;0,COUNTIFS(Mediciones!$C$6:$C$305,$A15,Mediciones!$D$6:$D$305,"Tela 2")&gt;0),"",0))))))</f>
        <v>0</v>
      </c>
      <c r="U15" s="9" t="str">
        <f aca="false">IF($A15="","",IF(COUNTIFS(Despiece!$A$6:$A$705,$A15,Despiece!$D$6:$D$705,"Tela 3",Despiece!$F$6:$F$705,"&gt;0")=0,"",SUMIFS(Despiece!$F$6:$F$705,Despiece!$A$6:$A$705,$A15,Despiece!$D$6:$D$705,"Tela 3")))</f>
        <v/>
      </c>
      <c r="V15" s="9" t="str">
        <f aca="false">IF($A15="","",IFERROR(AVERAGEIFS(Mediciones!$K$6:$K$305,Mediciones!$C$6:$C$305,$A15,Mediciones!$D$6:$D$305,"Tela 3"),""))</f>
        <v/>
      </c>
      <c r="W15" s="28" t="n">
        <f aca="false">IF($A15="","",IF($N15="Despiece",IF(ISNUMBER(U15),U15*(1+Parametros!$B$22),IF(COUNTIFS(Despiece!$A$6:$A$705,$A15,Despiece!$D$6:$D$705,"Tela 3")&gt;0,"",0)),IF($N15="Medición real",IF(ISNUMBER(V15),V15,IF(COUNTIFS(Mediciones!$C$6:$C$305,$A15,Mediciones!$D$6:$D$305,"Tela 3")&gt;0,"",0)),IF(ISNUMBER(V15),V15,IF(ISNUMBER(U15),U15*(1+Parametros!$B$22),IF(OR(COUNTIFS(Despiece!$A$6:$A$705,$A15,Despiece!$D$6:$D$705,"Tela 3")&gt;0,COUNTIFS(Mediciones!$C$6:$C$305,$A15,Mediciones!$D$6:$D$305,"Tela 3")&gt;0),"",0))))))</f>
        <v>0</v>
      </c>
      <c r="X15" s="27"/>
      <c r="Y15" s="9" t="str">
        <f aca="false">IF($A15="","",IF(ISNUMBER(X15),X15,IF(COUNTIFS(Despiece!$A$6:$A$705,$A15,Despiece!$E$6:$E$705,"Sublimada",Despiece!$F$6:$F$705,"&gt;0")&gt;0,SUMIFS(Despiece!$F$6:$F$705,Despiece!$A$6:$A$705,$A15,Despiece!$E$6:$E$705,"Sublimada")*(1+Parametros!$B$22),IF(COUNTIFS(Despiece!$A$6:$A$705,$A15,Despiece!$E$6:$E$705,"Sublimada")=0,0,""))))</f>
        <v/>
      </c>
      <c r="Z15" s="10" t="str">
        <f aca="false">IF($A15="","",IFERROR(IF(ISNUMBER(Q15),IF(Q15=0,0,Q15*INDEX(Telas!$I$6:$I$105,MATCH(K15,Telas!$A$6:$A$105,0))),NA())+IF(ISNUMBER(T15),IF(T15=0,0,T15*INDEX(Telas!$I$6:$I$105,MATCH(L15,Telas!$A$6:$A$105,0))),NA())+IF(ISNUMBER(W15),IF(W15=0,0,W15*INDEX(Telas!$I$6:$I$105,MATCH(IF(M15="",K15,M15),Telas!$A$6:$A$105,0))),NA()),""))</f>
        <v/>
      </c>
      <c r="AA15" s="10" t="str">
        <f aca="false">IF($A15="","",IF(ISNUMBER(Y15),Y15*Parametros!$B$19,""))</f>
        <v/>
      </c>
      <c r="AB15" s="10" t="n">
        <f aca="false">IF(OR($A15="",F15=""),"",IFERROR(INDEX(Confeccion!$B$6:$B$125,MATCH(F15,Confeccion!$A$6:$A$125,0)),""))</f>
        <v>2000</v>
      </c>
      <c r="AC15" s="10" t="n">
        <f aca="false">IF($A15="","",IFERROR(N(H15)*IF(G15="",0,INDEX(Avios!$C$6:$C$65,MATCH(G15,Avios!$A$6:$A$65,0)))+N(J15)*IF(I15="",0,INDEX(Avios!$C$6:$C$65,MATCH(I15,Avios!$A$6:$A$65,0))),""))</f>
        <v>0</v>
      </c>
      <c r="AD15" s="11" t="str">
        <f aca="false">IF($A15="","",IFERROR(Z15+AA15+AB15+AC15,""))</f>
        <v/>
      </c>
      <c r="AE15" s="10" t="str">
        <f aca="false">IF(ISNUMBER(AD15),AD15*Parametros!$B$12,"")</f>
        <v/>
      </c>
      <c r="AF15" s="29" t="str">
        <f aca="false">IF(AND(ISNUMBER(Q15),K15&lt;&gt;""),IFERROR(1/(Q15*INDEX(Telas!$G$6:$G$105,MATCH(K15,Telas!$A$6:$A$105,0))),""),"")</f>
        <v/>
      </c>
      <c r="AG15" s="0" t="str">
        <f aca="false">IF($A15="","",IF(ISNUMBER(AD15),IF(AND(N(Y15)&gt;0,N(Parametros!$B$19)=0),"Lista, pero sin costo de impresión (Parametros)","Lista"),IF(Q15="","Consumo tela principal (Despiece o Mediciones). ","")&amp;IF(COUNTIFS(Mediciones!$C$6:$C$305,$A15,Mediciones!$K$6:$K$305,"")&gt;0,"Pesar 1 m de la tela medida (Telas, kg por metro). ","")&amp;IF(T15="","Consumo Tela 2. ","")&amp;IF(W15="","Consumo Tela 3. ","")&amp;IF(K15="","Elegir tela principal. ",IF(ISERROR(INDEX(Telas!$I$6:$I$105,MATCH(K15,Telas!$A$6:$A$105,0))*1),"Precio o peso por metro de "&amp;K15&amp;". ",""))&amp;IF(AND(N(T15)&gt;0,L15=""),"Elegir Tela 2. ",IF(AND(N(T15)&gt;0,ISERROR(INDEX(Telas!$I$6:$I$105,MATCH(L15,Telas!$A$6:$A$105,0))*1)),"Precio o peso por metro de "&amp;L15&amp;". ",""))&amp;IF(Y15="","Metros impresos. ","")&amp;IF(F15="","Tipo de confección. ",IF(AB15="","Precio de confección. ",""))))</f>
        <v>Consumo tela principal (Despiece o Mediciones). Elegir tela principal. Metros impresos. </v>
      </c>
      <c r="AH15" s="27" t="s">
        <v>95</v>
      </c>
    </row>
    <row r="16" customFormat="false" ht="15" hidden="false" customHeight="false" outlineLevel="0" collapsed="false">
      <c r="A16" s="27" t="s">
        <v>115</v>
      </c>
      <c r="B16" s="27" t="s">
        <v>116</v>
      </c>
      <c r="C16" s="27" t="s">
        <v>91</v>
      </c>
      <c r="D16" s="27" t="s">
        <v>92</v>
      </c>
      <c r="E16" s="27" t="s">
        <v>100</v>
      </c>
      <c r="F16" s="27" t="s">
        <v>94</v>
      </c>
      <c r="G16" s="8"/>
      <c r="H16" s="27"/>
      <c r="I16" s="8"/>
      <c r="J16" s="27"/>
      <c r="K16" s="8"/>
      <c r="L16" s="8"/>
      <c r="M16" s="8"/>
      <c r="N16" s="8"/>
      <c r="O16" s="9" t="str">
        <f aca="false">IF($A16="","",IF(COUNTIFS(Despiece!$A$6:$A$705,$A16,Despiece!$D$6:$D$705,"Tela principal",Despiece!$F$6:$F$705,"&gt;0")=0,"",SUMIFS(Despiece!$F$6:$F$705,Despiece!$A$6:$A$705,$A16,Despiece!$D$6:$D$705,"Tela principal")))</f>
        <v/>
      </c>
      <c r="P16" s="9" t="str">
        <f aca="false">IF($A16="","",IFERROR(AVERAGEIFS(Mediciones!$K$6:$K$305,Mediciones!$C$6:$C$305,$A16,Mediciones!$D$6:$D$305,"Tela principal"),""))</f>
        <v/>
      </c>
      <c r="Q16" s="28" t="str">
        <f aca="false">IF($A16="","",IF(N(IF($N16="Despiece",IF(ISNUMBER(O16),O16*(1+Parametros!$B$22),IF(COUNTIFS(Despiece!$A$6:$A$705,$A16,Despiece!$D$6:$D$705,"Tela principal")&gt;0,"",0)),IF($N16="Medición real",IF(ISNUMBER(P16),P16,IF(COUNTIFS(Mediciones!$C$6:$C$305,$A16,Mediciones!$D$6:$D$305,"Tela principal")&gt;0,"",0)),IF(ISNUMBER(P16),P16,IF(ISNUMBER(O16),O16*(1+Parametros!$B$22),IF(OR(COUNTIFS(Despiece!$A$6:$A$705,$A16,Despiece!$D$6:$D$705,"Tela principal")&gt;0,COUNTIFS(Mediciones!$C$6:$C$305,$A16,Mediciones!$D$6:$D$305,"Tela principal")&gt;0),"",0))))))=0,"",IF($N16="Despiece",IF(ISNUMBER(O16),O16*(1+Parametros!$B$22),IF(COUNTIFS(Despiece!$A$6:$A$705,$A16,Despiece!$D$6:$D$705,"Tela principal")&gt;0,"",0)),IF($N16="Medición real",IF(ISNUMBER(P16),P16,IF(COUNTIFS(Mediciones!$C$6:$C$305,$A16,Mediciones!$D$6:$D$305,"Tela principal")&gt;0,"",0)),IF(ISNUMBER(P16),P16,IF(ISNUMBER(O16),O16*(1+Parametros!$B$22),IF(OR(COUNTIFS(Despiece!$A$6:$A$705,$A16,Despiece!$D$6:$D$705,"Tela principal")&gt;0,COUNTIFS(Mediciones!$C$6:$C$305,$A16,Mediciones!$D$6:$D$305,"Tela principal")&gt;0),"",0)))))))</f>
        <v/>
      </c>
      <c r="R16" s="9" t="str">
        <f aca="false">IF($A16="","",IF(COUNTIFS(Despiece!$A$6:$A$705,$A16,Despiece!$D$6:$D$705,"Tela 2",Despiece!$F$6:$F$705,"&gt;0")=0,"",SUMIFS(Despiece!$F$6:$F$705,Despiece!$A$6:$A$705,$A16,Despiece!$D$6:$D$705,"Tela 2")))</f>
        <v/>
      </c>
      <c r="S16" s="9" t="str">
        <f aca="false">IF($A16="","",IFERROR(AVERAGEIFS(Mediciones!$K$6:$K$305,Mediciones!$C$6:$C$305,$A16,Mediciones!$D$6:$D$305,"Tela 2"),""))</f>
        <v/>
      </c>
      <c r="T16" s="28" t="n">
        <f aca="false">IF($A16="","",IF($N16="Despiece",IF(ISNUMBER(R16),R16*(1+Parametros!$B$22),IF(COUNTIFS(Despiece!$A$6:$A$705,$A16,Despiece!$D$6:$D$705,"Tela 2")&gt;0,"",0)),IF($N16="Medición real",IF(ISNUMBER(S16),S16,IF(COUNTIFS(Mediciones!$C$6:$C$305,$A16,Mediciones!$D$6:$D$305,"Tela 2")&gt;0,"",0)),IF(ISNUMBER(S16),S16,IF(ISNUMBER(R16),R16*(1+Parametros!$B$22),IF(OR(COUNTIFS(Despiece!$A$6:$A$705,$A16,Despiece!$D$6:$D$705,"Tela 2")&gt;0,COUNTIFS(Mediciones!$C$6:$C$305,$A16,Mediciones!$D$6:$D$305,"Tela 2")&gt;0),"",0))))))</f>
        <v>0</v>
      </c>
      <c r="U16" s="9" t="str">
        <f aca="false">IF($A16="","",IF(COUNTIFS(Despiece!$A$6:$A$705,$A16,Despiece!$D$6:$D$705,"Tela 3",Despiece!$F$6:$F$705,"&gt;0")=0,"",SUMIFS(Despiece!$F$6:$F$705,Despiece!$A$6:$A$705,$A16,Despiece!$D$6:$D$705,"Tela 3")))</f>
        <v/>
      </c>
      <c r="V16" s="9" t="str">
        <f aca="false">IF($A16="","",IFERROR(AVERAGEIFS(Mediciones!$K$6:$K$305,Mediciones!$C$6:$C$305,$A16,Mediciones!$D$6:$D$305,"Tela 3"),""))</f>
        <v/>
      </c>
      <c r="W16" s="28" t="n">
        <f aca="false">IF($A16="","",IF($N16="Despiece",IF(ISNUMBER(U16),U16*(1+Parametros!$B$22),IF(COUNTIFS(Despiece!$A$6:$A$705,$A16,Despiece!$D$6:$D$705,"Tela 3")&gt;0,"",0)),IF($N16="Medición real",IF(ISNUMBER(V16),V16,IF(COUNTIFS(Mediciones!$C$6:$C$305,$A16,Mediciones!$D$6:$D$305,"Tela 3")&gt;0,"",0)),IF(ISNUMBER(V16),V16,IF(ISNUMBER(U16),U16*(1+Parametros!$B$22),IF(OR(COUNTIFS(Despiece!$A$6:$A$705,$A16,Despiece!$D$6:$D$705,"Tela 3")&gt;0,COUNTIFS(Mediciones!$C$6:$C$305,$A16,Mediciones!$D$6:$D$305,"Tela 3")&gt;0),"",0))))))</f>
        <v>0</v>
      </c>
      <c r="X16" s="27"/>
      <c r="Y16" s="9" t="str">
        <f aca="false">IF($A16="","",IF(ISNUMBER(X16),X16,IF(COUNTIFS(Despiece!$A$6:$A$705,$A16,Despiece!$E$6:$E$705,"Sublimada",Despiece!$F$6:$F$705,"&gt;0")&gt;0,SUMIFS(Despiece!$F$6:$F$705,Despiece!$A$6:$A$705,$A16,Despiece!$E$6:$E$705,"Sublimada")*(1+Parametros!$B$22),IF(COUNTIFS(Despiece!$A$6:$A$705,$A16,Despiece!$E$6:$E$705,"Sublimada")=0,0,""))))</f>
        <v/>
      </c>
      <c r="Z16" s="10" t="str">
        <f aca="false">IF($A16="","",IFERROR(IF(ISNUMBER(Q16),IF(Q16=0,0,Q16*INDEX(Telas!$I$6:$I$105,MATCH(K16,Telas!$A$6:$A$105,0))),NA())+IF(ISNUMBER(T16),IF(T16=0,0,T16*INDEX(Telas!$I$6:$I$105,MATCH(L16,Telas!$A$6:$A$105,0))),NA())+IF(ISNUMBER(W16),IF(W16=0,0,W16*INDEX(Telas!$I$6:$I$105,MATCH(IF(M16="",K16,M16),Telas!$A$6:$A$105,0))),NA()),""))</f>
        <v/>
      </c>
      <c r="AA16" s="10" t="str">
        <f aca="false">IF($A16="","",IF(ISNUMBER(Y16),Y16*Parametros!$B$19,""))</f>
        <v/>
      </c>
      <c r="AB16" s="10" t="n">
        <f aca="false">IF(OR($A16="",F16=""),"",IFERROR(INDEX(Confeccion!$B$6:$B$125,MATCH(F16,Confeccion!$A$6:$A$125,0)),""))</f>
        <v>2000</v>
      </c>
      <c r="AC16" s="10" t="n">
        <f aca="false">IF($A16="","",IFERROR(N(H16)*IF(G16="",0,INDEX(Avios!$C$6:$C$65,MATCH(G16,Avios!$A$6:$A$65,0)))+N(J16)*IF(I16="",0,INDEX(Avios!$C$6:$C$65,MATCH(I16,Avios!$A$6:$A$65,0))),""))</f>
        <v>0</v>
      </c>
      <c r="AD16" s="11" t="str">
        <f aca="false">IF($A16="","",IFERROR(Z16+AA16+AB16+AC16,""))</f>
        <v/>
      </c>
      <c r="AE16" s="10" t="str">
        <f aca="false">IF(ISNUMBER(AD16),AD16*Parametros!$B$12,"")</f>
        <v/>
      </c>
      <c r="AF16" s="29" t="str">
        <f aca="false">IF(AND(ISNUMBER(Q16),K16&lt;&gt;""),IFERROR(1/(Q16*INDEX(Telas!$G$6:$G$105,MATCH(K16,Telas!$A$6:$A$105,0))),""),"")</f>
        <v/>
      </c>
      <c r="AG16" s="0" t="str">
        <f aca="false">IF($A16="","",IF(ISNUMBER(AD16),IF(AND(N(Y16)&gt;0,N(Parametros!$B$19)=0),"Lista, pero sin costo de impresión (Parametros)","Lista"),IF(Q16="","Consumo tela principal (Despiece o Mediciones). ","")&amp;IF(COUNTIFS(Mediciones!$C$6:$C$305,$A16,Mediciones!$K$6:$K$305,"")&gt;0,"Pesar 1 m de la tela medida (Telas, kg por metro). ","")&amp;IF(T16="","Consumo Tela 2. ","")&amp;IF(W16="","Consumo Tela 3. ","")&amp;IF(K16="","Elegir tela principal. ",IF(ISERROR(INDEX(Telas!$I$6:$I$105,MATCH(K16,Telas!$A$6:$A$105,0))*1),"Precio o peso por metro de "&amp;K16&amp;". ",""))&amp;IF(AND(N(T16)&gt;0,L16=""),"Elegir Tela 2. ",IF(AND(N(T16)&gt;0,ISERROR(INDEX(Telas!$I$6:$I$105,MATCH(L16,Telas!$A$6:$A$105,0))*1)),"Precio o peso por metro de "&amp;L16&amp;". ",""))&amp;IF(Y16="","Metros impresos. ","")&amp;IF(F16="","Tipo de confección. ",IF(AB16="","Precio de confección. ",""))))</f>
        <v>Consumo tela principal (Despiece o Mediciones). Elegir tela principal. Metros impresos. </v>
      </c>
      <c r="AH16" s="27" t="s">
        <v>95</v>
      </c>
    </row>
    <row r="17" customFormat="false" ht="15" hidden="false" customHeight="false" outlineLevel="0" collapsed="false">
      <c r="A17" s="27" t="s">
        <v>117</v>
      </c>
      <c r="B17" s="27" t="s">
        <v>116</v>
      </c>
      <c r="C17" s="27" t="s">
        <v>91</v>
      </c>
      <c r="D17" s="27" t="s">
        <v>92</v>
      </c>
      <c r="E17" s="27" t="s">
        <v>102</v>
      </c>
      <c r="F17" s="27" t="s">
        <v>94</v>
      </c>
      <c r="G17" s="8"/>
      <c r="H17" s="27"/>
      <c r="I17" s="8"/>
      <c r="J17" s="27"/>
      <c r="K17" s="8"/>
      <c r="L17" s="8"/>
      <c r="M17" s="8"/>
      <c r="N17" s="8"/>
      <c r="O17" s="9" t="str">
        <f aca="false">IF($A17="","",IF(COUNTIFS(Despiece!$A$6:$A$705,$A17,Despiece!$D$6:$D$705,"Tela principal",Despiece!$F$6:$F$705,"&gt;0")=0,"",SUMIFS(Despiece!$F$6:$F$705,Despiece!$A$6:$A$705,$A17,Despiece!$D$6:$D$705,"Tela principal")))</f>
        <v/>
      </c>
      <c r="P17" s="9" t="str">
        <f aca="false">IF($A17="","",IFERROR(AVERAGEIFS(Mediciones!$K$6:$K$305,Mediciones!$C$6:$C$305,$A17,Mediciones!$D$6:$D$305,"Tela principal"),""))</f>
        <v/>
      </c>
      <c r="Q17" s="28" t="str">
        <f aca="false">IF($A17="","",IF(N(IF($N17="Despiece",IF(ISNUMBER(O17),O17*(1+Parametros!$B$22),IF(COUNTIFS(Despiece!$A$6:$A$705,$A17,Despiece!$D$6:$D$705,"Tela principal")&gt;0,"",0)),IF($N17="Medición real",IF(ISNUMBER(P17),P17,IF(COUNTIFS(Mediciones!$C$6:$C$305,$A17,Mediciones!$D$6:$D$305,"Tela principal")&gt;0,"",0)),IF(ISNUMBER(P17),P17,IF(ISNUMBER(O17),O17*(1+Parametros!$B$22),IF(OR(COUNTIFS(Despiece!$A$6:$A$705,$A17,Despiece!$D$6:$D$705,"Tela principal")&gt;0,COUNTIFS(Mediciones!$C$6:$C$305,$A17,Mediciones!$D$6:$D$305,"Tela principal")&gt;0),"",0))))))=0,"",IF($N17="Despiece",IF(ISNUMBER(O17),O17*(1+Parametros!$B$22),IF(COUNTIFS(Despiece!$A$6:$A$705,$A17,Despiece!$D$6:$D$705,"Tela principal")&gt;0,"",0)),IF($N17="Medición real",IF(ISNUMBER(P17),P17,IF(COUNTIFS(Mediciones!$C$6:$C$305,$A17,Mediciones!$D$6:$D$305,"Tela principal")&gt;0,"",0)),IF(ISNUMBER(P17),P17,IF(ISNUMBER(O17),O17*(1+Parametros!$B$22),IF(OR(COUNTIFS(Despiece!$A$6:$A$705,$A17,Despiece!$D$6:$D$705,"Tela principal")&gt;0,COUNTIFS(Mediciones!$C$6:$C$305,$A17,Mediciones!$D$6:$D$305,"Tela principal")&gt;0),"",0)))))))</f>
        <v/>
      </c>
      <c r="R17" s="9" t="str">
        <f aca="false">IF($A17="","",IF(COUNTIFS(Despiece!$A$6:$A$705,$A17,Despiece!$D$6:$D$705,"Tela 2",Despiece!$F$6:$F$705,"&gt;0")=0,"",SUMIFS(Despiece!$F$6:$F$705,Despiece!$A$6:$A$705,$A17,Despiece!$D$6:$D$705,"Tela 2")))</f>
        <v/>
      </c>
      <c r="S17" s="9" t="str">
        <f aca="false">IF($A17="","",IFERROR(AVERAGEIFS(Mediciones!$K$6:$K$305,Mediciones!$C$6:$C$305,$A17,Mediciones!$D$6:$D$305,"Tela 2"),""))</f>
        <v/>
      </c>
      <c r="T17" s="28" t="n">
        <f aca="false">IF($A17="","",IF($N17="Despiece",IF(ISNUMBER(R17),R17*(1+Parametros!$B$22),IF(COUNTIFS(Despiece!$A$6:$A$705,$A17,Despiece!$D$6:$D$705,"Tela 2")&gt;0,"",0)),IF($N17="Medición real",IF(ISNUMBER(S17),S17,IF(COUNTIFS(Mediciones!$C$6:$C$305,$A17,Mediciones!$D$6:$D$305,"Tela 2")&gt;0,"",0)),IF(ISNUMBER(S17),S17,IF(ISNUMBER(R17),R17*(1+Parametros!$B$22),IF(OR(COUNTIFS(Despiece!$A$6:$A$705,$A17,Despiece!$D$6:$D$705,"Tela 2")&gt;0,COUNTIFS(Mediciones!$C$6:$C$305,$A17,Mediciones!$D$6:$D$305,"Tela 2")&gt;0),"",0))))))</f>
        <v>0</v>
      </c>
      <c r="U17" s="9" t="str">
        <f aca="false">IF($A17="","",IF(COUNTIFS(Despiece!$A$6:$A$705,$A17,Despiece!$D$6:$D$705,"Tela 3",Despiece!$F$6:$F$705,"&gt;0")=0,"",SUMIFS(Despiece!$F$6:$F$705,Despiece!$A$6:$A$705,$A17,Despiece!$D$6:$D$705,"Tela 3")))</f>
        <v/>
      </c>
      <c r="V17" s="9" t="str">
        <f aca="false">IF($A17="","",IFERROR(AVERAGEIFS(Mediciones!$K$6:$K$305,Mediciones!$C$6:$C$305,$A17,Mediciones!$D$6:$D$305,"Tela 3"),""))</f>
        <v/>
      </c>
      <c r="W17" s="28" t="n">
        <f aca="false">IF($A17="","",IF($N17="Despiece",IF(ISNUMBER(U17),U17*(1+Parametros!$B$22),IF(COUNTIFS(Despiece!$A$6:$A$705,$A17,Despiece!$D$6:$D$705,"Tela 3")&gt;0,"",0)),IF($N17="Medición real",IF(ISNUMBER(V17),V17,IF(COUNTIFS(Mediciones!$C$6:$C$305,$A17,Mediciones!$D$6:$D$305,"Tela 3")&gt;0,"",0)),IF(ISNUMBER(V17),V17,IF(ISNUMBER(U17),U17*(1+Parametros!$B$22),IF(OR(COUNTIFS(Despiece!$A$6:$A$705,$A17,Despiece!$D$6:$D$705,"Tela 3")&gt;0,COUNTIFS(Mediciones!$C$6:$C$305,$A17,Mediciones!$D$6:$D$305,"Tela 3")&gt;0),"",0))))))</f>
        <v>0</v>
      </c>
      <c r="X17" s="27"/>
      <c r="Y17" s="9" t="str">
        <f aca="false">IF($A17="","",IF(ISNUMBER(X17),X17,IF(COUNTIFS(Despiece!$A$6:$A$705,$A17,Despiece!$E$6:$E$705,"Sublimada",Despiece!$F$6:$F$705,"&gt;0")&gt;0,SUMIFS(Despiece!$F$6:$F$705,Despiece!$A$6:$A$705,$A17,Despiece!$E$6:$E$705,"Sublimada")*(1+Parametros!$B$22),IF(COUNTIFS(Despiece!$A$6:$A$705,$A17,Despiece!$E$6:$E$705,"Sublimada")=0,0,""))))</f>
        <v/>
      </c>
      <c r="Z17" s="10" t="str">
        <f aca="false">IF($A17="","",IFERROR(IF(ISNUMBER(Q17),IF(Q17=0,0,Q17*INDEX(Telas!$I$6:$I$105,MATCH(K17,Telas!$A$6:$A$105,0))),NA())+IF(ISNUMBER(T17),IF(T17=0,0,T17*INDEX(Telas!$I$6:$I$105,MATCH(L17,Telas!$A$6:$A$105,0))),NA())+IF(ISNUMBER(W17),IF(W17=0,0,W17*INDEX(Telas!$I$6:$I$105,MATCH(IF(M17="",K17,M17),Telas!$A$6:$A$105,0))),NA()),""))</f>
        <v/>
      </c>
      <c r="AA17" s="10" t="str">
        <f aca="false">IF($A17="","",IF(ISNUMBER(Y17),Y17*Parametros!$B$19,""))</f>
        <v/>
      </c>
      <c r="AB17" s="10" t="n">
        <f aca="false">IF(OR($A17="",F17=""),"",IFERROR(INDEX(Confeccion!$B$6:$B$125,MATCH(F17,Confeccion!$A$6:$A$125,0)),""))</f>
        <v>2000</v>
      </c>
      <c r="AC17" s="10" t="n">
        <f aca="false">IF($A17="","",IFERROR(N(H17)*IF(G17="",0,INDEX(Avios!$C$6:$C$65,MATCH(G17,Avios!$A$6:$A$65,0)))+N(J17)*IF(I17="",0,INDEX(Avios!$C$6:$C$65,MATCH(I17,Avios!$A$6:$A$65,0))),""))</f>
        <v>0</v>
      </c>
      <c r="AD17" s="11" t="str">
        <f aca="false">IF($A17="","",IFERROR(Z17+AA17+AB17+AC17,""))</f>
        <v/>
      </c>
      <c r="AE17" s="10" t="str">
        <f aca="false">IF(ISNUMBER(AD17),AD17*Parametros!$B$12,"")</f>
        <v/>
      </c>
      <c r="AF17" s="29" t="str">
        <f aca="false">IF(AND(ISNUMBER(Q17),K17&lt;&gt;""),IFERROR(1/(Q17*INDEX(Telas!$G$6:$G$105,MATCH(K17,Telas!$A$6:$A$105,0))),""),"")</f>
        <v/>
      </c>
      <c r="AG17" s="0" t="str">
        <f aca="false">IF($A17="","",IF(ISNUMBER(AD17),IF(AND(N(Y17)&gt;0,N(Parametros!$B$19)=0),"Lista, pero sin costo de impresión (Parametros)","Lista"),IF(Q17="","Consumo tela principal (Despiece o Mediciones). ","")&amp;IF(COUNTIFS(Mediciones!$C$6:$C$305,$A17,Mediciones!$K$6:$K$305,"")&gt;0,"Pesar 1 m de la tela medida (Telas, kg por metro). ","")&amp;IF(T17="","Consumo Tela 2. ","")&amp;IF(W17="","Consumo Tela 3. ","")&amp;IF(K17="","Elegir tela principal. ",IF(ISERROR(INDEX(Telas!$I$6:$I$105,MATCH(K17,Telas!$A$6:$A$105,0))*1),"Precio o peso por metro de "&amp;K17&amp;". ",""))&amp;IF(AND(N(T17)&gt;0,L17=""),"Elegir Tela 2. ",IF(AND(N(T17)&gt;0,ISERROR(INDEX(Telas!$I$6:$I$105,MATCH(L17,Telas!$A$6:$A$105,0))*1)),"Precio o peso por metro de "&amp;L17&amp;". ",""))&amp;IF(Y17="","Metros impresos. ","")&amp;IF(F17="","Tipo de confección. ",IF(AB17="","Precio de confección. ",""))))</f>
        <v>Consumo tela principal (Despiece o Mediciones). Elegir tela principal. Metros impresos. </v>
      </c>
      <c r="AH17" s="27" t="s">
        <v>95</v>
      </c>
    </row>
    <row r="18" customFormat="false" ht="15" hidden="false" customHeight="false" outlineLevel="0" collapsed="false">
      <c r="A18" s="27" t="s">
        <v>118</v>
      </c>
      <c r="B18" s="27" t="s">
        <v>119</v>
      </c>
      <c r="C18" s="27" t="s">
        <v>91</v>
      </c>
      <c r="D18" s="27" t="s">
        <v>92</v>
      </c>
      <c r="E18" s="27" t="s">
        <v>93</v>
      </c>
      <c r="F18" s="27" t="s">
        <v>94</v>
      </c>
      <c r="G18" s="8"/>
      <c r="H18" s="27"/>
      <c r="I18" s="8"/>
      <c r="J18" s="27"/>
      <c r="K18" s="8" t="s">
        <v>120</v>
      </c>
      <c r="L18" s="8"/>
      <c r="M18" s="8"/>
      <c r="N18" s="8"/>
      <c r="O18" s="9" t="str">
        <f aca="false">IF($A18="","",IF(COUNTIFS(Despiece!$A$6:$A$705,$A18,Despiece!$D$6:$D$705,"Tela principal",Despiece!$F$6:$F$705,"&gt;0")=0,"",SUMIFS(Despiece!$F$6:$F$705,Despiece!$A$6:$A$705,$A18,Despiece!$D$6:$D$705,"Tela principal")))</f>
        <v/>
      </c>
      <c r="P18" s="9" t="n">
        <f aca="false">IF($A18="","",IFERROR(AVERAGEIFS(Mediciones!$K$6:$K$305,Mediciones!$C$6:$C$305,$A18,Mediciones!$D$6:$D$305,"Tela principal"),""))</f>
        <v>0.621827411167513</v>
      </c>
      <c r="Q18" s="28" t="n">
        <f aca="false">IF($A18="","",IF(N(IF($N18="Despiece",IF(ISNUMBER(O18),O18*(1+Parametros!$B$22),IF(COUNTIFS(Despiece!$A$6:$A$705,$A18,Despiece!$D$6:$D$705,"Tela principal")&gt;0,"",0)),IF($N18="Medición real",IF(ISNUMBER(P18),P18,IF(COUNTIFS(Mediciones!$C$6:$C$305,$A18,Mediciones!$D$6:$D$305,"Tela principal")&gt;0,"",0)),IF(ISNUMBER(P18),P18,IF(ISNUMBER(O18),O18*(1+Parametros!$B$22),IF(OR(COUNTIFS(Despiece!$A$6:$A$705,$A18,Despiece!$D$6:$D$705,"Tela principal")&gt;0,COUNTIFS(Mediciones!$C$6:$C$305,$A18,Mediciones!$D$6:$D$305,"Tela principal")&gt;0),"",0))))))=0,"",IF($N18="Despiece",IF(ISNUMBER(O18),O18*(1+Parametros!$B$22),IF(COUNTIFS(Despiece!$A$6:$A$705,$A18,Despiece!$D$6:$D$705,"Tela principal")&gt;0,"",0)),IF($N18="Medición real",IF(ISNUMBER(P18),P18,IF(COUNTIFS(Mediciones!$C$6:$C$305,$A18,Mediciones!$D$6:$D$305,"Tela principal")&gt;0,"",0)),IF(ISNUMBER(P18),P18,IF(ISNUMBER(O18),O18*(1+Parametros!$B$22),IF(OR(COUNTIFS(Despiece!$A$6:$A$705,$A18,Despiece!$D$6:$D$705,"Tela principal")&gt;0,COUNTIFS(Mediciones!$C$6:$C$305,$A18,Mediciones!$D$6:$D$305,"Tela principal")&gt;0),"",0)))))))</f>
        <v>0.621827411167513</v>
      </c>
      <c r="R18" s="9" t="str">
        <f aca="false">IF($A18="","",IF(COUNTIFS(Despiece!$A$6:$A$705,$A18,Despiece!$D$6:$D$705,"Tela 2",Despiece!$F$6:$F$705,"&gt;0")=0,"",SUMIFS(Despiece!$F$6:$F$705,Despiece!$A$6:$A$705,$A18,Despiece!$D$6:$D$705,"Tela 2")))</f>
        <v/>
      </c>
      <c r="S18" s="9" t="str">
        <f aca="false">IF($A18="","",IFERROR(AVERAGEIFS(Mediciones!$K$6:$K$305,Mediciones!$C$6:$C$305,$A18,Mediciones!$D$6:$D$305,"Tela 2"),""))</f>
        <v/>
      </c>
      <c r="T18" s="28" t="str">
        <f aca="false">IF($A18="","",IF($N18="Despiece",IF(ISNUMBER(R18),R18*(1+Parametros!$B$22),IF(COUNTIFS(Despiece!$A$6:$A$705,$A18,Despiece!$D$6:$D$705,"Tela 2")&gt;0,"",0)),IF($N18="Medición real",IF(ISNUMBER(S18),S18,IF(COUNTIFS(Mediciones!$C$6:$C$305,$A18,Mediciones!$D$6:$D$305,"Tela 2")&gt;0,"",0)),IF(ISNUMBER(S18),S18,IF(ISNUMBER(R18),R18*(1+Parametros!$B$22),IF(OR(COUNTIFS(Despiece!$A$6:$A$705,$A18,Despiece!$D$6:$D$705,"Tela 2")&gt;0,COUNTIFS(Mediciones!$C$6:$C$305,$A18,Mediciones!$D$6:$D$305,"Tela 2")&gt;0),"",0))))))</f>
        <v/>
      </c>
      <c r="U18" s="9" t="str">
        <f aca="false">IF($A18="","",IF(COUNTIFS(Despiece!$A$6:$A$705,$A18,Despiece!$D$6:$D$705,"Tela 3",Despiece!$F$6:$F$705,"&gt;0")=0,"",SUMIFS(Despiece!$F$6:$F$705,Despiece!$A$6:$A$705,$A18,Despiece!$D$6:$D$705,"Tela 3")))</f>
        <v/>
      </c>
      <c r="V18" s="9" t="str">
        <f aca="false">IF($A18="","",IFERROR(AVERAGEIFS(Mediciones!$K$6:$K$305,Mediciones!$C$6:$C$305,$A18,Mediciones!$D$6:$D$305,"Tela 3"),""))</f>
        <v/>
      </c>
      <c r="W18" s="28" t="n">
        <f aca="false">IF($A18="","",IF($N18="Despiece",IF(ISNUMBER(U18),U18*(1+Parametros!$B$22),IF(COUNTIFS(Despiece!$A$6:$A$705,$A18,Despiece!$D$6:$D$705,"Tela 3")&gt;0,"",0)),IF($N18="Medición real",IF(ISNUMBER(V18),V18,IF(COUNTIFS(Mediciones!$C$6:$C$305,$A18,Mediciones!$D$6:$D$305,"Tela 3")&gt;0,"",0)),IF(ISNUMBER(V18),V18,IF(ISNUMBER(U18),U18*(1+Parametros!$B$22),IF(OR(COUNTIFS(Despiece!$A$6:$A$705,$A18,Despiece!$D$6:$D$705,"Tela 3")&gt;0,COUNTIFS(Mediciones!$C$6:$C$305,$A18,Mediciones!$D$6:$D$305,"Tela 3")&gt;0),"",0))))))</f>
        <v>0</v>
      </c>
      <c r="X18" s="27"/>
      <c r="Y18" s="9" t="str">
        <f aca="false">IF($A18="","",IF(ISNUMBER(X18),X18,IF(COUNTIFS(Despiece!$A$6:$A$705,$A18,Despiece!$E$6:$E$705,"Sublimada",Despiece!$F$6:$F$705,"&gt;0")&gt;0,SUMIFS(Despiece!$F$6:$F$705,Despiece!$A$6:$A$705,$A18,Despiece!$E$6:$E$705,"Sublimada")*(1+Parametros!$B$22),IF(COUNTIFS(Despiece!$A$6:$A$705,$A18,Despiece!$E$6:$E$705,"Sublimada")=0,0,""))))</f>
        <v/>
      </c>
      <c r="Z18" s="10" t="str">
        <f aca="false">IF($A18="","",IFERROR(IF(ISNUMBER(Q18),IF(Q18=0,0,Q18*INDEX(Telas!$I$6:$I$105,MATCH(K18,Telas!$A$6:$A$105,0))),NA())+IF(ISNUMBER(T18),IF(T18=0,0,T18*INDEX(Telas!$I$6:$I$105,MATCH(L18,Telas!$A$6:$A$105,0))),NA())+IF(ISNUMBER(W18),IF(W18=0,0,W18*INDEX(Telas!$I$6:$I$105,MATCH(IF(M18="",K18,M18),Telas!$A$6:$A$105,0))),NA()),""))</f>
        <v/>
      </c>
      <c r="AA18" s="10" t="str">
        <f aca="false">IF($A18="","",IF(ISNUMBER(Y18),Y18*Parametros!$B$19,""))</f>
        <v/>
      </c>
      <c r="AB18" s="10" t="n">
        <f aca="false">IF(OR($A18="",F18=""),"",IFERROR(INDEX(Confeccion!$B$6:$B$125,MATCH(F18,Confeccion!$A$6:$A$125,0)),""))</f>
        <v>2000</v>
      </c>
      <c r="AC18" s="10" t="n">
        <f aca="false">IF($A18="","",IFERROR(N(H18)*IF(G18="",0,INDEX(Avios!$C$6:$C$65,MATCH(G18,Avios!$A$6:$A$65,0)))+N(J18)*IF(I18="",0,INDEX(Avios!$C$6:$C$65,MATCH(I18,Avios!$A$6:$A$65,0))),""))</f>
        <v>0</v>
      </c>
      <c r="AD18" s="11" t="str">
        <f aca="false">IF($A18="","",IFERROR(Z18+AA18+AB18+AC18,""))</f>
        <v/>
      </c>
      <c r="AE18" s="10" t="str">
        <f aca="false">IF(ISNUMBER(AD18),AD18*Parametros!$B$12,"")</f>
        <v/>
      </c>
      <c r="AF18" s="29" t="n">
        <f aca="false">IF(AND(ISNUMBER(Q18),K18&lt;&gt;""),IFERROR(1/(Q18*INDEX(Telas!$G$6:$G$105,MATCH(K18,Telas!$A$6:$A$105,0))),""),"")</f>
        <v>8.16326530612245</v>
      </c>
      <c r="AG18" s="0" t="str">
        <f aca="false">IF($A18="","",IF(ISNUMBER(AD18),IF(AND(N(Y18)&gt;0,N(Parametros!$B$19)=0),"Lista, pero sin costo de impresión (Parametros)","Lista"),IF(Q18="","Consumo tela principal (Despiece o Mediciones). ","")&amp;IF(COUNTIFS(Mediciones!$C$6:$C$305,$A18,Mediciones!$K$6:$K$305,"")&gt;0,"Pesar 1 m de la tela medida (Telas, kg por metro). ","")&amp;IF(T18="","Consumo Tela 2. ","")&amp;IF(W18="","Consumo Tela 3. ","")&amp;IF(K18="","Elegir tela principal. ",IF(ISERROR(INDEX(Telas!$I$6:$I$105,MATCH(K18,Telas!$A$6:$A$105,0))*1),"Precio o peso por metro de "&amp;K18&amp;". ",""))&amp;IF(AND(N(T18)&gt;0,L18=""),"Elegir Tela 2. ",IF(AND(N(T18)&gt;0,ISERROR(INDEX(Telas!$I$6:$I$105,MATCH(L18,Telas!$A$6:$A$105,0))*1)),"Precio o peso por metro de "&amp;L18&amp;". ",""))&amp;IF(Y18="","Metros impresos. ","")&amp;IF(F18="","Tipo de confección. ",IF(AB18="","Precio de confección. ",""))))</f>
        <v>Consumo Tela 2. Metros impresos. </v>
      </c>
      <c r="AH18" s="27" t="s">
        <v>121</v>
      </c>
    </row>
    <row r="19" customFormat="false" ht="15" hidden="false" customHeight="false" outlineLevel="0" collapsed="false">
      <c r="A19" s="27" t="s">
        <v>4</v>
      </c>
      <c r="B19" s="27" t="s">
        <v>119</v>
      </c>
      <c r="C19" s="27" t="s">
        <v>91</v>
      </c>
      <c r="D19" s="27" t="s">
        <v>92</v>
      </c>
      <c r="E19" s="27" t="s">
        <v>97</v>
      </c>
      <c r="F19" s="27" t="s">
        <v>94</v>
      </c>
      <c r="G19" s="8"/>
      <c r="H19" s="27"/>
      <c r="I19" s="8"/>
      <c r="J19" s="27"/>
      <c r="K19" s="8" t="s">
        <v>120</v>
      </c>
      <c r="L19" s="8" t="s">
        <v>104</v>
      </c>
      <c r="M19" s="8"/>
      <c r="N19" s="8"/>
      <c r="O19" s="9" t="str">
        <f aca="false">IF($A19="","",IF(COUNTIFS(Despiece!$A$6:$A$705,$A19,Despiece!$D$6:$D$705,"Tela principal",Despiece!$F$6:$F$705,"&gt;0")=0,"",SUMIFS(Despiece!$F$6:$F$705,Despiece!$A$6:$A$705,$A19,Despiece!$D$6:$D$705,"Tela principal")))</f>
        <v/>
      </c>
      <c r="P19" s="9" t="n">
        <f aca="false">IF($A19="","",IFERROR(AVERAGEIFS(Mediciones!$K$6:$K$305,Mediciones!$C$6:$C$305,$A19,Mediciones!$D$6:$D$305,"Tela principal"),""))</f>
        <v>0.609137055837563</v>
      </c>
      <c r="Q19" s="28" t="n">
        <f aca="false">IF($A19="","",IF(N(IF($N19="Despiece",IF(ISNUMBER(O19),O19*(1+Parametros!$B$22),IF(COUNTIFS(Despiece!$A$6:$A$705,$A19,Despiece!$D$6:$D$705,"Tela principal")&gt;0,"",0)),IF($N19="Medición real",IF(ISNUMBER(P19),P19,IF(COUNTIFS(Mediciones!$C$6:$C$305,$A19,Mediciones!$D$6:$D$305,"Tela principal")&gt;0,"",0)),IF(ISNUMBER(P19),P19,IF(ISNUMBER(O19),O19*(1+Parametros!$B$22),IF(OR(COUNTIFS(Despiece!$A$6:$A$705,$A19,Despiece!$D$6:$D$705,"Tela principal")&gt;0,COUNTIFS(Mediciones!$C$6:$C$305,$A19,Mediciones!$D$6:$D$305,"Tela principal")&gt;0),"",0))))))=0,"",IF($N19="Despiece",IF(ISNUMBER(O19),O19*(1+Parametros!$B$22),IF(COUNTIFS(Despiece!$A$6:$A$705,$A19,Despiece!$D$6:$D$705,"Tela principal")&gt;0,"",0)),IF($N19="Medición real",IF(ISNUMBER(P19),P19,IF(COUNTIFS(Mediciones!$C$6:$C$305,$A19,Mediciones!$D$6:$D$305,"Tela principal")&gt;0,"",0)),IF(ISNUMBER(P19),P19,IF(ISNUMBER(O19),O19*(1+Parametros!$B$22),IF(OR(COUNTIFS(Despiece!$A$6:$A$705,$A19,Despiece!$D$6:$D$705,"Tela principal")&gt;0,COUNTIFS(Mediciones!$C$6:$C$305,$A19,Mediciones!$D$6:$D$305,"Tela principal")&gt;0),"",0)))))))</f>
        <v>0.609137055837563</v>
      </c>
      <c r="R19" s="9" t="str">
        <f aca="false">IF($A19="","",IF(COUNTIFS(Despiece!$A$6:$A$705,$A19,Despiece!$D$6:$D$705,"Tela 2",Despiece!$F$6:$F$705,"&gt;0")=0,"",SUMIFS(Despiece!$F$6:$F$705,Despiece!$A$6:$A$705,$A19,Despiece!$D$6:$D$705,"Tela 2")))</f>
        <v/>
      </c>
      <c r="S19" s="9" t="str">
        <f aca="false">IF($A19="","",IFERROR(AVERAGEIFS(Mediciones!$K$6:$K$305,Mediciones!$C$6:$C$305,$A19,Mediciones!$D$6:$D$305,"Tela 2"),""))</f>
        <v/>
      </c>
      <c r="T19" s="28" t="str">
        <f aca="false">IF($A19="","",IF($N19="Despiece",IF(ISNUMBER(R19),R19*(1+Parametros!$B$22),IF(COUNTIFS(Despiece!$A$6:$A$705,$A19,Despiece!$D$6:$D$705,"Tela 2")&gt;0,"",0)),IF($N19="Medición real",IF(ISNUMBER(S19),S19,IF(COUNTIFS(Mediciones!$C$6:$C$305,$A19,Mediciones!$D$6:$D$305,"Tela 2")&gt;0,"",0)),IF(ISNUMBER(S19),S19,IF(ISNUMBER(R19),R19*(1+Parametros!$B$22),IF(OR(COUNTIFS(Despiece!$A$6:$A$705,$A19,Despiece!$D$6:$D$705,"Tela 2")&gt;0,COUNTIFS(Mediciones!$C$6:$C$305,$A19,Mediciones!$D$6:$D$305,"Tela 2")&gt;0),"",0))))))</f>
        <v/>
      </c>
      <c r="U19" s="9" t="str">
        <f aca="false">IF($A19="","",IF(COUNTIFS(Despiece!$A$6:$A$705,$A19,Despiece!$D$6:$D$705,"Tela 3",Despiece!$F$6:$F$705,"&gt;0")=0,"",SUMIFS(Despiece!$F$6:$F$705,Despiece!$A$6:$A$705,$A19,Despiece!$D$6:$D$705,"Tela 3")))</f>
        <v/>
      </c>
      <c r="V19" s="9" t="str">
        <f aca="false">IF($A19="","",IFERROR(AVERAGEIFS(Mediciones!$K$6:$K$305,Mediciones!$C$6:$C$305,$A19,Mediciones!$D$6:$D$305,"Tela 3"),""))</f>
        <v/>
      </c>
      <c r="W19" s="28" t="n">
        <f aca="false">IF($A19="","",IF($N19="Despiece",IF(ISNUMBER(U19),U19*(1+Parametros!$B$22),IF(COUNTIFS(Despiece!$A$6:$A$705,$A19,Despiece!$D$6:$D$705,"Tela 3")&gt;0,"",0)),IF($N19="Medición real",IF(ISNUMBER(V19),V19,IF(COUNTIFS(Mediciones!$C$6:$C$305,$A19,Mediciones!$D$6:$D$305,"Tela 3")&gt;0,"",0)),IF(ISNUMBER(V19),V19,IF(ISNUMBER(U19),U19*(1+Parametros!$B$22),IF(OR(COUNTIFS(Despiece!$A$6:$A$705,$A19,Despiece!$D$6:$D$705,"Tela 3")&gt;0,COUNTIFS(Mediciones!$C$6:$C$305,$A19,Mediciones!$D$6:$D$305,"Tela 3")&gt;0),"",0))))))</f>
        <v>0</v>
      </c>
      <c r="X19" s="27" t="n">
        <v>1.9</v>
      </c>
      <c r="Y19" s="9" t="n">
        <f aca="false">IF($A19="","",IF(ISNUMBER(X19),X19,IF(COUNTIFS(Despiece!$A$6:$A$705,$A19,Despiece!$E$6:$E$705,"Sublimada",Despiece!$F$6:$F$705,"&gt;0")&gt;0,SUMIFS(Despiece!$F$6:$F$705,Despiece!$A$6:$A$705,$A19,Despiece!$E$6:$E$705,"Sublimada")*(1+Parametros!$B$22),IF(COUNTIFS(Despiece!$A$6:$A$705,$A19,Despiece!$E$6:$E$705,"Sublimada")=0,0,""))))</f>
        <v>1.9</v>
      </c>
      <c r="Z19" s="10" t="str">
        <f aca="false">IF($A19="","",IFERROR(IF(ISNUMBER(Q19),IF(Q19=0,0,Q19*INDEX(Telas!$I$6:$I$105,MATCH(K19,Telas!$A$6:$A$105,0))),NA())+IF(ISNUMBER(T19),IF(T19=0,0,T19*INDEX(Telas!$I$6:$I$105,MATCH(L19,Telas!$A$6:$A$105,0))),NA())+IF(ISNUMBER(W19),IF(W19=0,0,W19*INDEX(Telas!$I$6:$I$105,MATCH(IF(M19="",K19,M19),Telas!$A$6:$A$105,0))),NA()),""))</f>
        <v/>
      </c>
      <c r="AA19" s="10" t="n">
        <f aca="false">IF($A19="","",IF(ISNUMBER(Y19),Y19*Parametros!$B$19,""))</f>
        <v>0</v>
      </c>
      <c r="AB19" s="10" t="n">
        <f aca="false">IF(OR($A19="",F19=""),"",IFERROR(INDEX(Confeccion!$B$6:$B$125,MATCH(F19,Confeccion!$A$6:$A$125,0)),""))</f>
        <v>2000</v>
      </c>
      <c r="AC19" s="10" t="n">
        <f aca="false">IF($A19="","",IFERROR(N(H19)*IF(G19="",0,INDEX(Avios!$C$6:$C$65,MATCH(G19,Avios!$A$6:$A$65,0)))+N(J19)*IF(I19="",0,INDEX(Avios!$C$6:$C$65,MATCH(I19,Avios!$A$6:$A$65,0))),""))</f>
        <v>0</v>
      </c>
      <c r="AD19" s="11" t="str">
        <f aca="false">IF($A19="","",IFERROR(Z19+AA19+AB19+AC19,""))</f>
        <v/>
      </c>
      <c r="AE19" s="10" t="str">
        <f aca="false">IF(ISNUMBER(AD19),AD19*Parametros!$B$12,"")</f>
        <v/>
      </c>
      <c r="AF19" s="29" t="n">
        <f aca="false">IF(AND(ISNUMBER(Q19),K19&lt;&gt;""),IFERROR(1/(Q19*INDEX(Telas!$G$6:$G$105,MATCH(K19,Telas!$A$6:$A$105,0))),""),"")</f>
        <v>8.33333333333333</v>
      </c>
      <c r="AG19" s="0" t="str">
        <f aca="false">IF($A19="","",IF(ISNUMBER(AD19),IF(AND(N(Y19)&gt;0,N(Parametros!$B$19)=0),"Lista, pero sin costo de impresión (Parametros)","Lista"),IF(Q19="","Consumo tela principal (Despiece o Mediciones). ","")&amp;IF(COUNTIFS(Mediciones!$C$6:$C$305,$A19,Mediciones!$K$6:$K$305,"")&gt;0,"Pesar 1 m de la tela medida (Telas, kg por metro). ","")&amp;IF(T19="","Consumo Tela 2. ","")&amp;IF(W19="","Consumo Tela 3. ","")&amp;IF(K19="","Elegir tela principal. ",IF(ISERROR(INDEX(Telas!$I$6:$I$105,MATCH(K19,Telas!$A$6:$A$105,0))*1),"Precio o peso por metro de "&amp;K19&amp;". ",""))&amp;IF(AND(N(T19)&gt;0,L19=""),"Elegir Tela 2. ",IF(AND(N(T19)&gt;0,ISERROR(INDEX(Telas!$I$6:$I$105,MATCH(L19,Telas!$A$6:$A$105,0))*1)),"Precio o peso por metro de "&amp;L19&amp;". ",""))&amp;IF(Y19="","Metros impresos. ","")&amp;IF(F19="","Tipo de confección. ",IF(AB19="","Precio de confección. ",""))))</f>
        <v>Pesar 1 m de la tela medida (Telas, kg por metro). Consumo Tela 2. </v>
      </c>
      <c r="AH19" s="27" t="s">
        <v>122</v>
      </c>
    </row>
    <row r="20" customFormat="false" ht="15" hidden="false" customHeight="false" outlineLevel="0" collapsed="false">
      <c r="A20" s="27" t="s">
        <v>123</v>
      </c>
      <c r="B20" s="27" t="s">
        <v>124</v>
      </c>
      <c r="C20" s="27" t="s">
        <v>91</v>
      </c>
      <c r="D20" s="27" t="s">
        <v>92</v>
      </c>
      <c r="E20" s="27" t="s">
        <v>93</v>
      </c>
      <c r="F20" s="27" t="s">
        <v>94</v>
      </c>
      <c r="G20" s="8"/>
      <c r="H20" s="27"/>
      <c r="I20" s="8"/>
      <c r="J20" s="27"/>
      <c r="K20" s="8"/>
      <c r="L20" s="8"/>
      <c r="M20" s="8"/>
      <c r="N20" s="8"/>
      <c r="O20" s="9" t="str">
        <f aca="false">IF($A20="","",IF(COUNTIFS(Despiece!$A$6:$A$705,$A20,Despiece!$D$6:$D$705,"Tela principal",Despiece!$F$6:$F$705,"&gt;0")=0,"",SUMIFS(Despiece!$F$6:$F$705,Despiece!$A$6:$A$705,$A20,Despiece!$D$6:$D$705,"Tela principal")))</f>
        <v/>
      </c>
      <c r="P20" s="9" t="str">
        <f aca="false">IF($A20="","",IFERROR(AVERAGEIFS(Mediciones!$K$6:$K$305,Mediciones!$C$6:$C$305,$A20,Mediciones!$D$6:$D$305,"Tela principal"),""))</f>
        <v/>
      </c>
      <c r="Q20" s="28" t="str">
        <f aca="false">IF($A20="","",IF(N(IF($N20="Despiece",IF(ISNUMBER(O20),O20*(1+Parametros!$B$22),IF(COUNTIFS(Despiece!$A$6:$A$705,$A20,Despiece!$D$6:$D$705,"Tela principal")&gt;0,"",0)),IF($N20="Medición real",IF(ISNUMBER(P20),P20,IF(COUNTIFS(Mediciones!$C$6:$C$305,$A20,Mediciones!$D$6:$D$305,"Tela principal")&gt;0,"",0)),IF(ISNUMBER(P20),P20,IF(ISNUMBER(O20),O20*(1+Parametros!$B$22),IF(OR(COUNTIFS(Despiece!$A$6:$A$705,$A20,Despiece!$D$6:$D$705,"Tela principal")&gt;0,COUNTIFS(Mediciones!$C$6:$C$305,$A20,Mediciones!$D$6:$D$305,"Tela principal")&gt;0),"",0))))))=0,"",IF($N20="Despiece",IF(ISNUMBER(O20),O20*(1+Parametros!$B$22),IF(COUNTIFS(Despiece!$A$6:$A$705,$A20,Despiece!$D$6:$D$705,"Tela principal")&gt;0,"",0)),IF($N20="Medición real",IF(ISNUMBER(P20),P20,IF(COUNTIFS(Mediciones!$C$6:$C$305,$A20,Mediciones!$D$6:$D$305,"Tela principal")&gt;0,"",0)),IF(ISNUMBER(P20),P20,IF(ISNUMBER(O20),O20*(1+Parametros!$B$22),IF(OR(COUNTIFS(Despiece!$A$6:$A$705,$A20,Despiece!$D$6:$D$705,"Tela principal")&gt;0,COUNTIFS(Mediciones!$C$6:$C$305,$A20,Mediciones!$D$6:$D$305,"Tela principal")&gt;0),"",0)))))))</f>
        <v/>
      </c>
      <c r="R20" s="9" t="str">
        <f aca="false">IF($A20="","",IF(COUNTIFS(Despiece!$A$6:$A$705,$A20,Despiece!$D$6:$D$705,"Tela 2",Despiece!$F$6:$F$705,"&gt;0")=0,"",SUMIFS(Despiece!$F$6:$F$705,Despiece!$A$6:$A$705,$A20,Despiece!$D$6:$D$705,"Tela 2")))</f>
        <v/>
      </c>
      <c r="S20" s="9" t="str">
        <f aca="false">IF($A20="","",IFERROR(AVERAGEIFS(Mediciones!$K$6:$K$305,Mediciones!$C$6:$C$305,$A20,Mediciones!$D$6:$D$305,"Tela 2"),""))</f>
        <v/>
      </c>
      <c r="T20" s="28" t="str">
        <f aca="false">IF($A20="","",IF($N20="Despiece",IF(ISNUMBER(R20),R20*(1+Parametros!$B$22),IF(COUNTIFS(Despiece!$A$6:$A$705,$A20,Despiece!$D$6:$D$705,"Tela 2")&gt;0,"",0)),IF($N20="Medición real",IF(ISNUMBER(S20),S20,IF(COUNTIFS(Mediciones!$C$6:$C$305,$A20,Mediciones!$D$6:$D$305,"Tela 2")&gt;0,"",0)),IF(ISNUMBER(S20),S20,IF(ISNUMBER(R20),R20*(1+Parametros!$B$22),IF(OR(COUNTIFS(Despiece!$A$6:$A$705,$A20,Despiece!$D$6:$D$705,"Tela 2")&gt;0,COUNTIFS(Mediciones!$C$6:$C$305,$A20,Mediciones!$D$6:$D$305,"Tela 2")&gt;0),"",0))))))</f>
        <v/>
      </c>
      <c r="U20" s="9" t="str">
        <f aca="false">IF($A20="","",IF(COUNTIFS(Despiece!$A$6:$A$705,$A20,Despiece!$D$6:$D$705,"Tela 3",Despiece!$F$6:$F$705,"&gt;0")=0,"",SUMIFS(Despiece!$F$6:$F$705,Despiece!$A$6:$A$705,$A20,Despiece!$D$6:$D$705,"Tela 3")))</f>
        <v/>
      </c>
      <c r="V20" s="9" t="str">
        <f aca="false">IF($A20="","",IFERROR(AVERAGEIFS(Mediciones!$K$6:$K$305,Mediciones!$C$6:$C$305,$A20,Mediciones!$D$6:$D$305,"Tela 3"),""))</f>
        <v/>
      </c>
      <c r="W20" s="28" t="n">
        <f aca="false">IF($A20="","",IF($N20="Despiece",IF(ISNUMBER(U20),U20*(1+Parametros!$B$22),IF(COUNTIFS(Despiece!$A$6:$A$705,$A20,Despiece!$D$6:$D$705,"Tela 3")&gt;0,"",0)),IF($N20="Medición real",IF(ISNUMBER(V20),V20,IF(COUNTIFS(Mediciones!$C$6:$C$305,$A20,Mediciones!$D$6:$D$305,"Tela 3")&gt;0,"",0)),IF(ISNUMBER(V20),V20,IF(ISNUMBER(U20),U20*(1+Parametros!$B$22),IF(OR(COUNTIFS(Despiece!$A$6:$A$705,$A20,Despiece!$D$6:$D$705,"Tela 3")&gt;0,COUNTIFS(Mediciones!$C$6:$C$305,$A20,Mediciones!$D$6:$D$305,"Tela 3")&gt;0),"",0))))))</f>
        <v>0</v>
      </c>
      <c r="X20" s="27"/>
      <c r="Y20" s="9" t="str">
        <f aca="false">IF($A20="","",IF(ISNUMBER(X20),X20,IF(COUNTIFS(Despiece!$A$6:$A$705,$A20,Despiece!$E$6:$E$705,"Sublimada",Despiece!$F$6:$F$705,"&gt;0")&gt;0,SUMIFS(Despiece!$F$6:$F$705,Despiece!$A$6:$A$705,$A20,Despiece!$E$6:$E$705,"Sublimada")*(1+Parametros!$B$22),IF(COUNTIFS(Despiece!$A$6:$A$705,$A20,Despiece!$E$6:$E$705,"Sublimada")=0,0,""))))</f>
        <v/>
      </c>
      <c r="Z20" s="10" t="str">
        <f aca="false">IF($A20="","",IFERROR(IF(ISNUMBER(Q20),IF(Q20=0,0,Q20*INDEX(Telas!$I$6:$I$105,MATCH(K20,Telas!$A$6:$A$105,0))),NA())+IF(ISNUMBER(T20),IF(T20=0,0,T20*INDEX(Telas!$I$6:$I$105,MATCH(L20,Telas!$A$6:$A$105,0))),NA())+IF(ISNUMBER(W20),IF(W20=0,0,W20*INDEX(Telas!$I$6:$I$105,MATCH(IF(M20="",K20,M20),Telas!$A$6:$A$105,0))),NA()),""))</f>
        <v/>
      </c>
      <c r="AA20" s="10" t="str">
        <f aca="false">IF($A20="","",IF(ISNUMBER(Y20),Y20*Parametros!$B$19,""))</f>
        <v/>
      </c>
      <c r="AB20" s="10" t="n">
        <f aca="false">IF(OR($A20="",F20=""),"",IFERROR(INDEX(Confeccion!$B$6:$B$125,MATCH(F20,Confeccion!$A$6:$A$125,0)),""))</f>
        <v>2000</v>
      </c>
      <c r="AC20" s="10" t="n">
        <f aca="false">IF($A20="","",IFERROR(N(H20)*IF(G20="",0,INDEX(Avios!$C$6:$C$65,MATCH(G20,Avios!$A$6:$A$65,0)))+N(J20)*IF(I20="",0,INDEX(Avios!$C$6:$C$65,MATCH(I20,Avios!$A$6:$A$65,0))),""))</f>
        <v>0</v>
      </c>
      <c r="AD20" s="11" t="str">
        <f aca="false">IF($A20="","",IFERROR(Z20+AA20+AB20+AC20,""))</f>
        <v/>
      </c>
      <c r="AE20" s="10" t="str">
        <f aca="false">IF(ISNUMBER(AD20),AD20*Parametros!$B$12,"")</f>
        <v/>
      </c>
      <c r="AF20" s="29" t="str">
        <f aca="false">IF(AND(ISNUMBER(Q20),K20&lt;&gt;""),IFERROR(1/(Q20*INDEX(Telas!$G$6:$G$105,MATCH(K20,Telas!$A$6:$A$105,0))),""),"")</f>
        <v/>
      </c>
      <c r="AG20" s="0" t="str">
        <f aca="false">IF($A20="","",IF(ISNUMBER(AD20),IF(AND(N(Y20)&gt;0,N(Parametros!$B$19)=0),"Lista, pero sin costo de impresión (Parametros)","Lista"),IF(Q20="","Consumo tela principal (Despiece o Mediciones). ","")&amp;IF(COUNTIFS(Mediciones!$C$6:$C$305,$A20,Mediciones!$K$6:$K$305,"")&gt;0,"Pesar 1 m de la tela medida (Telas, kg por metro). ","")&amp;IF(T20="","Consumo Tela 2. ","")&amp;IF(W20="","Consumo Tela 3. ","")&amp;IF(K20="","Elegir tela principal. ",IF(ISERROR(INDEX(Telas!$I$6:$I$105,MATCH(K20,Telas!$A$6:$A$105,0))*1),"Precio o peso por metro de "&amp;K20&amp;". ",""))&amp;IF(AND(N(T20)&gt;0,L20=""),"Elegir Tela 2. ",IF(AND(N(T20)&gt;0,ISERROR(INDEX(Telas!$I$6:$I$105,MATCH(L20,Telas!$A$6:$A$105,0))*1)),"Precio o peso por metro de "&amp;L20&amp;". ",""))&amp;IF(Y20="","Metros impresos. ","")&amp;IF(F20="","Tipo de confección. ",IF(AB20="","Precio de confección. ",""))))</f>
        <v>Consumo tela principal (Despiece o Mediciones). Consumo Tela 2. Elegir tela principal. Metros impresos. </v>
      </c>
      <c r="AH20" s="27" t="s">
        <v>95</v>
      </c>
    </row>
    <row r="21" customFormat="false" ht="15" hidden="false" customHeight="false" outlineLevel="0" collapsed="false">
      <c r="A21" s="27" t="s">
        <v>125</v>
      </c>
      <c r="B21" s="27" t="s">
        <v>124</v>
      </c>
      <c r="C21" s="27" t="s">
        <v>91</v>
      </c>
      <c r="D21" s="27" t="s">
        <v>92</v>
      </c>
      <c r="E21" s="27" t="s">
        <v>97</v>
      </c>
      <c r="F21" s="27" t="s">
        <v>94</v>
      </c>
      <c r="G21" s="8"/>
      <c r="H21" s="27"/>
      <c r="I21" s="8"/>
      <c r="J21" s="27"/>
      <c r="K21" s="8"/>
      <c r="L21" s="8"/>
      <c r="M21" s="8"/>
      <c r="N21" s="8"/>
      <c r="O21" s="9" t="str">
        <f aca="false">IF($A21="","",IF(COUNTIFS(Despiece!$A$6:$A$705,$A21,Despiece!$D$6:$D$705,"Tela principal",Despiece!$F$6:$F$705,"&gt;0")=0,"",SUMIFS(Despiece!$F$6:$F$705,Despiece!$A$6:$A$705,$A21,Despiece!$D$6:$D$705,"Tela principal")))</f>
        <v/>
      </c>
      <c r="P21" s="9" t="str">
        <f aca="false">IF($A21="","",IFERROR(AVERAGEIFS(Mediciones!$K$6:$K$305,Mediciones!$C$6:$C$305,$A21,Mediciones!$D$6:$D$305,"Tela principal"),""))</f>
        <v/>
      </c>
      <c r="Q21" s="28" t="str">
        <f aca="false">IF($A21="","",IF(N(IF($N21="Despiece",IF(ISNUMBER(O21),O21*(1+Parametros!$B$22),IF(COUNTIFS(Despiece!$A$6:$A$705,$A21,Despiece!$D$6:$D$705,"Tela principal")&gt;0,"",0)),IF($N21="Medición real",IF(ISNUMBER(P21),P21,IF(COUNTIFS(Mediciones!$C$6:$C$305,$A21,Mediciones!$D$6:$D$305,"Tela principal")&gt;0,"",0)),IF(ISNUMBER(P21),P21,IF(ISNUMBER(O21),O21*(1+Parametros!$B$22),IF(OR(COUNTIFS(Despiece!$A$6:$A$705,$A21,Despiece!$D$6:$D$705,"Tela principal")&gt;0,COUNTIFS(Mediciones!$C$6:$C$305,$A21,Mediciones!$D$6:$D$305,"Tela principal")&gt;0),"",0))))))=0,"",IF($N21="Despiece",IF(ISNUMBER(O21),O21*(1+Parametros!$B$22),IF(COUNTIFS(Despiece!$A$6:$A$705,$A21,Despiece!$D$6:$D$705,"Tela principal")&gt;0,"",0)),IF($N21="Medición real",IF(ISNUMBER(P21),P21,IF(COUNTIFS(Mediciones!$C$6:$C$305,$A21,Mediciones!$D$6:$D$305,"Tela principal")&gt;0,"",0)),IF(ISNUMBER(P21),P21,IF(ISNUMBER(O21),O21*(1+Parametros!$B$22),IF(OR(COUNTIFS(Despiece!$A$6:$A$705,$A21,Despiece!$D$6:$D$705,"Tela principal")&gt;0,COUNTIFS(Mediciones!$C$6:$C$305,$A21,Mediciones!$D$6:$D$305,"Tela principal")&gt;0),"",0)))))))</f>
        <v/>
      </c>
      <c r="R21" s="9" t="str">
        <f aca="false">IF($A21="","",IF(COUNTIFS(Despiece!$A$6:$A$705,$A21,Despiece!$D$6:$D$705,"Tela 2",Despiece!$F$6:$F$705,"&gt;0")=0,"",SUMIFS(Despiece!$F$6:$F$705,Despiece!$A$6:$A$705,$A21,Despiece!$D$6:$D$705,"Tela 2")))</f>
        <v/>
      </c>
      <c r="S21" s="9" t="str">
        <f aca="false">IF($A21="","",IFERROR(AVERAGEIFS(Mediciones!$K$6:$K$305,Mediciones!$C$6:$C$305,$A21,Mediciones!$D$6:$D$305,"Tela 2"),""))</f>
        <v/>
      </c>
      <c r="T21" s="28" t="str">
        <f aca="false">IF($A21="","",IF($N21="Despiece",IF(ISNUMBER(R21),R21*(1+Parametros!$B$22),IF(COUNTIFS(Despiece!$A$6:$A$705,$A21,Despiece!$D$6:$D$705,"Tela 2")&gt;0,"",0)),IF($N21="Medición real",IF(ISNUMBER(S21),S21,IF(COUNTIFS(Mediciones!$C$6:$C$305,$A21,Mediciones!$D$6:$D$305,"Tela 2")&gt;0,"",0)),IF(ISNUMBER(S21),S21,IF(ISNUMBER(R21),R21*(1+Parametros!$B$22),IF(OR(COUNTIFS(Despiece!$A$6:$A$705,$A21,Despiece!$D$6:$D$705,"Tela 2")&gt;0,COUNTIFS(Mediciones!$C$6:$C$305,$A21,Mediciones!$D$6:$D$305,"Tela 2")&gt;0),"",0))))))</f>
        <v/>
      </c>
      <c r="U21" s="9" t="str">
        <f aca="false">IF($A21="","",IF(COUNTIFS(Despiece!$A$6:$A$705,$A21,Despiece!$D$6:$D$705,"Tela 3",Despiece!$F$6:$F$705,"&gt;0")=0,"",SUMIFS(Despiece!$F$6:$F$705,Despiece!$A$6:$A$705,$A21,Despiece!$D$6:$D$705,"Tela 3")))</f>
        <v/>
      </c>
      <c r="V21" s="9" t="str">
        <f aca="false">IF($A21="","",IFERROR(AVERAGEIFS(Mediciones!$K$6:$K$305,Mediciones!$C$6:$C$305,$A21,Mediciones!$D$6:$D$305,"Tela 3"),""))</f>
        <v/>
      </c>
      <c r="W21" s="28" t="n">
        <f aca="false">IF($A21="","",IF($N21="Despiece",IF(ISNUMBER(U21),U21*(1+Parametros!$B$22),IF(COUNTIFS(Despiece!$A$6:$A$705,$A21,Despiece!$D$6:$D$705,"Tela 3")&gt;0,"",0)),IF($N21="Medición real",IF(ISNUMBER(V21),V21,IF(COUNTIFS(Mediciones!$C$6:$C$305,$A21,Mediciones!$D$6:$D$305,"Tela 3")&gt;0,"",0)),IF(ISNUMBER(V21),V21,IF(ISNUMBER(U21),U21*(1+Parametros!$B$22),IF(OR(COUNTIFS(Despiece!$A$6:$A$705,$A21,Despiece!$D$6:$D$705,"Tela 3")&gt;0,COUNTIFS(Mediciones!$C$6:$C$305,$A21,Mediciones!$D$6:$D$305,"Tela 3")&gt;0),"",0))))))</f>
        <v>0</v>
      </c>
      <c r="X21" s="27"/>
      <c r="Y21" s="9" t="str">
        <f aca="false">IF($A21="","",IF(ISNUMBER(X21),X21,IF(COUNTIFS(Despiece!$A$6:$A$705,$A21,Despiece!$E$6:$E$705,"Sublimada",Despiece!$F$6:$F$705,"&gt;0")&gt;0,SUMIFS(Despiece!$F$6:$F$705,Despiece!$A$6:$A$705,$A21,Despiece!$E$6:$E$705,"Sublimada")*(1+Parametros!$B$22),IF(COUNTIFS(Despiece!$A$6:$A$705,$A21,Despiece!$E$6:$E$705,"Sublimada")=0,0,""))))</f>
        <v/>
      </c>
      <c r="Z21" s="10" t="str">
        <f aca="false">IF($A21="","",IFERROR(IF(ISNUMBER(Q21),IF(Q21=0,0,Q21*INDEX(Telas!$I$6:$I$105,MATCH(K21,Telas!$A$6:$A$105,0))),NA())+IF(ISNUMBER(T21),IF(T21=0,0,T21*INDEX(Telas!$I$6:$I$105,MATCH(L21,Telas!$A$6:$A$105,0))),NA())+IF(ISNUMBER(W21),IF(W21=0,0,W21*INDEX(Telas!$I$6:$I$105,MATCH(IF(M21="",K21,M21),Telas!$A$6:$A$105,0))),NA()),""))</f>
        <v/>
      </c>
      <c r="AA21" s="10" t="str">
        <f aca="false">IF($A21="","",IF(ISNUMBER(Y21),Y21*Parametros!$B$19,""))</f>
        <v/>
      </c>
      <c r="AB21" s="10" t="n">
        <f aca="false">IF(OR($A21="",F21=""),"",IFERROR(INDEX(Confeccion!$B$6:$B$125,MATCH(F21,Confeccion!$A$6:$A$125,0)),""))</f>
        <v>2000</v>
      </c>
      <c r="AC21" s="10" t="n">
        <f aca="false">IF($A21="","",IFERROR(N(H21)*IF(G21="",0,INDEX(Avios!$C$6:$C$65,MATCH(G21,Avios!$A$6:$A$65,0)))+N(J21)*IF(I21="",0,INDEX(Avios!$C$6:$C$65,MATCH(I21,Avios!$A$6:$A$65,0))),""))</f>
        <v>0</v>
      </c>
      <c r="AD21" s="11" t="str">
        <f aca="false">IF($A21="","",IFERROR(Z21+AA21+AB21+AC21,""))</f>
        <v/>
      </c>
      <c r="AE21" s="10" t="str">
        <f aca="false">IF(ISNUMBER(AD21),AD21*Parametros!$B$12,"")</f>
        <v/>
      </c>
      <c r="AF21" s="29" t="str">
        <f aca="false">IF(AND(ISNUMBER(Q21),K21&lt;&gt;""),IFERROR(1/(Q21*INDEX(Telas!$G$6:$G$105,MATCH(K21,Telas!$A$6:$A$105,0))),""),"")</f>
        <v/>
      </c>
      <c r="AG21" s="0" t="str">
        <f aca="false">IF($A21="","",IF(ISNUMBER(AD21),IF(AND(N(Y21)&gt;0,N(Parametros!$B$19)=0),"Lista, pero sin costo de impresión (Parametros)","Lista"),IF(Q21="","Consumo tela principal (Despiece o Mediciones). ","")&amp;IF(COUNTIFS(Mediciones!$C$6:$C$305,$A21,Mediciones!$K$6:$K$305,"")&gt;0,"Pesar 1 m de la tela medida (Telas, kg por metro). ","")&amp;IF(T21="","Consumo Tela 2. ","")&amp;IF(W21="","Consumo Tela 3. ","")&amp;IF(K21="","Elegir tela principal. ",IF(ISERROR(INDEX(Telas!$I$6:$I$105,MATCH(K21,Telas!$A$6:$A$105,0))*1),"Precio o peso por metro de "&amp;K21&amp;". ",""))&amp;IF(AND(N(T21)&gt;0,L21=""),"Elegir Tela 2. ",IF(AND(N(T21)&gt;0,ISERROR(INDEX(Telas!$I$6:$I$105,MATCH(L21,Telas!$A$6:$A$105,0))*1)),"Precio o peso por metro de "&amp;L21&amp;". ",""))&amp;IF(Y21="","Metros impresos. ","")&amp;IF(F21="","Tipo de confección. ",IF(AB21="","Precio de confección. ",""))))</f>
        <v>Consumo tela principal (Despiece o Mediciones). Consumo Tela 2. Elegir tela principal. Metros impresos. </v>
      </c>
      <c r="AH21" s="27" t="s">
        <v>95</v>
      </c>
    </row>
    <row r="22" customFormat="false" ht="15" hidden="false" customHeight="false" outlineLevel="0" collapsed="false">
      <c r="A22" s="27" t="s">
        <v>126</v>
      </c>
      <c r="B22" s="27" t="s">
        <v>127</v>
      </c>
      <c r="C22" s="27" t="s">
        <v>91</v>
      </c>
      <c r="D22" s="27" t="s">
        <v>92</v>
      </c>
      <c r="E22" s="27" t="s">
        <v>93</v>
      </c>
      <c r="F22" s="27" t="s">
        <v>128</v>
      </c>
      <c r="G22" s="8"/>
      <c r="H22" s="27"/>
      <c r="I22" s="8"/>
      <c r="J22" s="27"/>
      <c r="K22" s="8"/>
      <c r="L22" s="8"/>
      <c r="M22" s="8"/>
      <c r="N22" s="8"/>
      <c r="O22" s="9" t="str">
        <f aca="false">IF($A22="","",IF(COUNTIFS(Despiece!$A$6:$A$705,$A22,Despiece!$D$6:$D$705,"Tela principal",Despiece!$F$6:$F$705,"&gt;0")=0,"",SUMIFS(Despiece!$F$6:$F$705,Despiece!$A$6:$A$705,$A22,Despiece!$D$6:$D$705,"Tela principal")))</f>
        <v/>
      </c>
      <c r="P22" s="9" t="str">
        <f aca="false">IF($A22="","",IFERROR(AVERAGEIFS(Mediciones!$K$6:$K$305,Mediciones!$C$6:$C$305,$A22,Mediciones!$D$6:$D$305,"Tela principal"),""))</f>
        <v/>
      </c>
      <c r="Q22" s="28" t="str">
        <f aca="false">IF($A22="","",IF(N(IF($N22="Despiece",IF(ISNUMBER(O22),O22*(1+Parametros!$B$22),IF(COUNTIFS(Despiece!$A$6:$A$705,$A22,Despiece!$D$6:$D$705,"Tela principal")&gt;0,"",0)),IF($N22="Medición real",IF(ISNUMBER(P22),P22,IF(COUNTIFS(Mediciones!$C$6:$C$305,$A22,Mediciones!$D$6:$D$305,"Tela principal")&gt;0,"",0)),IF(ISNUMBER(P22),P22,IF(ISNUMBER(O22),O22*(1+Parametros!$B$22),IF(OR(COUNTIFS(Despiece!$A$6:$A$705,$A22,Despiece!$D$6:$D$705,"Tela principal")&gt;0,COUNTIFS(Mediciones!$C$6:$C$305,$A22,Mediciones!$D$6:$D$305,"Tela principal")&gt;0),"",0))))))=0,"",IF($N22="Despiece",IF(ISNUMBER(O22),O22*(1+Parametros!$B$22),IF(COUNTIFS(Despiece!$A$6:$A$705,$A22,Despiece!$D$6:$D$705,"Tela principal")&gt;0,"",0)),IF($N22="Medición real",IF(ISNUMBER(P22),P22,IF(COUNTIFS(Mediciones!$C$6:$C$305,$A22,Mediciones!$D$6:$D$305,"Tela principal")&gt;0,"",0)),IF(ISNUMBER(P22),P22,IF(ISNUMBER(O22),O22*(1+Parametros!$B$22),IF(OR(COUNTIFS(Despiece!$A$6:$A$705,$A22,Despiece!$D$6:$D$705,"Tela principal")&gt;0,COUNTIFS(Mediciones!$C$6:$C$305,$A22,Mediciones!$D$6:$D$305,"Tela principal")&gt;0),"",0)))))))</f>
        <v/>
      </c>
      <c r="R22" s="9" t="str">
        <f aca="false">IF($A22="","",IF(COUNTIFS(Despiece!$A$6:$A$705,$A22,Despiece!$D$6:$D$705,"Tela 2",Despiece!$F$6:$F$705,"&gt;0")=0,"",SUMIFS(Despiece!$F$6:$F$705,Despiece!$A$6:$A$705,$A22,Despiece!$D$6:$D$705,"Tela 2")))</f>
        <v/>
      </c>
      <c r="S22" s="9" t="str">
        <f aca="false">IF($A22="","",IFERROR(AVERAGEIFS(Mediciones!$K$6:$K$305,Mediciones!$C$6:$C$305,$A22,Mediciones!$D$6:$D$305,"Tela 2"),""))</f>
        <v/>
      </c>
      <c r="T22" s="28" t="n">
        <f aca="false">IF($A22="","",IF($N22="Despiece",IF(ISNUMBER(R22),R22*(1+Parametros!$B$22),IF(COUNTIFS(Despiece!$A$6:$A$705,$A22,Despiece!$D$6:$D$705,"Tela 2")&gt;0,"",0)),IF($N22="Medición real",IF(ISNUMBER(S22),S22,IF(COUNTIFS(Mediciones!$C$6:$C$305,$A22,Mediciones!$D$6:$D$305,"Tela 2")&gt;0,"",0)),IF(ISNUMBER(S22),S22,IF(ISNUMBER(R22),R22*(1+Parametros!$B$22),IF(OR(COUNTIFS(Despiece!$A$6:$A$705,$A22,Despiece!$D$6:$D$705,"Tela 2")&gt;0,COUNTIFS(Mediciones!$C$6:$C$305,$A22,Mediciones!$D$6:$D$305,"Tela 2")&gt;0),"",0))))))</f>
        <v>0</v>
      </c>
      <c r="U22" s="9" t="str">
        <f aca="false">IF($A22="","",IF(COUNTIFS(Despiece!$A$6:$A$705,$A22,Despiece!$D$6:$D$705,"Tela 3",Despiece!$F$6:$F$705,"&gt;0")=0,"",SUMIFS(Despiece!$F$6:$F$705,Despiece!$A$6:$A$705,$A22,Despiece!$D$6:$D$705,"Tela 3")))</f>
        <v/>
      </c>
      <c r="V22" s="9" t="str">
        <f aca="false">IF($A22="","",IFERROR(AVERAGEIFS(Mediciones!$K$6:$K$305,Mediciones!$C$6:$C$305,$A22,Mediciones!$D$6:$D$305,"Tela 3"),""))</f>
        <v/>
      </c>
      <c r="W22" s="28" t="n">
        <f aca="false">IF($A22="","",IF($N22="Despiece",IF(ISNUMBER(U22),U22*(1+Parametros!$B$22),IF(COUNTIFS(Despiece!$A$6:$A$705,$A22,Despiece!$D$6:$D$705,"Tela 3")&gt;0,"",0)),IF($N22="Medición real",IF(ISNUMBER(V22),V22,IF(COUNTIFS(Mediciones!$C$6:$C$305,$A22,Mediciones!$D$6:$D$305,"Tela 3")&gt;0,"",0)),IF(ISNUMBER(V22),V22,IF(ISNUMBER(U22),U22*(1+Parametros!$B$22),IF(OR(COUNTIFS(Despiece!$A$6:$A$705,$A22,Despiece!$D$6:$D$705,"Tela 3")&gt;0,COUNTIFS(Mediciones!$C$6:$C$305,$A22,Mediciones!$D$6:$D$305,"Tela 3")&gt;0),"",0))))))</f>
        <v>0</v>
      </c>
      <c r="X22" s="27"/>
      <c r="Y22" s="9" t="str">
        <f aca="false">IF($A22="","",IF(ISNUMBER(X22),X22,IF(COUNTIFS(Despiece!$A$6:$A$705,$A22,Despiece!$E$6:$E$705,"Sublimada",Despiece!$F$6:$F$705,"&gt;0")&gt;0,SUMIFS(Despiece!$F$6:$F$705,Despiece!$A$6:$A$705,$A22,Despiece!$E$6:$E$705,"Sublimada")*(1+Parametros!$B$22),IF(COUNTIFS(Despiece!$A$6:$A$705,$A22,Despiece!$E$6:$E$705,"Sublimada")=0,0,""))))</f>
        <v/>
      </c>
      <c r="Z22" s="10" t="str">
        <f aca="false">IF($A22="","",IFERROR(IF(ISNUMBER(Q22),IF(Q22=0,0,Q22*INDEX(Telas!$I$6:$I$105,MATCH(K22,Telas!$A$6:$A$105,0))),NA())+IF(ISNUMBER(T22),IF(T22=0,0,T22*INDEX(Telas!$I$6:$I$105,MATCH(L22,Telas!$A$6:$A$105,0))),NA())+IF(ISNUMBER(W22),IF(W22=0,0,W22*INDEX(Telas!$I$6:$I$105,MATCH(IF(M22="",K22,M22),Telas!$A$6:$A$105,0))),NA()),""))</f>
        <v/>
      </c>
      <c r="AA22" s="10" t="str">
        <f aca="false">IF($A22="","",IF(ISNUMBER(Y22),Y22*Parametros!$B$19,""))</f>
        <v/>
      </c>
      <c r="AB22" s="10" t="n">
        <f aca="false">IF(OR($A22="",F22=""),"",IFERROR(INDEX(Confeccion!$B$6:$B$125,MATCH(F22,Confeccion!$A$6:$A$125,0)),""))</f>
        <v>2300</v>
      </c>
      <c r="AC22" s="10" t="n">
        <f aca="false">IF($A22="","",IFERROR(N(H22)*IF(G22="",0,INDEX(Avios!$C$6:$C$65,MATCH(G22,Avios!$A$6:$A$65,0)))+N(J22)*IF(I22="",0,INDEX(Avios!$C$6:$C$65,MATCH(I22,Avios!$A$6:$A$65,0))),""))</f>
        <v>0</v>
      </c>
      <c r="AD22" s="11" t="str">
        <f aca="false">IF($A22="","",IFERROR(Z22+AA22+AB22+AC22,""))</f>
        <v/>
      </c>
      <c r="AE22" s="10" t="str">
        <f aca="false">IF(ISNUMBER(AD22),AD22*Parametros!$B$12,"")</f>
        <v/>
      </c>
      <c r="AF22" s="29" t="str">
        <f aca="false">IF(AND(ISNUMBER(Q22),K22&lt;&gt;""),IFERROR(1/(Q22*INDEX(Telas!$G$6:$G$105,MATCH(K22,Telas!$A$6:$A$105,0))),""),"")</f>
        <v/>
      </c>
      <c r="AG22" s="0" t="str">
        <f aca="false">IF($A22="","",IF(ISNUMBER(AD22),IF(AND(N(Y22)&gt;0,N(Parametros!$B$19)=0),"Lista, pero sin costo de impresión (Parametros)","Lista"),IF(Q22="","Consumo tela principal (Despiece o Mediciones). ","")&amp;IF(COUNTIFS(Mediciones!$C$6:$C$305,$A22,Mediciones!$K$6:$K$305,"")&gt;0,"Pesar 1 m de la tela medida (Telas, kg por metro). ","")&amp;IF(T22="","Consumo Tela 2. ","")&amp;IF(W22="","Consumo Tela 3. ","")&amp;IF(K22="","Elegir tela principal. ",IF(ISERROR(INDEX(Telas!$I$6:$I$105,MATCH(K22,Telas!$A$6:$A$105,0))*1),"Precio o peso por metro de "&amp;K22&amp;". ",""))&amp;IF(AND(N(T22)&gt;0,L22=""),"Elegir Tela 2. ",IF(AND(N(T22)&gt;0,ISERROR(INDEX(Telas!$I$6:$I$105,MATCH(L22,Telas!$A$6:$A$105,0))*1)),"Precio o peso por metro de "&amp;L22&amp;". ",""))&amp;IF(Y22="","Metros impresos. ","")&amp;IF(F22="","Tipo de confección. ",IF(AB22="","Precio de confección. ",""))))</f>
        <v>Consumo tela principal (Despiece o Mediciones). Elegir tela principal. Metros impresos. </v>
      </c>
      <c r="AH22" s="27" t="s">
        <v>95</v>
      </c>
    </row>
    <row r="23" customFormat="false" ht="15" hidden="false" customHeight="false" outlineLevel="0" collapsed="false">
      <c r="A23" s="27" t="s">
        <v>129</v>
      </c>
      <c r="B23" s="27" t="s">
        <v>127</v>
      </c>
      <c r="C23" s="27" t="s">
        <v>91</v>
      </c>
      <c r="D23" s="27" t="s">
        <v>92</v>
      </c>
      <c r="E23" s="27" t="s">
        <v>97</v>
      </c>
      <c r="F23" s="27" t="s">
        <v>128</v>
      </c>
      <c r="G23" s="8"/>
      <c r="H23" s="27"/>
      <c r="I23" s="8"/>
      <c r="J23" s="27"/>
      <c r="K23" s="8"/>
      <c r="L23" s="8"/>
      <c r="M23" s="8"/>
      <c r="N23" s="8"/>
      <c r="O23" s="9" t="str">
        <f aca="false">IF($A23="","",IF(COUNTIFS(Despiece!$A$6:$A$705,$A23,Despiece!$D$6:$D$705,"Tela principal",Despiece!$F$6:$F$705,"&gt;0")=0,"",SUMIFS(Despiece!$F$6:$F$705,Despiece!$A$6:$A$705,$A23,Despiece!$D$6:$D$705,"Tela principal")))</f>
        <v/>
      </c>
      <c r="P23" s="9" t="str">
        <f aca="false">IF($A23="","",IFERROR(AVERAGEIFS(Mediciones!$K$6:$K$305,Mediciones!$C$6:$C$305,$A23,Mediciones!$D$6:$D$305,"Tela principal"),""))</f>
        <v/>
      </c>
      <c r="Q23" s="28" t="str">
        <f aca="false">IF($A23="","",IF(N(IF($N23="Despiece",IF(ISNUMBER(O23),O23*(1+Parametros!$B$22),IF(COUNTIFS(Despiece!$A$6:$A$705,$A23,Despiece!$D$6:$D$705,"Tela principal")&gt;0,"",0)),IF($N23="Medición real",IF(ISNUMBER(P23),P23,IF(COUNTIFS(Mediciones!$C$6:$C$305,$A23,Mediciones!$D$6:$D$305,"Tela principal")&gt;0,"",0)),IF(ISNUMBER(P23),P23,IF(ISNUMBER(O23),O23*(1+Parametros!$B$22),IF(OR(COUNTIFS(Despiece!$A$6:$A$705,$A23,Despiece!$D$6:$D$705,"Tela principal")&gt;0,COUNTIFS(Mediciones!$C$6:$C$305,$A23,Mediciones!$D$6:$D$305,"Tela principal")&gt;0),"",0))))))=0,"",IF($N23="Despiece",IF(ISNUMBER(O23),O23*(1+Parametros!$B$22),IF(COUNTIFS(Despiece!$A$6:$A$705,$A23,Despiece!$D$6:$D$705,"Tela principal")&gt;0,"",0)),IF($N23="Medición real",IF(ISNUMBER(P23),P23,IF(COUNTIFS(Mediciones!$C$6:$C$305,$A23,Mediciones!$D$6:$D$305,"Tela principal")&gt;0,"",0)),IF(ISNUMBER(P23),P23,IF(ISNUMBER(O23),O23*(1+Parametros!$B$22),IF(OR(COUNTIFS(Despiece!$A$6:$A$705,$A23,Despiece!$D$6:$D$705,"Tela principal")&gt;0,COUNTIFS(Mediciones!$C$6:$C$305,$A23,Mediciones!$D$6:$D$305,"Tela principal")&gt;0),"",0)))))))</f>
        <v/>
      </c>
      <c r="R23" s="9" t="str">
        <f aca="false">IF($A23="","",IF(COUNTIFS(Despiece!$A$6:$A$705,$A23,Despiece!$D$6:$D$705,"Tela 2",Despiece!$F$6:$F$705,"&gt;0")=0,"",SUMIFS(Despiece!$F$6:$F$705,Despiece!$A$6:$A$705,$A23,Despiece!$D$6:$D$705,"Tela 2")))</f>
        <v/>
      </c>
      <c r="S23" s="9" t="str">
        <f aca="false">IF($A23="","",IFERROR(AVERAGEIFS(Mediciones!$K$6:$K$305,Mediciones!$C$6:$C$305,$A23,Mediciones!$D$6:$D$305,"Tela 2"),""))</f>
        <v/>
      </c>
      <c r="T23" s="28" t="n">
        <f aca="false">IF($A23="","",IF($N23="Despiece",IF(ISNUMBER(R23),R23*(1+Parametros!$B$22),IF(COUNTIFS(Despiece!$A$6:$A$705,$A23,Despiece!$D$6:$D$705,"Tela 2")&gt;0,"",0)),IF($N23="Medición real",IF(ISNUMBER(S23),S23,IF(COUNTIFS(Mediciones!$C$6:$C$305,$A23,Mediciones!$D$6:$D$305,"Tela 2")&gt;0,"",0)),IF(ISNUMBER(S23),S23,IF(ISNUMBER(R23),R23*(1+Parametros!$B$22),IF(OR(COUNTIFS(Despiece!$A$6:$A$705,$A23,Despiece!$D$6:$D$705,"Tela 2")&gt;0,COUNTIFS(Mediciones!$C$6:$C$305,$A23,Mediciones!$D$6:$D$305,"Tela 2")&gt;0),"",0))))))</f>
        <v>0</v>
      </c>
      <c r="U23" s="9" t="str">
        <f aca="false">IF($A23="","",IF(COUNTIFS(Despiece!$A$6:$A$705,$A23,Despiece!$D$6:$D$705,"Tela 3",Despiece!$F$6:$F$705,"&gt;0")=0,"",SUMIFS(Despiece!$F$6:$F$705,Despiece!$A$6:$A$705,$A23,Despiece!$D$6:$D$705,"Tela 3")))</f>
        <v/>
      </c>
      <c r="V23" s="9" t="str">
        <f aca="false">IF($A23="","",IFERROR(AVERAGEIFS(Mediciones!$K$6:$K$305,Mediciones!$C$6:$C$305,$A23,Mediciones!$D$6:$D$305,"Tela 3"),""))</f>
        <v/>
      </c>
      <c r="W23" s="28" t="n">
        <f aca="false">IF($A23="","",IF($N23="Despiece",IF(ISNUMBER(U23),U23*(1+Parametros!$B$22),IF(COUNTIFS(Despiece!$A$6:$A$705,$A23,Despiece!$D$6:$D$705,"Tela 3")&gt;0,"",0)),IF($N23="Medición real",IF(ISNUMBER(V23),V23,IF(COUNTIFS(Mediciones!$C$6:$C$305,$A23,Mediciones!$D$6:$D$305,"Tela 3")&gt;0,"",0)),IF(ISNUMBER(V23),V23,IF(ISNUMBER(U23),U23*(1+Parametros!$B$22),IF(OR(COUNTIFS(Despiece!$A$6:$A$705,$A23,Despiece!$D$6:$D$705,"Tela 3")&gt;0,COUNTIFS(Mediciones!$C$6:$C$305,$A23,Mediciones!$D$6:$D$305,"Tela 3")&gt;0),"",0))))))</f>
        <v>0</v>
      </c>
      <c r="X23" s="27"/>
      <c r="Y23" s="9" t="str">
        <f aca="false">IF($A23="","",IF(ISNUMBER(X23),X23,IF(COUNTIFS(Despiece!$A$6:$A$705,$A23,Despiece!$E$6:$E$705,"Sublimada",Despiece!$F$6:$F$705,"&gt;0")&gt;0,SUMIFS(Despiece!$F$6:$F$705,Despiece!$A$6:$A$705,$A23,Despiece!$E$6:$E$705,"Sublimada")*(1+Parametros!$B$22),IF(COUNTIFS(Despiece!$A$6:$A$705,$A23,Despiece!$E$6:$E$705,"Sublimada")=0,0,""))))</f>
        <v/>
      </c>
      <c r="Z23" s="10" t="str">
        <f aca="false">IF($A23="","",IFERROR(IF(ISNUMBER(Q23),IF(Q23=0,0,Q23*INDEX(Telas!$I$6:$I$105,MATCH(K23,Telas!$A$6:$A$105,0))),NA())+IF(ISNUMBER(T23),IF(T23=0,0,T23*INDEX(Telas!$I$6:$I$105,MATCH(L23,Telas!$A$6:$A$105,0))),NA())+IF(ISNUMBER(W23),IF(W23=0,0,W23*INDEX(Telas!$I$6:$I$105,MATCH(IF(M23="",K23,M23),Telas!$A$6:$A$105,0))),NA()),""))</f>
        <v/>
      </c>
      <c r="AA23" s="10" t="str">
        <f aca="false">IF($A23="","",IF(ISNUMBER(Y23),Y23*Parametros!$B$19,""))</f>
        <v/>
      </c>
      <c r="AB23" s="10" t="n">
        <f aca="false">IF(OR($A23="",F23=""),"",IFERROR(INDEX(Confeccion!$B$6:$B$125,MATCH(F23,Confeccion!$A$6:$A$125,0)),""))</f>
        <v>2300</v>
      </c>
      <c r="AC23" s="10" t="n">
        <f aca="false">IF($A23="","",IFERROR(N(H23)*IF(G23="",0,INDEX(Avios!$C$6:$C$65,MATCH(G23,Avios!$A$6:$A$65,0)))+N(J23)*IF(I23="",0,INDEX(Avios!$C$6:$C$65,MATCH(I23,Avios!$A$6:$A$65,0))),""))</f>
        <v>0</v>
      </c>
      <c r="AD23" s="11" t="str">
        <f aca="false">IF($A23="","",IFERROR(Z23+AA23+AB23+AC23,""))</f>
        <v/>
      </c>
      <c r="AE23" s="10" t="str">
        <f aca="false">IF(ISNUMBER(AD23),AD23*Parametros!$B$12,"")</f>
        <v/>
      </c>
      <c r="AF23" s="29" t="str">
        <f aca="false">IF(AND(ISNUMBER(Q23),K23&lt;&gt;""),IFERROR(1/(Q23*INDEX(Telas!$G$6:$G$105,MATCH(K23,Telas!$A$6:$A$105,0))),""),"")</f>
        <v/>
      </c>
      <c r="AG23" s="0" t="str">
        <f aca="false">IF($A23="","",IF(ISNUMBER(AD23),IF(AND(N(Y23)&gt;0,N(Parametros!$B$19)=0),"Lista, pero sin costo de impresión (Parametros)","Lista"),IF(Q23="","Consumo tela principal (Despiece o Mediciones). ","")&amp;IF(COUNTIFS(Mediciones!$C$6:$C$305,$A23,Mediciones!$K$6:$K$305,"")&gt;0,"Pesar 1 m de la tela medida (Telas, kg por metro). ","")&amp;IF(T23="","Consumo Tela 2. ","")&amp;IF(W23="","Consumo Tela 3. ","")&amp;IF(K23="","Elegir tela principal. ",IF(ISERROR(INDEX(Telas!$I$6:$I$105,MATCH(K23,Telas!$A$6:$A$105,0))*1),"Precio o peso por metro de "&amp;K23&amp;". ",""))&amp;IF(AND(N(T23)&gt;0,L23=""),"Elegir Tela 2. ",IF(AND(N(T23)&gt;0,ISERROR(INDEX(Telas!$I$6:$I$105,MATCH(L23,Telas!$A$6:$A$105,0))*1)),"Precio o peso por metro de "&amp;L23&amp;". ",""))&amp;IF(Y23="","Metros impresos. ","")&amp;IF(F23="","Tipo de confección. ",IF(AB23="","Precio de confección. ",""))))</f>
        <v>Consumo tela principal (Despiece o Mediciones). Elegir tela principal. Metros impresos. </v>
      </c>
      <c r="AH23" s="27" t="s">
        <v>95</v>
      </c>
    </row>
    <row r="24" customFormat="false" ht="15" hidden="false" customHeight="false" outlineLevel="0" collapsed="false">
      <c r="A24" s="27" t="s">
        <v>130</v>
      </c>
      <c r="B24" s="27" t="s">
        <v>131</v>
      </c>
      <c r="C24" s="27" t="s">
        <v>91</v>
      </c>
      <c r="D24" s="27" t="s">
        <v>92</v>
      </c>
      <c r="E24" s="27" t="s">
        <v>100</v>
      </c>
      <c r="F24" s="27" t="s">
        <v>128</v>
      </c>
      <c r="G24" s="8"/>
      <c r="H24" s="27"/>
      <c r="I24" s="8"/>
      <c r="J24" s="27"/>
      <c r="K24" s="8"/>
      <c r="L24" s="8"/>
      <c r="M24" s="8"/>
      <c r="N24" s="8"/>
      <c r="O24" s="9" t="str">
        <f aca="false">IF($A24="","",IF(COUNTIFS(Despiece!$A$6:$A$705,$A24,Despiece!$D$6:$D$705,"Tela principal",Despiece!$F$6:$F$705,"&gt;0")=0,"",SUMIFS(Despiece!$F$6:$F$705,Despiece!$A$6:$A$705,$A24,Despiece!$D$6:$D$705,"Tela principal")))</f>
        <v/>
      </c>
      <c r="P24" s="9" t="str">
        <f aca="false">IF($A24="","",IFERROR(AVERAGEIFS(Mediciones!$K$6:$K$305,Mediciones!$C$6:$C$305,$A24,Mediciones!$D$6:$D$305,"Tela principal"),""))</f>
        <v/>
      </c>
      <c r="Q24" s="28" t="str">
        <f aca="false">IF($A24="","",IF(N(IF($N24="Despiece",IF(ISNUMBER(O24),O24*(1+Parametros!$B$22),IF(COUNTIFS(Despiece!$A$6:$A$705,$A24,Despiece!$D$6:$D$705,"Tela principal")&gt;0,"",0)),IF($N24="Medición real",IF(ISNUMBER(P24),P24,IF(COUNTIFS(Mediciones!$C$6:$C$305,$A24,Mediciones!$D$6:$D$305,"Tela principal")&gt;0,"",0)),IF(ISNUMBER(P24),P24,IF(ISNUMBER(O24),O24*(1+Parametros!$B$22),IF(OR(COUNTIFS(Despiece!$A$6:$A$705,$A24,Despiece!$D$6:$D$705,"Tela principal")&gt;0,COUNTIFS(Mediciones!$C$6:$C$305,$A24,Mediciones!$D$6:$D$305,"Tela principal")&gt;0),"",0))))))=0,"",IF($N24="Despiece",IF(ISNUMBER(O24),O24*(1+Parametros!$B$22),IF(COUNTIFS(Despiece!$A$6:$A$705,$A24,Despiece!$D$6:$D$705,"Tela principal")&gt;0,"",0)),IF($N24="Medición real",IF(ISNUMBER(P24),P24,IF(COUNTIFS(Mediciones!$C$6:$C$305,$A24,Mediciones!$D$6:$D$305,"Tela principal")&gt;0,"",0)),IF(ISNUMBER(P24),P24,IF(ISNUMBER(O24),O24*(1+Parametros!$B$22),IF(OR(COUNTIFS(Despiece!$A$6:$A$705,$A24,Despiece!$D$6:$D$705,"Tela principal")&gt;0,COUNTIFS(Mediciones!$C$6:$C$305,$A24,Mediciones!$D$6:$D$305,"Tela principal")&gt;0),"",0)))))))</f>
        <v/>
      </c>
      <c r="R24" s="9" t="str">
        <f aca="false">IF($A24="","",IF(COUNTIFS(Despiece!$A$6:$A$705,$A24,Despiece!$D$6:$D$705,"Tela 2",Despiece!$F$6:$F$705,"&gt;0")=0,"",SUMIFS(Despiece!$F$6:$F$705,Despiece!$A$6:$A$705,$A24,Despiece!$D$6:$D$705,"Tela 2")))</f>
        <v/>
      </c>
      <c r="S24" s="9" t="str">
        <f aca="false">IF($A24="","",IFERROR(AVERAGEIFS(Mediciones!$K$6:$K$305,Mediciones!$C$6:$C$305,$A24,Mediciones!$D$6:$D$305,"Tela 2"),""))</f>
        <v/>
      </c>
      <c r="T24" s="28" t="n">
        <f aca="false">IF($A24="","",IF($N24="Despiece",IF(ISNUMBER(R24),R24*(1+Parametros!$B$22),IF(COUNTIFS(Despiece!$A$6:$A$705,$A24,Despiece!$D$6:$D$705,"Tela 2")&gt;0,"",0)),IF($N24="Medición real",IF(ISNUMBER(S24),S24,IF(COUNTIFS(Mediciones!$C$6:$C$305,$A24,Mediciones!$D$6:$D$305,"Tela 2")&gt;0,"",0)),IF(ISNUMBER(S24),S24,IF(ISNUMBER(R24),R24*(1+Parametros!$B$22),IF(OR(COUNTIFS(Despiece!$A$6:$A$705,$A24,Despiece!$D$6:$D$705,"Tela 2")&gt;0,COUNTIFS(Mediciones!$C$6:$C$305,$A24,Mediciones!$D$6:$D$305,"Tela 2")&gt;0),"",0))))))</f>
        <v>0</v>
      </c>
      <c r="U24" s="9" t="str">
        <f aca="false">IF($A24="","",IF(COUNTIFS(Despiece!$A$6:$A$705,$A24,Despiece!$D$6:$D$705,"Tela 3",Despiece!$F$6:$F$705,"&gt;0")=0,"",SUMIFS(Despiece!$F$6:$F$705,Despiece!$A$6:$A$705,$A24,Despiece!$D$6:$D$705,"Tela 3")))</f>
        <v/>
      </c>
      <c r="V24" s="9" t="str">
        <f aca="false">IF($A24="","",IFERROR(AVERAGEIFS(Mediciones!$K$6:$K$305,Mediciones!$C$6:$C$305,$A24,Mediciones!$D$6:$D$305,"Tela 3"),""))</f>
        <v/>
      </c>
      <c r="W24" s="28" t="n">
        <f aca="false">IF($A24="","",IF($N24="Despiece",IF(ISNUMBER(U24),U24*(1+Parametros!$B$22),IF(COUNTIFS(Despiece!$A$6:$A$705,$A24,Despiece!$D$6:$D$705,"Tela 3")&gt;0,"",0)),IF($N24="Medición real",IF(ISNUMBER(V24),V24,IF(COUNTIFS(Mediciones!$C$6:$C$305,$A24,Mediciones!$D$6:$D$305,"Tela 3")&gt;0,"",0)),IF(ISNUMBER(V24),V24,IF(ISNUMBER(U24),U24*(1+Parametros!$B$22),IF(OR(COUNTIFS(Despiece!$A$6:$A$705,$A24,Despiece!$D$6:$D$705,"Tela 3")&gt;0,COUNTIFS(Mediciones!$C$6:$C$305,$A24,Mediciones!$D$6:$D$305,"Tela 3")&gt;0),"",0))))))</f>
        <v>0</v>
      </c>
      <c r="X24" s="27"/>
      <c r="Y24" s="9" t="str">
        <f aca="false">IF($A24="","",IF(ISNUMBER(X24),X24,IF(COUNTIFS(Despiece!$A$6:$A$705,$A24,Despiece!$E$6:$E$705,"Sublimada",Despiece!$F$6:$F$705,"&gt;0")&gt;0,SUMIFS(Despiece!$F$6:$F$705,Despiece!$A$6:$A$705,$A24,Despiece!$E$6:$E$705,"Sublimada")*(1+Parametros!$B$22),IF(COUNTIFS(Despiece!$A$6:$A$705,$A24,Despiece!$E$6:$E$705,"Sublimada")=0,0,""))))</f>
        <v/>
      </c>
      <c r="Z24" s="10" t="str">
        <f aca="false">IF($A24="","",IFERROR(IF(ISNUMBER(Q24),IF(Q24=0,0,Q24*INDEX(Telas!$I$6:$I$105,MATCH(K24,Telas!$A$6:$A$105,0))),NA())+IF(ISNUMBER(T24),IF(T24=0,0,T24*INDEX(Telas!$I$6:$I$105,MATCH(L24,Telas!$A$6:$A$105,0))),NA())+IF(ISNUMBER(W24),IF(W24=0,0,W24*INDEX(Telas!$I$6:$I$105,MATCH(IF(M24="",K24,M24),Telas!$A$6:$A$105,0))),NA()),""))</f>
        <v/>
      </c>
      <c r="AA24" s="10" t="str">
        <f aca="false">IF($A24="","",IF(ISNUMBER(Y24),Y24*Parametros!$B$19,""))</f>
        <v/>
      </c>
      <c r="AB24" s="10" t="n">
        <f aca="false">IF(OR($A24="",F24=""),"",IFERROR(INDEX(Confeccion!$B$6:$B$125,MATCH(F24,Confeccion!$A$6:$A$125,0)),""))</f>
        <v>2300</v>
      </c>
      <c r="AC24" s="10" t="n">
        <f aca="false">IF($A24="","",IFERROR(N(H24)*IF(G24="",0,INDEX(Avios!$C$6:$C$65,MATCH(G24,Avios!$A$6:$A$65,0)))+N(J24)*IF(I24="",0,INDEX(Avios!$C$6:$C$65,MATCH(I24,Avios!$A$6:$A$65,0))),""))</f>
        <v>0</v>
      </c>
      <c r="AD24" s="11" t="str">
        <f aca="false">IF($A24="","",IFERROR(Z24+AA24+AB24+AC24,""))</f>
        <v/>
      </c>
      <c r="AE24" s="10" t="str">
        <f aca="false">IF(ISNUMBER(AD24),AD24*Parametros!$B$12,"")</f>
        <v/>
      </c>
      <c r="AF24" s="29" t="str">
        <f aca="false">IF(AND(ISNUMBER(Q24),K24&lt;&gt;""),IFERROR(1/(Q24*INDEX(Telas!$G$6:$G$105,MATCH(K24,Telas!$A$6:$A$105,0))),""),"")</f>
        <v/>
      </c>
      <c r="AG24" s="0" t="str">
        <f aca="false">IF($A24="","",IF(ISNUMBER(AD24),IF(AND(N(Y24)&gt;0,N(Parametros!$B$19)=0),"Lista, pero sin costo de impresión (Parametros)","Lista"),IF(Q24="","Consumo tela principal (Despiece o Mediciones). ","")&amp;IF(COUNTIFS(Mediciones!$C$6:$C$305,$A24,Mediciones!$K$6:$K$305,"")&gt;0,"Pesar 1 m de la tela medida (Telas, kg por metro). ","")&amp;IF(T24="","Consumo Tela 2. ","")&amp;IF(W24="","Consumo Tela 3. ","")&amp;IF(K24="","Elegir tela principal. ",IF(ISERROR(INDEX(Telas!$I$6:$I$105,MATCH(K24,Telas!$A$6:$A$105,0))*1),"Precio o peso por metro de "&amp;K24&amp;". ",""))&amp;IF(AND(N(T24)&gt;0,L24=""),"Elegir Tela 2. ",IF(AND(N(T24)&gt;0,ISERROR(INDEX(Telas!$I$6:$I$105,MATCH(L24,Telas!$A$6:$A$105,0))*1)),"Precio o peso por metro de "&amp;L24&amp;". ",""))&amp;IF(Y24="","Metros impresos. ","")&amp;IF(F24="","Tipo de confección. ",IF(AB24="","Precio de confección. ",""))))</f>
        <v>Consumo tela principal (Despiece o Mediciones). Elegir tela principal. Metros impresos. </v>
      </c>
      <c r="AH24" s="27" t="s">
        <v>95</v>
      </c>
    </row>
    <row r="25" customFormat="false" ht="15" hidden="false" customHeight="false" outlineLevel="0" collapsed="false">
      <c r="A25" s="27" t="s">
        <v>132</v>
      </c>
      <c r="B25" s="27" t="s">
        <v>131</v>
      </c>
      <c r="C25" s="27" t="s">
        <v>91</v>
      </c>
      <c r="D25" s="27" t="s">
        <v>92</v>
      </c>
      <c r="E25" s="27" t="s">
        <v>102</v>
      </c>
      <c r="F25" s="27" t="s">
        <v>128</v>
      </c>
      <c r="G25" s="8"/>
      <c r="H25" s="27"/>
      <c r="I25" s="8"/>
      <c r="J25" s="27"/>
      <c r="K25" s="8"/>
      <c r="L25" s="8"/>
      <c r="M25" s="8"/>
      <c r="N25" s="8"/>
      <c r="O25" s="9" t="str">
        <f aca="false">IF($A25="","",IF(COUNTIFS(Despiece!$A$6:$A$705,$A25,Despiece!$D$6:$D$705,"Tela principal",Despiece!$F$6:$F$705,"&gt;0")=0,"",SUMIFS(Despiece!$F$6:$F$705,Despiece!$A$6:$A$705,$A25,Despiece!$D$6:$D$705,"Tela principal")))</f>
        <v/>
      </c>
      <c r="P25" s="9" t="str">
        <f aca="false">IF($A25="","",IFERROR(AVERAGEIFS(Mediciones!$K$6:$K$305,Mediciones!$C$6:$C$305,$A25,Mediciones!$D$6:$D$305,"Tela principal"),""))</f>
        <v/>
      </c>
      <c r="Q25" s="28" t="str">
        <f aca="false">IF($A25="","",IF(N(IF($N25="Despiece",IF(ISNUMBER(O25),O25*(1+Parametros!$B$22),IF(COUNTIFS(Despiece!$A$6:$A$705,$A25,Despiece!$D$6:$D$705,"Tela principal")&gt;0,"",0)),IF($N25="Medición real",IF(ISNUMBER(P25),P25,IF(COUNTIFS(Mediciones!$C$6:$C$305,$A25,Mediciones!$D$6:$D$305,"Tela principal")&gt;0,"",0)),IF(ISNUMBER(P25),P25,IF(ISNUMBER(O25),O25*(1+Parametros!$B$22),IF(OR(COUNTIFS(Despiece!$A$6:$A$705,$A25,Despiece!$D$6:$D$705,"Tela principal")&gt;0,COUNTIFS(Mediciones!$C$6:$C$305,$A25,Mediciones!$D$6:$D$305,"Tela principal")&gt;0),"",0))))))=0,"",IF($N25="Despiece",IF(ISNUMBER(O25),O25*(1+Parametros!$B$22),IF(COUNTIFS(Despiece!$A$6:$A$705,$A25,Despiece!$D$6:$D$705,"Tela principal")&gt;0,"",0)),IF($N25="Medición real",IF(ISNUMBER(P25),P25,IF(COUNTIFS(Mediciones!$C$6:$C$305,$A25,Mediciones!$D$6:$D$305,"Tela principal")&gt;0,"",0)),IF(ISNUMBER(P25),P25,IF(ISNUMBER(O25),O25*(1+Parametros!$B$22),IF(OR(COUNTIFS(Despiece!$A$6:$A$705,$A25,Despiece!$D$6:$D$705,"Tela principal")&gt;0,COUNTIFS(Mediciones!$C$6:$C$305,$A25,Mediciones!$D$6:$D$305,"Tela principal")&gt;0),"",0)))))))</f>
        <v/>
      </c>
      <c r="R25" s="9" t="str">
        <f aca="false">IF($A25="","",IF(COUNTIFS(Despiece!$A$6:$A$705,$A25,Despiece!$D$6:$D$705,"Tela 2",Despiece!$F$6:$F$705,"&gt;0")=0,"",SUMIFS(Despiece!$F$6:$F$705,Despiece!$A$6:$A$705,$A25,Despiece!$D$6:$D$705,"Tela 2")))</f>
        <v/>
      </c>
      <c r="S25" s="9" t="str">
        <f aca="false">IF($A25="","",IFERROR(AVERAGEIFS(Mediciones!$K$6:$K$305,Mediciones!$C$6:$C$305,$A25,Mediciones!$D$6:$D$305,"Tela 2"),""))</f>
        <v/>
      </c>
      <c r="T25" s="28" t="n">
        <f aca="false">IF($A25="","",IF($N25="Despiece",IF(ISNUMBER(R25),R25*(1+Parametros!$B$22),IF(COUNTIFS(Despiece!$A$6:$A$705,$A25,Despiece!$D$6:$D$705,"Tela 2")&gt;0,"",0)),IF($N25="Medición real",IF(ISNUMBER(S25),S25,IF(COUNTIFS(Mediciones!$C$6:$C$305,$A25,Mediciones!$D$6:$D$305,"Tela 2")&gt;0,"",0)),IF(ISNUMBER(S25),S25,IF(ISNUMBER(R25),R25*(1+Parametros!$B$22),IF(OR(COUNTIFS(Despiece!$A$6:$A$705,$A25,Despiece!$D$6:$D$705,"Tela 2")&gt;0,COUNTIFS(Mediciones!$C$6:$C$305,$A25,Mediciones!$D$6:$D$305,"Tela 2")&gt;0),"",0))))))</f>
        <v>0</v>
      </c>
      <c r="U25" s="9" t="str">
        <f aca="false">IF($A25="","",IF(COUNTIFS(Despiece!$A$6:$A$705,$A25,Despiece!$D$6:$D$705,"Tela 3",Despiece!$F$6:$F$705,"&gt;0")=0,"",SUMIFS(Despiece!$F$6:$F$705,Despiece!$A$6:$A$705,$A25,Despiece!$D$6:$D$705,"Tela 3")))</f>
        <v/>
      </c>
      <c r="V25" s="9" t="str">
        <f aca="false">IF($A25="","",IFERROR(AVERAGEIFS(Mediciones!$K$6:$K$305,Mediciones!$C$6:$C$305,$A25,Mediciones!$D$6:$D$305,"Tela 3"),""))</f>
        <v/>
      </c>
      <c r="W25" s="28" t="n">
        <f aca="false">IF($A25="","",IF($N25="Despiece",IF(ISNUMBER(U25),U25*(1+Parametros!$B$22),IF(COUNTIFS(Despiece!$A$6:$A$705,$A25,Despiece!$D$6:$D$705,"Tela 3")&gt;0,"",0)),IF($N25="Medición real",IF(ISNUMBER(V25),V25,IF(COUNTIFS(Mediciones!$C$6:$C$305,$A25,Mediciones!$D$6:$D$305,"Tela 3")&gt;0,"",0)),IF(ISNUMBER(V25),V25,IF(ISNUMBER(U25),U25*(1+Parametros!$B$22),IF(OR(COUNTIFS(Despiece!$A$6:$A$705,$A25,Despiece!$D$6:$D$705,"Tela 3")&gt;0,COUNTIFS(Mediciones!$C$6:$C$305,$A25,Mediciones!$D$6:$D$305,"Tela 3")&gt;0),"",0))))))</f>
        <v>0</v>
      </c>
      <c r="X25" s="27"/>
      <c r="Y25" s="9" t="str">
        <f aca="false">IF($A25="","",IF(ISNUMBER(X25),X25,IF(COUNTIFS(Despiece!$A$6:$A$705,$A25,Despiece!$E$6:$E$705,"Sublimada",Despiece!$F$6:$F$705,"&gt;0")&gt;0,SUMIFS(Despiece!$F$6:$F$705,Despiece!$A$6:$A$705,$A25,Despiece!$E$6:$E$705,"Sublimada")*(1+Parametros!$B$22),IF(COUNTIFS(Despiece!$A$6:$A$705,$A25,Despiece!$E$6:$E$705,"Sublimada")=0,0,""))))</f>
        <v/>
      </c>
      <c r="Z25" s="10" t="str">
        <f aca="false">IF($A25="","",IFERROR(IF(ISNUMBER(Q25),IF(Q25=0,0,Q25*INDEX(Telas!$I$6:$I$105,MATCH(K25,Telas!$A$6:$A$105,0))),NA())+IF(ISNUMBER(T25),IF(T25=0,0,T25*INDEX(Telas!$I$6:$I$105,MATCH(L25,Telas!$A$6:$A$105,0))),NA())+IF(ISNUMBER(W25),IF(W25=0,0,W25*INDEX(Telas!$I$6:$I$105,MATCH(IF(M25="",K25,M25),Telas!$A$6:$A$105,0))),NA()),""))</f>
        <v/>
      </c>
      <c r="AA25" s="10" t="str">
        <f aca="false">IF($A25="","",IF(ISNUMBER(Y25),Y25*Parametros!$B$19,""))</f>
        <v/>
      </c>
      <c r="AB25" s="10" t="n">
        <f aca="false">IF(OR($A25="",F25=""),"",IFERROR(INDEX(Confeccion!$B$6:$B$125,MATCH(F25,Confeccion!$A$6:$A$125,0)),""))</f>
        <v>2300</v>
      </c>
      <c r="AC25" s="10" t="n">
        <f aca="false">IF($A25="","",IFERROR(N(H25)*IF(G25="",0,INDEX(Avios!$C$6:$C$65,MATCH(G25,Avios!$A$6:$A$65,0)))+N(J25)*IF(I25="",0,INDEX(Avios!$C$6:$C$65,MATCH(I25,Avios!$A$6:$A$65,0))),""))</f>
        <v>0</v>
      </c>
      <c r="AD25" s="11" t="str">
        <f aca="false">IF($A25="","",IFERROR(Z25+AA25+AB25+AC25,""))</f>
        <v/>
      </c>
      <c r="AE25" s="10" t="str">
        <f aca="false">IF(ISNUMBER(AD25),AD25*Parametros!$B$12,"")</f>
        <v/>
      </c>
      <c r="AF25" s="29" t="str">
        <f aca="false">IF(AND(ISNUMBER(Q25),K25&lt;&gt;""),IFERROR(1/(Q25*INDEX(Telas!$G$6:$G$105,MATCH(K25,Telas!$A$6:$A$105,0))),""),"")</f>
        <v/>
      </c>
      <c r="AG25" s="0" t="str">
        <f aca="false">IF($A25="","",IF(ISNUMBER(AD25),IF(AND(N(Y25)&gt;0,N(Parametros!$B$19)=0),"Lista, pero sin costo de impresión (Parametros)","Lista"),IF(Q25="","Consumo tela principal (Despiece o Mediciones). ","")&amp;IF(COUNTIFS(Mediciones!$C$6:$C$305,$A25,Mediciones!$K$6:$K$305,"")&gt;0,"Pesar 1 m de la tela medida (Telas, kg por metro). ","")&amp;IF(T25="","Consumo Tela 2. ","")&amp;IF(W25="","Consumo Tela 3. ","")&amp;IF(K25="","Elegir tela principal. ",IF(ISERROR(INDEX(Telas!$I$6:$I$105,MATCH(K25,Telas!$A$6:$A$105,0))*1),"Precio o peso por metro de "&amp;K25&amp;". ",""))&amp;IF(AND(N(T25)&gt;0,L25=""),"Elegir Tela 2. ",IF(AND(N(T25)&gt;0,ISERROR(INDEX(Telas!$I$6:$I$105,MATCH(L25,Telas!$A$6:$A$105,0))*1)),"Precio o peso por metro de "&amp;L25&amp;". ",""))&amp;IF(Y25="","Metros impresos. ","")&amp;IF(F25="","Tipo de confección. ",IF(AB25="","Precio de confección. ",""))))</f>
        <v>Consumo tela principal (Despiece o Mediciones). Elegir tela principal. Metros impresos. </v>
      </c>
      <c r="AH25" s="27" t="s">
        <v>95</v>
      </c>
    </row>
    <row r="26" customFormat="false" ht="15" hidden="false" customHeight="false" outlineLevel="0" collapsed="false">
      <c r="A26" s="27" t="s">
        <v>133</v>
      </c>
      <c r="B26" s="27" t="s">
        <v>134</v>
      </c>
      <c r="C26" s="27" t="s">
        <v>91</v>
      </c>
      <c r="D26" s="27" t="s">
        <v>92</v>
      </c>
      <c r="E26" s="27" t="s">
        <v>93</v>
      </c>
      <c r="F26" s="27" t="s">
        <v>128</v>
      </c>
      <c r="G26" s="8"/>
      <c r="H26" s="27"/>
      <c r="I26" s="8"/>
      <c r="J26" s="27"/>
      <c r="K26" s="8"/>
      <c r="L26" s="8"/>
      <c r="M26" s="8"/>
      <c r="N26" s="8"/>
      <c r="O26" s="9" t="str">
        <f aca="false">IF($A26="","",IF(COUNTIFS(Despiece!$A$6:$A$705,$A26,Despiece!$D$6:$D$705,"Tela principal",Despiece!$F$6:$F$705,"&gt;0")=0,"",SUMIFS(Despiece!$F$6:$F$705,Despiece!$A$6:$A$705,$A26,Despiece!$D$6:$D$705,"Tela principal")))</f>
        <v/>
      </c>
      <c r="P26" s="9" t="str">
        <f aca="false">IF($A26="","",IFERROR(AVERAGEIFS(Mediciones!$K$6:$K$305,Mediciones!$C$6:$C$305,$A26,Mediciones!$D$6:$D$305,"Tela principal"),""))</f>
        <v/>
      </c>
      <c r="Q26" s="28" t="str">
        <f aca="false">IF($A26="","",IF(N(IF($N26="Despiece",IF(ISNUMBER(O26),O26*(1+Parametros!$B$22),IF(COUNTIFS(Despiece!$A$6:$A$705,$A26,Despiece!$D$6:$D$705,"Tela principal")&gt;0,"",0)),IF($N26="Medición real",IF(ISNUMBER(P26),P26,IF(COUNTIFS(Mediciones!$C$6:$C$305,$A26,Mediciones!$D$6:$D$305,"Tela principal")&gt;0,"",0)),IF(ISNUMBER(P26),P26,IF(ISNUMBER(O26),O26*(1+Parametros!$B$22),IF(OR(COUNTIFS(Despiece!$A$6:$A$705,$A26,Despiece!$D$6:$D$705,"Tela principal")&gt;0,COUNTIFS(Mediciones!$C$6:$C$305,$A26,Mediciones!$D$6:$D$305,"Tela principal")&gt;0),"",0))))))=0,"",IF($N26="Despiece",IF(ISNUMBER(O26),O26*(1+Parametros!$B$22),IF(COUNTIFS(Despiece!$A$6:$A$705,$A26,Despiece!$D$6:$D$705,"Tela principal")&gt;0,"",0)),IF($N26="Medición real",IF(ISNUMBER(P26),P26,IF(COUNTIFS(Mediciones!$C$6:$C$305,$A26,Mediciones!$D$6:$D$305,"Tela principal")&gt;0,"",0)),IF(ISNUMBER(P26),P26,IF(ISNUMBER(O26),O26*(1+Parametros!$B$22),IF(OR(COUNTIFS(Despiece!$A$6:$A$705,$A26,Despiece!$D$6:$D$705,"Tela principal")&gt;0,COUNTIFS(Mediciones!$C$6:$C$305,$A26,Mediciones!$D$6:$D$305,"Tela principal")&gt;0),"",0)))))))</f>
        <v/>
      </c>
      <c r="R26" s="9" t="str">
        <f aca="false">IF($A26="","",IF(COUNTIFS(Despiece!$A$6:$A$705,$A26,Despiece!$D$6:$D$705,"Tela 2",Despiece!$F$6:$F$705,"&gt;0")=0,"",SUMIFS(Despiece!$F$6:$F$705,Despiece!$A$6:$A$705,$A26,Despiece!$D$6:$D$705,"Tela 2")))</f>
        <v/>
      </c>
      <c r="S26" s="9" t="str">
        <f aca="false">IF($A26="","",IFERROR(AVERAGEIFS(Mediciones!$K$6:$K$305,Mediciones!$C$6:$C$305,$A26,Mediciones!$D$6:$D$305,"Tela 2"),""))</f>
        <v/>
      </c>
      <c r="T26" s="28" t="n">
        <f aca="false">IF($A26="","",IF($N26="Despiece",IF(ISNUMBER(R26),R26*(1+Parametros!$B$22),IF(COUNTIFS(Despiece!$A$6:$A$705,$A26,Despiece!$D$6:$D$705,"Tela 2")&gt;0,"",0)),IF($N26="Medición real",IF(ISNUMBER(S26),S26,IF(COUNTIFS(Mediciones!$C$6:$C$305,$A26,Mediciones!$D$6:$D$305,"Tela 2")&gt;0,"",0)),IF(ISNUMBER(S26),S26,IF(ISNUMBER(R26),R26*(1+Parametros!$B$22),IF(OR(COUNTIFS(Despiece!$A$6:$A$705,$A26,Despiece!$D$6:$D$705,"Tela 2")&gt;0,COUNTIFS(Mediciones!$C$6:$C$305,$A26,Mediciones!$D$6:$D$305,"Tela 2")&gt;0),"",0))))))</f>
        <v>0</v>
      </c>
      <c r="U26" s="9" t="str">
        <f aca="false">IF($A26="","",IF(COUNTIFS(Despiece!$A$6:$A$705,$A26,Despiece!$D$6:$D$705,"Tela 3",Despiece!$F$6:$F$705,"&gt;0")=0,"",SUMIFS(Despiece!$F$6:$F$705,Despiece!$A$6:$A$705,$A26,Despiece!$D$6:$D$705,"Tela 3")))</f>
        <v/>
      </c>
      <c r="V26" s="9" t="str">
        <f aca="false">IF($A26="","",IFERROR(AVERAGEIFS(Mediciones!$K$6:$K$305,Mediciones!$C$6:$C$305,$A26,Mediciones!$D$6:$D$305,"Tela 3"),""))</f>
        <v/>
      </c>
      <c r="W26" s="28" t="n">
        <f aca="false">IF($A26="","",IF($N26="Despiece",IF(ISNUMBER(U26),U26*(1+Parametros!$B$22),IF(COUNTIFS(Despiece!$A$6:$A$705,$A26,Despiece!$D$6:$D$705,"Tela 3")&gt;0,"",0)),IF($N26="Medición real",IF(ISNUMBER(V26),V26,IF(COUNTIFS(Mediciones!$C$6:$C$305,$A26,Mediciones!$D$6:$D$305,"Tela 3")&gt;0,"",0)),IF(ISNUMBER(V26),V26,IF(ISNUMBER(U26),U26*(1+Parametros!$B$22),IF(OR(COUNTIFS(Despiece!$A$6:$A$705,$A26,Despiece!$D$6:$D$705,"Tela 3")&gt;0,COUNTIFS(Mediciones!$C$6:$C$305,$A26,Mediciones!$D$6:$D$305,"Tela 3")&gt;0),"",0))))))</f>
        <v>0</v>
      </c>
      <c r="X26" s="27"/>
      <c r="Y26" s="9" t="str">
        <f aca="false">IF($A26="","",IF(ISNUMBER(X26),X26,IF(COUNTIFS(Despiece!$A$6:$A$705,$A26,Despiece!$E$6:$E$705,"Sublimada",Despiece!$F$6:$F$705,"&gt;0")&gt;0,SUMIFS(Despiece!$F$6:$F$705,Despiece!$A$6:$A$705,$A26,Despiece!$E$6:$E$705,"Sublimada")*(1+Parametros!$B$22),IF(COUNTIFS(Despiece!$A$6:$A$705,$A26,Despiece!$E$6:$E$705,"Sublimada")=0,0,""))))</f>
        <v/>
      </c>
      <c r="Z26" s="10" t="str">
        <f aca="false">IF($A26="","",IFERROR(IF(ISNUMBER(Q26),IF(Q26=0,0,Q26*INDEX(Telas!$I$6:$I$105,MATCH(K26,Telas!$A$6:$A$105,0))),NA())+IF(ISNUMBER(T26),IF(T26=0,0,T26*INDEX(Telas!$I$6:$I$105,MATCH(L26,Telas!$A$6:$A$105,0))),NA())+IF(ISNUMBER(W26),IF(W26=0,0,W26*INDEX(Telas!$I$6:$I$105,MATCH(IF(M26="",K26,M26),Telas!$A$6:$A$105,0))),NA()),""))</f>
        <v/>
      </c>
      <c r="AA26" s="10" t="str">
        <f aca="false">IF($A26="","",IF(ISNUMBER(Y26),Y26*Parametros!$B$19,""))</f>
        <v/>
      </c>
      <c r="AB26" s="10" t="n">
        <f aca="false">IF(OR($A26="",F26=""),"",IFERROR(INDEX(Confeccion!$B$6:$B$125,MATCH(F26,Confeccion!$A$6:$A$125,0)),""))</f>
        <v>2300</v>
      </c>
      <c r="AC26" s="10" t="n">
        <f aca="false">IF($A26="","",IFERROR(N(H26)*IF(G26="",0,INDEX(Avios!$C$6:$C$65,MATCH(G26,Avios!$A$6:$A$65,0)))+N(J26)*IF(I26="",0,INDEX(Avios!$C$6:$C$65,MATCH(I26,Avios!$A$6:$A$65,0))),""))</f>
        <v>0</v>
      </c>
      <c r="AD26" s="11" t="str">
        <f aca="false">IF($A26="","",IFERROR(Z26+AA26+AB26+AC26,""))</f>
        <v/>
      </c>
      <c r="AE26" s="10" t="str">
        <f aca="false">IF(ISNUMBER(AD26),AD26*Parametros!$B$12,"")</f>
        <v/>
      </c>
      <c r="AF26" s="29" t="str">
        <f aca="false">IF(AND(ISNUMBER(Q26),K26&lt;&gt;""),IFERROR(1/(Q26*INDEX(Telas!$G$6:$G$105,MATCH(K26,Telas!$A$6:$A$105,0))),""),"")</f>
        <v/>
      </c>
      <c r="AG26" s="0" t="str">
        <f aca="false">IF($A26="","",IF(ISNUMBER(AD26),IF(AND(N(Y26)&gt;0,N(Parametros!$B$19)=0),"Lista, pero sin costo de impresión (Parametros)","Lista"),IF(Q26="","Consumo tela principal (Despiece o Mediciones). ","")&amp;IF(COUNTIFS(Mediciones!$C$6:$C$305,$A26,Mediciones!$K$6:$K$305,"")&gt;0,"Pesar 1 m de la tela medida (Telas, kg por metro). ","")&amp;IF(T26="","Consumo Tela 2. ","")&amp;IF(W26="","Consumo Tela 3. ","")&amp;IF(K26="","Elegir tela principal. ",IF(ISERROR(INDEX(Telas!$I$6:$I$105,MATCH(K26,Telas!$A$6:$A$105,0))*1),"Precio o peso por metro de "&amp;K26&amp;". ",""))&amp;IF(AND(N(T26)&gt;0,L26=""),"Elegir Tela 2. ",IF(AND(N(T26)&gt;0,ISERROR(INDEX(Telas!$I$6:$I$105,MATCH(L26,Telas!$A$6:$A$105,0))*1)),"Precio o peso por metro de "&amp;L26&amp;". ",""))&amp;IF(Y26="","Metros impresos. ","")&amp;IF(F26="","Tipo de confección. ",IF(AB26="","Precio de confección. ",""))))</f>
        <v>Consumo tela principal (Despiece o Mediciones). Elegir tela principal. Metros impresos. </v>
      </c>
      <c r="AH26" s="27" t="s">
        <v>95</v>
      </c>
    </row>
    <row r="27" customFormat="false" ht="15" hidden="false" customHeight="false" outlineLevel="0" collapsed="false">
      <c r="A27" s="27" t="s">
        <v>135</v>
      </c>
      <c r="B27" s="27" t="s">
        <v>134</v>
      </c>
      <c r="C27" s="27" t="s">
        <v>91</v>
      </c>
      <c r="D27" s="27" t="s">
        <v>92</v>
      </c>
      <c r="E27" s="27" t="s">
        <v>97</v>
      </c>
      <c r="F27" s="27" t="s">
        <v>128</v>
      </c>
      <c r="G27" s="8"/>
      <c r="H27" s="27"/>
      <c r="I27" s="8"/>
      <c r="J27" s="27"/>
      <c r="K27" s="8"/>
      <c r="L27" s="8"/>
      <c r="M27" s="8"/>
      <c r="N27" s="8"/>
      <c r="O27" s="9" t="str">
        <f aca="false">IF($A27="","",IF(COUNTIFS(Despiece!$A$6:$A$705,$A27,Despiece!$D$6:$D$705,"Tela principal",Despiece!$F$6:$F$705,"&gt;0")=0,"",SUMIFS(Despiece!$F$6:$F$705,Despiece!$A$6:$A$705,$A27,Despiece!$D$6:$D$705,"Tela principal")))</f>
        <v/>
      </c>
      <c r="P27" s="9" t="str">
        <f aca="false">IF($A27="","",IFERROR(AVERAGEIFS(Mediciones!$K$6:$K$305,Mediciones!$C$6:$C$305,$A27,Mediciones!$D$6:$D$305,"Tela principal"),""))</f>
        <v/>
      </c>
      <c r="Q27" s="28" t="str">
        <f aca="false">IF($A27="","",IF(N(IF($N27="Despiece",IF(ISNUMBER(O27),O27*(1+Parametros!$B$22),IF(COUNTIFS(Despiece!$A$6:$A$705,$A27,Despiece!$D$6:$D$705,"Tela principal")&gt;0,"",0)),IF($N27="Medición real",IF(ISNUMBER(P27),P27,IF(COUNTIFS(Mediciones!$C$6:$C$305,$A27,Mediciones!$D$6:$D$305,"Tela principal")&gt;0,"",0)),IF(ISNUMBER(P27),P27,IF(ISNUMBER(O27),O27*(1+Parametros!$B$22),IF(OR(COUNTIFS(Despiece!$A$6:$A$705,$A27,Despiece!$D$6:$D$705,"Tela principal")&gt;0,COUNTIFS(Mediciones!$C$6:$C$305,$A27,Mediciones!$D$6:$D$305,"Tela principal")&gt;0),"",0))))))=0,"",IF($N27="Despiece",IF(ISNUMBER(O27),O27*(1+Parametros!$B$22),IF(COUNTIFS(Despiece!$A$6:$A$705,$A27,Despiece!$D$6:$D$705,"Tela principal")&gt;0,"",0)),IF($N27="Medición real",IF(ISNUMBER(P27),P27,IF(COUNTIFS(Mediciones!$C$6:$C$305,$A27,Mediciones!$D$6:$D$305,"Tela principal")&gt;0,"",0)),IF(ISNUMBER(P27),P27,IF(ISNUMBER(O27),O27*(1+Parametros!$B$22),IF(OR(COUNTIFS(Despiece!$A$6:$A$705,$A27,Despiece!$D$6:$D$705,"Tela principal")&gt;0,COUNTIFS(Mediciones!$C$6:$C$305,$A27,Mediciones!$D$6:$D$305,"Tela principal")&gt;0),"",0)))))))</f>
        <v/>
      </c>
      <c r="R27" s="9" t="str">
        <f aca="false">IF($A27="","",IF(COUNTIFS(Despiece!$A$6:$A$705,$A27,Despiece!$D$6:$D$705,"Tela 2",Despiece!$F$6:$F$705,"&gt;0")=0,"",SUMIFS(Despiece!$F$6:$F$705,Despiece!$A$6:$A$705,$A27,Despiece!$D$6:$D$705,"Tela 2")))</f>
        <v/>
      </c>
      <c r="S27" s="9" t="str">
        <f aca="false">IF($A27="","",IFERROR(AVERAGEIFS(Mediciones!$K$6:$K$305,Mediciones!$C$6:$C$305,$A27,Mediciones!$D$6:$D$305,"Tela 2"),""))</f>
        <v/>
      </c>
      <c r="T27" s="28" t="n">
        <f aca="false">IF($A27="","",IF($N27="Despiece",IF(ISNUMBER(R27),R27*(1+Parametros!$B$22),IF(COUNTIFS(Despiece!$A$6:$A$705,$A27,Despiece!$D$6:$D$705,"Tela 2")&gt;0,"",0)),IF($N27="Medición real",IF(ISNUMBER(S27),S27,IF(COUNTIFS(Mediciones!$C$6:$C$305,$A27,Mediciones!$D$6:$D$305,"Tela 2")&gt;0,"",0)),IF(ISNUMBER(S27),S27,IF(ISNUMBER(R27),R27*(1+Parametros!$B$22),IF(OR(COUNTIFS(Despiece!$A$6:$A$705,$A27,Despiece!$D$6:$D$705,"Tela 2")&gt;0,COUNTIFS(Mediciones!$C$6:$C$305,$A27,Mediciones!$D$6:$D$305,"Tela 2")&gt;0),"",0))))))</f>
        <v>0</v>
      </c>
      <c r="U27" s="9" t="str">
        <f aca="false">IF($A27="","",IF(COUNTIFS(Despiece!$A$6:$A$705,$A27,Despiece!$D$6:$D$705,"Tela 3",Despiece!$F$6:$F$705,"&gt;0")=0,"",SUMIFS(Despiece!$F$6:$F$705,Despiece!$A$6:$A$705,$A27,Despiece!$D$6:$D$705,"Tela 3")))</f>
        <v/>
      </c>
      <c r="V27" s="9" t="str">
        <f aca="false">IF($A27="","",IFERROR(AVERAGEIFS(Mediciones!$K$6:$K$305,Mediciones!$C$6:$C$305,$A27,Mediciones!$D$6:$D$305,"Tela 3"),""))</f>
        <v/>
      </c>
      <c r="W27" s="28" t="n">
        <f aca="false">IF($A27="","",IF($N27="Despiece",IF(ISNUMBER(U27),U27*(1+Parametros!$B$22),IF(COUNTIFS(Despiece!$A$6:$A$705,$A27,Despiece!$D$6:$D$705,"Tela 3")&gt;0,"",0)),IF($N27="Medición real",IF(ISNUMBER(V27),V27,IF(COUNTIFS(Mediciones!$C$6:$C$305,$A27,Mediciones!$D$6:$D$305,"Tela 3")&gt;0,"",0)),IF(ISNUMBER(V27),V27,IF(ISNUMBER(U27),U27*(1+Parametros!$B$22),IF(OR(COUNTIFS(Despiece!$A$6:$A$705,$A27,Despiece!$D$6:$D$705,"Tela 3")&gt;0,COUNTIFS(Mediciones!$C$6:$C$305,$A27,Mediciones!$D$6:$D$305,"Tela 3")&gt;0),"",0))))))</f>
        <v>0</v>
      </c>
      <c r="X27" s="27"/>
      <c r="Y27" s="9" t="str">
        <f aca="false">IF($A27="","",IF(ISNUMBER(X27),X27,IF(COUNTIFS(Despiece!$A$6:$A$705,$A27,Despiece!$E$6:$E$705,"Sublimada",Despiece!$F$6:$F$705,"&gt;0")&gt;0,SUMIFS(Despiece!$F$6:$F$705,Despiece!$A$6:$A$705,$A27,Despiece!$E$6:$E$705,"Sublimada")*(1+Parametros!$B$22),IF(COUNTIFS(Despiece!$A$6:$A$705,$A27,Despiece!$E$6:$E$705,"Sublimada")=0,0,""))))</f>
        <v/>
      </c>
      <c r="Z27" s="10" t="str">
        <f aca="false">IF($A27="","",IFERROR(IF(ISNUMBER(Q27),IF(Q27=0,0,Q27*INDEX(Telas!$I$6:$I$105,MATCH(K27,Telas!$A$6:$A$105,0))),NA())+IF(ISNUMBER(T27),IF(T27=0,0,T27*INDEX(Telas!$I$6:$I$105,MATCH(L27,Telas!$A$6:$A$105,0))),NA())+IF(ISNUMBER(W27),IF(W27=0,0,W27*INDEX(Telas!$I$6:$I$105,MATCH(IF(M27="",K27,M27),Telas!$A$6:$A$105,0))),NA()),""))</f>
        <v/>
      </c>
      <c r="AA27" s="10" t="str">
        <f aca="false">IF($A27="","",IF(ISNUMBER(Y27),Y27*Parametros!$B$19,""))</f>
        <v/>
      </c>
      <c r="AB27" s="10" t="n">
        <f aca="false">IF(OR($A27="",F27=""),"",IFERROR(INDEX(Confeccion!$B$6:$B$125,MATCH(F27,Confeccion!$A$6:$A$125,0)),""))</f>
        <v>2300</v>
      </c>
      <c r="AC27" s="10" t="n">
        <f aca="false">IF($A27="","",IFERROR(N(H27)*IF(G27="",0,INDEX(Avios!$C$6:$C$65,MATCH(G27,Avios!$A$6:$A$65,0)))+N(J27)*IF(I27="",0,INDEX(Avios!$C$6:$C$65,MATCH(I27,Avios!$A$6:$A$65,0))),""))</f>
        <v>0</v>
      </c>
      <c r="AD27" s="11" t="str">
        <f aca="false">IF($A27="","",IFERROR(Z27+AA27+AB27+AC27,""))</f>
        <v/>
      </c>
      <c r="AE27" s="10" t="str">
        <f aca="false">IF(ISNUMBER(AD27),AD27*Parametros!$B$12,"")</f>
        <v/>
      </c>
      <c r="AF27" s="29" t="str">
        <f aca="false">IF(AND(ISNUMBER(Q27),K27&lt;&gt;""),IFERROR(1/(Q27*INDEX(Telas!$G$6:$G$105,MATCH(K27,Telas!$A$6:$A$105,0))),""),"")</f>
        <v/>
      </c>
      <c r="AG27" s="0" t="str">
        <f aca="false">IF($A27="","",IF(ISNUMBER(AD27),IF(AND(N(Y27)&gt;0,N(Parametros!$B$19)=0),"Lista, pero sin costo de impresión (Parametros)","Lista"),IF(Q27="","Consumo tela principal (Despiece o Mediciones). ","")&amp;IF(COUNTIFS(Mediciones!$C$6:$C$305,$A27,Mediciones!$K$6:$K$305,"")&gt;0,"Pesar 1 m de la tela medida (Telas, kg por metro). ","")&amp;IF(T27="","Consumo Tela 2. ","")&amp;IF(W27="","Consumo Tela 3. ","")&amp;IF(K27="","Elegir tela principal. ",IF(ISERROR(INDEX(Telas!$I$6:$I$105,MATCH(K27,Telas!$A$6:$A$105,0))*1),"Precio o peso por metro de "&amp;K27&amp;". ",""))&amp;IF(AND(N(T27)&gt;0,L27=""),"Elegir Tela 2. ",IF(AND(N(T27)&gt;0,ISERROR(INDEX(Telas!$I$6:$I$105,MATCH(L27,Telas!$A$6:$A$105,0))*1)),"Precio o peso por metro de "&amp;L27&amp;". ",""))&amp;IF(Y27="","Metros impresos. ","")&amp;IF(F27="","Tipo de confección. ",IF(AB27="","Precio de confección. ",""))))</f>
        <v>Consumo tela principal (Despiece o Mediciones). Elegir tela principal. Metros impresos. </v>
      </c>
      <c r="AH27" s="27" t="s">
        <v>95</v>
      </c>
    </row>
    <row r="28" customFormat="false" ht="15" hidden="false" customHeight="false" outlineLevel="0" collapsed="false">
      <c r="A28" s="27" t="s">
        <v>136</v>
      </c>
      <c r="B28" s="27" t="s">
        <v>137</v>
      </c>
      <c r="C28" s="27" t="s">
        <v>91</v>
      </c>
      <c r="D28" s="27" t="s">
        <v>92</v>
      </c>
      <c r="E28" s="27" t="s">
        <v>100</v>
      </c>
      <c r="F28" s="27" t="s">
        <v>128</v>
      </c>
      <c r="G28" s="8"/>
      <c r="H28" s="27"/>
      <c r="I28" s="8"/>
      <c r="J28" s="27"/>
      <c r="K28" s="8"/>
      <c r="L28" s="8"/>
      <c r="M28" s="8"/>
      <c r="N28" s="8"/>
      <c r="O28" s="9" t="str">
        <f aca="false">IF($A28="","",IF(COUNTIFS(Despiece!$A$6:$A$705,$A28,Despiece!$D$6:$D$705,"Tela principal",Despiece!$F$6:$F$705,"&gt;0")=0,"",SUMIFS(Despiece!$F$6:$F$705,Despiece!$A$6:$A$705,$A28,Despiece!$D$6:$D$705,"Tela principal")))</f>
        <v/>
      </c>
      <c r="P28" s="9" t="str">
        <f aca="false">IF($A28="","",IFERROR(AVERAGEIFS(Mediciones!$K$6:$K$305,Mediciones!$C$6:$C$305,$A28,Mediciones!$D$6:$D$305,"Tela principal"),""))</f>
        <v/>
      </c>
      <c r="Q28" s="28" t="str">
        <f aca="false">IF($A28="","",IF(N(IF($N28="Despiece",IF(ISNUMBER(O28),O28*(1+Parametros!$B$22),IF(COUNTIFS(Despiece!$A$6:$A$705,$A28,Despiece!$D$6:$D$705,"Tela principal")&gt;0,"",0)),IF($N28="Medición real",IF(ISNUMBER(P28),P28,IF(COUNTIFS(Mediciones!$C$6:$C$305,$A28,Mediciones!$D$6:$D$305,"Tela principal")&gt;0,"",0)),IF(ISNUMBER(P28),P28,IF(ISNUMBER(O28),O28*(1+Parametros!$B$22),IF(OR(COUNTIFS(Despiece!$A$6:$A$705,$A28,Despiece!$D$6:$D$705,"Tela principal")&gt;0,COUNTIFS(Mediciones!$C$6:$C$305,$A28,Mediciones!$D$6:$D$305,"Tela principal")&gt;0),"",0))))))=0,"",IF($N28="Despiece",IF(ISNUMBER(O28),O28*(1+Parametros!$B$22),IF(COUNTIFS(Despiece!$A$6:$A$705,$A28,Despiece!$D$6:$D$705,"Tela principal")&gt;0,"",0)),IF($N28="Medición real",IF(ISNUMBER(P28),P28,IF(COUNTIFS(Mediciones!$C$6:$C$305,$A28,Mediciones!$D$6:$D$305,"Tela principal")&gt;0,"",0)),IF(ISNUMBER(P28),P28,IF(ISNUMBER(O28),O28*(1+Parametros!$B$22),IF(OR(COUNTIFS(Despiece!$A$6:$A$705,$A28,Despiece!$D$6:$D$705,"Tela principal")&gt;0,COUNTIFS(Mediciones!$C$6:$C$305,$A28,Mediciones!$D$6:$D$305,"Tela principal")&gt;0),"",0)))))))</f>
        <v/>
      </c>
      <c r="R28" s="9" t="str">
        <f aca="false">IF($A28="","",IF(COUNTIFS(Despiece!$A$6:$A$705,$A28,Despiece!$D$6:$D$705,"Tela 2",Despiece!$F$6:$F$705,"&gt;0")=0,"",SUMIFS(Despiece!$F$6:$F$705,Despiece!$A$6:$A$705,$A28,Despiece!$D$6:$D$705,"Tela 2")))</f>
        <v/>
      </c>
      <c r="S28" s="9" t="str">
        <f aca="false">IF($A28="","",IFERROR(AVERAGEIFS(Mediciones!$K$6:$K$305,Mediciones!$C$6:$C$305,$A28,Mediciones!$D$6:$D$305,"Tela 2"),""))</f>
        <v/>
      </c>
      <c r="T28" s="28" t="n">
        <f aca="false">IF($A28="","",IF($N28="Despiece",IF(ISNUMBER(R28),R28*(1+Parametros!$B$22),IF(COUNTIFS(Despiece!$A$6:$A$705,$A28,Despiece!$D$6:$D$705,"Tela 2")&gt;0,"",0)),IF($N28="Medición real",IF(ISNUMBER(S28),S28,IF(COUNTIFS(Mediciones!$C$6:$C$305,$A28,Mediciones!$D$6:$D$305,"Tela 2")&gt;0,"",0)),IF(ISNUMBER(S28),S28,IF(ISNUMBER(R28),R28*(1+Parametros!$B$22),IF(OR(COUNTIFS(Despiece!$A$6:$A$705,$A28,Despiece!$D$6:$D$705,"Tela 2")&gt;0,COUNTIFS(Mediciones!$C$6:$C$305,$A28,Mediciones!$D$6:$D$305,"Tela 2")&gt;0),"",0))))))</f>
        <v>0</v>
      </c>
      <c r="U28" s="9" t="str">
        <f aca="false">IF($A28="","",IF(COUNTIFS(Despiece!$A$6:$A$705,$A28,Despiece!$D$6:$D$705,"Tela 3",Despiece!$F$6:$F$705,"&gt;0")=0,"",SUMIFS(Despiece!$F$6:$F$705,Despiece!$A$6:$A$705,$A28,Despiece!$D$6:$D$705,"Tela 3")))</f>
        <v/>
      </c>
      <c r="V28" s="9" t="str">
        <f aca="false">IF($A28="","",IFERROR(AVERAGEIFS(Mediciones!$K$6:$K$305,Mediciones!$C$6:$C$305,$A28,Mediciones!$D$6:$D$305,"Tela 3"),""))</f>
        <v/>
      </c>
      <c r="W28" s="28" t="n">
        <f aca="false">IF($A28="","",IF($N28="Despiece",IF(ISNUMBER(U28),U28*(1+Parametros!$B$22),IF(COUNTIFS(Despiece!$A$6:$A$705,$A28,Despiece!$D$6:$D$705,"Tela 3")&gt;0,"",0)),IF($N28="Medición real",IF(ISNUMBER(V28),V28,IF(COUNTIFS(Mediciones!$C$6:$C$305,$A28,Mediciones!$D$6:$D$305,"Tela 3")&gt;0,"",0)),IF(ISNUMBER(V28),V28,IF(ISNUMBER(U28),U28*(1+Parametros!$B$22),IF(OR(COUNTIFS(Despiece!$A$6:$A$705,$A28,Despiece!$D$6:$D$705,"Tela 3")&gt;0,COUNTIFS(Mediciones!$C$6:$C$305,$A28,Mediciones!$D$6:$D$305,"Tela 3")&gt;0),"",0))))))</f>
        <v>0</v>
      </c>
      <c r="X28" s="27"/>
      <c r="Y28" s="9" t="str">
        <f aca="false">IF($A28="","",IF(ISNUMBER(X28),X28,IF(COUNTIFS(Despiece!$A$6:$A$705,$A28,Despiece!$E$6:$E$705,"Sublimada",Despiece!$F$6:$F$705,"&gt;0")&gt;0,SUMIFS(Despiece!$F$6:$F$705,Despiece!$A$6:$A$705,$A28,Despiece!$E$6:$E$705,"Sublimada")*(1+Parametros!$B$22),IF(COUNTIFS(Despiece!$A$6:$A$705,$A28,Despiece!$E$6:$E$705,"Sublimada")=0,0,""))))</f>
        <v/>
      </c>
      <c r="Z28" s="10" t="str">
        <f aca="false">IF($A28="","",IFERROR(IF(ISNUMBER(Q28),IF(Q28=0,0,Q28*INDEX(Telas!$I$6:$I$105,MATCH(K28,Telas!$A$6:$A$105,0))),NA())+IF(ISNUMBER(T28),IF(T28=0,0,T28*INDEX(Telas!$I$6:$I$105,MATCH(L28,Telas!$A$6:$A$105,0))),NA())+IF(ISNUMBER(W28),IF(W28=0,0,W28*INDEX(Telas!$I$6:$I$105,MATCH(IF(M28="",K28,M28),Telas!$A$6:$A$105,0))),NA()),""))</f>
        <v/>
      </c>
      <c r="AA28" s="10" t="str">
        <f aca="false">IF($A28="","",IF(ISNUMBER(Y28),Y28*Parametros!$B$19,""))</f>
        <v/>
      </c>
      <c r="AB28" s="10" t="n">
        <f aca="false">IF(OR($A28="",F28=""),"",IFERROR(INDEX(Confeccion!$B$6:$B$125,MATCH(F28,Confeccion!$A$6:$A$125,0)),""))</f>
        <v>2300</v>
      </c>
      <c r="AC28" s="10" t="n">
        <f aca="false">IF($A28="","",IFERROR(N(H28)*IF(G28="",0,INDEX(Avios!$C$6:$C$65,MATCH(G28,Avios!$A$6:$A$65,0)))+N(J28)*IF(I28="",0,INDEX(Avios!$C$6:$C$65,MATCH(I28,Avios!$A$6:$A$65,0))),""))</f>
        <v>0</v>
      </c>
      <c r="AD28" s="11" t="str">
        <f aca="false">IF($A28="","",IFERROR(Z28+AA28+AB28+AC28,""))</f>
        <v/>
      </c>
      <c r="AE28" s="10" t="str">
        <f aca="false">IF(ISNUMBER(AD28),AD28*Parametros!$B$12,"")</f>
        <v/>
      </c>
      <c r="AF28" s="29" t="str">
        <f aca="false">IF(AND(ISNUMBER(Q28),K28&lt;&gt;""),IFERROR(1/(Q28*INDEX(Telas!$G$6:$G$105,MATCH(K28,Telas!$A$6:$A$105,0))),""),"")</f>
        <v/>
      </c>
      <c r="AG28" s="0" t="str">
        <f aca="false">IF($A28="","",IF(ISNUMBER(AD28),IF(AND(N(Y28)&gt;0,N(Parametros!$B$19)=0),"Lista, pero sin costo de impresión (Parametros)","Lista"),IF(Q28="","Consumo tela principal (Despiece o Mediciones). ","")&amp;IF(COUNTIFS(Mediciones!$C$6:$C$305,$A28,Mediciones!$K$6:$K$305,"")&gt;0,"Pesar 1 m de la tela medida (Telas, kg por metro). ","")&amp;IF(T28="","Consumo Tela 2. ","")&amp;IF(W28="","Consumo Tela 3. ","")&amp;IF(K28="","Elegir tela principal. ",IF(ISERROR(INDEX(Telas!$I$6:$I$105,MATCH(K28,Telas!$A$6:$A$105,0))*1),"Precio o peso por metro de "&amp;K28&amp;". ",""))&amp;IF(AND(N(T28)&gt;0,L28=""),"Elegir Tela 2. ",IF(AND(N(T28)&gt;0,ISERROR(INDEX(Telas!$I$6:$I$105,MATCH(L28,Telas!$A$6:$A$105,0))*1)),"Precio o peso por metro de "&amp;L28&amp;". ",""))&amp;IF(Y28="","Metros impresos. ","")&amp;IF(F28="","Tipo de confección. ",IF(AB28="","Precio de confección. ",""))))</f>
        <v>Consumo tela principal (Despiece o Mediciones). Elegir tela principal. Metros impresos. </v>
      </c>
      <c r="AH28" s="27" t="s">
        <v>95</v>
      </c>
    </row>
    <row r="29" customFormat="false" ht="15" hidden="false" customHeight="false" outlineLevel="0" collapsed="false">
      <c r="A29" s="27" t="s">
        <v>138</v>
      </c>
      <c r="B29" s="27" t="s">
        <v>137</v>
      </c>
      <c r="C29" s="27" t="s">
        <v>91</v>
      </c>
      <c r="D29" s="27" t="s">
        <v>92</v>
      </c>
      <c r="E29" s="27" t="s">
        <v>102</v>
      </c>
      <c r="F29" s="27" t="s">
        <v>128</v>
      </c>
      <c r="G29" s="8"/>
      <c r="H29" s="27"/>
      <c r="I29" s="8"/>
      <c r="J29" s="27"/>
      <c r="K29" s="8"/>
      <c r="L29" s="8"/>
      <c r="M29" s="8"/>
      <c r="N29" s="8"/>
      <c r="O29" s="9" t="str">
        <f aca="false">IF($A29="","",IF(COUNTIFS(Despiece!$A$6:$A$705,$A29,Despiece!$D$6:$D$705,"Tela principal",Despiece!$F$6:$F$705,"&gt;0")=0,"",SUMIFS(Despiece!$F$6:$F$705,Despiece!$A$6:$A$705,$A29,Despiece!$D$6:$D$705,"Tela principal")))</f>
        <v/>
      </c>
      <c r="P29" s="9" t="str">
        <f aca="false">IF($A29="","",IFERROR(AVERAGEIFS(Mediciones!$K$6:$K$305,Mediciones!$C$6:$C$305,$A29,Mediciones!$D$6:$D$305,"Tela principal"),""))</f>
        <v/>
      </c>
      <c r="Q29" s="28" t="str">
        <f aca="false">IF($A29="","",IF(N(IF($N29="Despiece",IF(ISNUMBER(O29),O29*(1+Parametros!$B$22),IF(COUNTIFS(Despiece!$A$6:$A$705,$A29,Despiece!$D$6:$D$705,"Tela principal")&gt;0,"",0)),IF($N29="Medición real",IF(ISNUMBER(P29),P29,IF(COUNTIFS(Mediciones!$C$6:$C$305,$A29,Mediciones!$D$6:$D$305,"Tela principal")&gt;0,"",0)),IF(ISNUMBER(P29),P29,IF(ISNUMBER(O29),O29*(1+Parametros!$B$22),IF(OR(COUNTIFS(Despiece!$A$6:$A$705,$A29,Despiece!$D$6:$D$705,"Tela principal")&gt;0,COUNTIFS(Mediciones!$C$6:$C$305,$A29,Mediciones!$D$6:$D$305,"Tela principal")&gt;0),"",0))))))=0,"",IF($N29="Despiece",IF(ISNUMBER(O29),O29*(1+Parametros!$B$22),IF(COUNTIFS(Despiece!$A$6:$A$705,$A29,Despiece!$D$6:$D$705,"Tela principal")&gt;0,"",0)),IF($N29="Medición real",IF(ISNUMBER(P29),P29,IF(COUNTIFS(Mediciones!$C$6:$C$305,$A29,Mediciones!$D$6:$D$305,"Tela principal")&gt;0,"",0)),IF(ISNUMBER(P29),P29,IF(ISNUMBER(O29),O29*(1+Parametros!$B$22),IF(OR(COUNTIFS(Despiece!$A$6:$A$705,$A29,Despiece!$D$6:$D$705,"Tela principal")&gt;0,COUNTIFS(Mediciones!$C$6:$C$305,$A29,Mediciones!$D$6:$D$305,"Tela principal")&gt;0),"",0)))))))</f>
        <v/>
      </c>
      <c r="R29" s="9" t="str">
        <f aca="false">IF($A29="","",IF(COUNTIFS(Despiece!$A$6:$A$705,$A29,Despiece!$D$6:$D$705,"Tela 2",Despiece!$F$6:$F$705,"&gt;0")=0,"",SUMIFS(Despiece!$F$6:$F$705,Despiece!$A$6:$A$705,$A29,Despiece!$D$6:$D$705,"Tela 2")))</f>
        <v/>
      </c>
      <c r="S29" s="9" t="str">
        <f aca="false">IF($A29="","",IFERROR(AVERAGEIFS(Mediciones!$K$6:$K$305,Mediciones!$C$6:$C$305,$A29,Mediciones!$D$6:$D$305,"Tela 2"),""))</f>
        <v/>
      </c>
      <c r="T29" s="28" t="n">
        <f aca="false">IF($A29="","",IF($N29="Despiece",IF(ISNUMBER(R29),R29*(1+Parametros!$B$22),IF(COUNTIFS(Despiece!$A$6:$A$705,$A29,Despiece!$D$6:$D$705,"Tela 2")&gt;0,"",0)),IF($N29="Medición real",IF(ISNUMBER(S29),S29,IF(COUNTIFS(Mediciones!$C$6:$C$305,$A29,Mediciones!$D$6:$D$305,"Tela 2")&gt;0,"",0)),IF(ISNUMBER(S29),S29,IF(ISNUMBER(R29),R29*(1+Parametros!$B$22),IF(OR(COUNTIFS(Despiece!$A$6:$A$705,$A29,Despiece!$D$6:$D$705,"Tela 2")&gt;0,COUNTIFS(Mediciones!$C$6:$C$305,$A29,Mediciones!$D$6:$D$305,"Tela 2")&gt;0),"",0))))))</f>
        <v>0</v>
      </c>
      <c r="U29" s="9" t="str">
        <f aca="false">IF($A29="","",IF(COUNTIFS(Despiece!$A$6:$A$705,$A29,Despiece!$D$6:$D$705,"Tela 3",Despiece!$F$6:$F$705,"&gt;0")=0,"",SUMIFS(Despiece!$F$6:$F$705,Despiece!$A$6:$A$705,$A29,Despiece!$D$6:$D$705,"Tela 3")))</f>
        <v/>
      </c>
      <c r="V29" s="9" t="str">
        <f aca="false">IF($A29="","",IFERROR(AVERAGEIFS(Mediciones!$K$6:$K$305,Mediciones!$C$6:$C$305,$A29,Mediciones!$D$6:$D$305,"Tela 3"),""))</f>
        <v/>
      </c>
      <c r="W29" s="28" t="n">
        <f aca="false">IF($A29="","",IF($N29="Despiece",IF(ISNUMBER(U29),U29*(1+Parametros!$B$22),IF(COUNTIFS(Despiece!$A$6:$A$705,$A29,Despiece!$D$6:$D$705,"Tela 3")&gt;0,"",0)),IF($N29="Medición real",IF(ISNUMBER(V29),V29,IF(COUNTIFS(Mediciones!$C$6:$C$305,$A29,Mediciones!$D$6:$D$305,"Tela 3")&gt;0,"",0)),IF(ISNUMBER(V29),V29,IF(ISNUMBER(U29),U29*(1+Parametros!$B$22),IF(OR(COUNTIFS(Despiece!$A$6:$A$705,$A29,Despiece!$D$6:$D$705,"Tela 3")&gt;0,COUNTIFS(Mediciones!$C$6:$C$305,$A29,Mediciones!$D$6:$D$305,"Tela 3")&gt;0),"",0))))))</f>
        <v>0</v>
      </c>
      <c r="X29" s="27"/>
      <c r="Y29" s="9" t="str">
        <f aca="false">IF($A29="","",IF(ISNUMBER(X29),X29,IF(COUNTIFS(Despiece!$A$6:$A$705,$A29,Despiece!$E$6:$E$705,"Sublimada",Despiece!$F$6:$F$705,"&gt;0")&gt;0,SUMIFS(Despiece!$F$6:$F$705,Despiece!$A$6:$A$705,$A29,Despiece!$E$6:$E$705,"Sublimada")*(1+Parametros!$B$22),IF(COUNTIFS(Despiece!$A$6:$A$705,$A29,Despiece!$E$6:$E$705,"Sublimada")=0,0,""))))</f>
        <v/>
      </c>
      <c r="Z29" s="10" t="str">
        <f aca="false">IF($A29="","",IFERROR(IF(ISNUMBER(Q29),IF(Q29=0,0,Q29*INDEX(Telas!$I$6:$I$105,MATCH(K29,Telas!$A$6:$A$105,0))),NA())+IF(ISNUMBER(T29),IF(T29=0,0,T29*INDEX(Telas!$I$6:$I$105,MATCH(L29,Telas!$A$6:$A$105,0))),NA())+IF(ISNUMBER(W29),IF(W29=0,0,W29*INDEX(Telas!$I$6:$I$105,MATCH(IF(M29="",K29,M29),Telas!$A$6:$A$105,0))),NA()),""))</f>
        <v/>
      </c>
      <c r="AA29" s="10" t="str">
        <f aca="false">IF($A29="","",IF(ISNUMBER(Y29),Y29*Parametros!$B$19,""))</f>
        <v/>
      </c>
      <c r="AB29" s="10" t="n">
        <f aca="false">IF(OR($A29="",F29=""),"",IFERROR(INDEX(Confeccion!$B$6:$B$125,MATCH(F29,Confeccion!$A$6:$A$125,0)),""))</f>
        <v>2300</v>
      </c>
      <c r="AC29" s="10" t="n">
        <f aca="false">IF($A29="","",IFERROR(N(H29)*IF(G29="",0,INDEX(Avios!$C$6:$C$65,MATCH(G29,Avios!$A$6:$A$65,0)))+N(J29)*IF(I29="",0,INDEX(Avios!$C$6:$C$65,MATCH(I29,Avios!$A$6:$A$65,0))),""))</f>
        <v>0</v>
      </c>
      <c r="AD29" s="11" t="str">
        <f aca="false">IF($A29="","",IFERROR(Z29+AA29+AB29+AC29,""))</f>
        <v/>
      </c>
      <c r="AE29" s="10" t="str">
        <f aca="false">IF(ISNUMBER(AD29),AD29*Parametros!$B$12,"")</f>
        <v/>
      </c>
      <c r="AF29" s="29" t="str">
        <f aca="false">IF(AND(ISNUMBER(Q29),K29&lt;&gt;""),IFERROR(1/(Q29*INDEX(Telas!$G$6:$G$105,MATCH(K29,Telas!$A$6:$A$105,0))),""),"")</f>
        <v/>
      </c>
      <c r="AG29" s="0" t="str">
        <f aca="false">IF($A29="","",IF(ISNUMBER(AD29),IF(AND(N(Y29)&gt;0,N(Parametros!$B$19)=0),"Lista, pero sin costo de impresión (Parametros)","Lista"),IF(Q29="","Consumo tela principal (Despiece o Mediciones). ","")&amp;IF(COUNTIFS(Mediciones!$C$6:$C$305,$A29,Mediciones!$K$6:$K$305,"")&gt;0,"Pesar 1 m de la tela medida (Telas, kg por metro). ","")&amp;IF(T29="","Consumo Tela 2. ","")&amp;IF(W29="","Consumo Tela 3. ","")&amp;IF(K29="","Elegir tela principal. ",IF(ISERROR(INDEX(Telas!$I$6:$I$105,MATCH(K29,Telas!$A$6:$A$105,0))*1),"Precio o peso por metro de "&amp;K29&amp;". ",""))&amp;IF(AND(N(T29)&gt;0,L29=""),"Elegir Tela 2. ",IF(AND(N(T29)&gt;0,ISERROR(INDEX(Telas!$I$6:$I$105,MATCH(L29,Telas!$A$6:$A$105,0))*1)),"Precio o peso por metro de "&amp;L29&amp;". ",""))&amp;IF(Y29="","Metros impresos. ","")&amp;IF(F29="","Tipo de confección. ",IF(AB29="","Precio de confección. ",""))))</f>
        <v>Consumo tela principal (Despiece o Mediciones). Elegir tela principal. Metros impresos. </v>
      </c>
      <c r="AH29" s="27" t="s">
        <v>95</v>
      </c>
    </row>
    <row r="30" customFormat="false" ht="15" hidden="false" customHeight="false" outlineLevel="0" collapsed="false">
      <c r="A30" s="27" t="s">
        <v>139</v>
      </c>
      <c r="B30" s="27" t="s">
        <v>140</v>
      </c>
      <c r="C30" s="27" t="s">
        <v>91</v>
      </c>
      <c r="D30" s="27" t="s">
        <v>92</v>
      </c>
      <c r="E30" s="27" t="s">
        <v>93</v>
      </c>
      <c r="F30" s="27" t="s">
        <v>128</v>
      </c>
      <c r="G30" s="8"/>
      <c r="H30" s="27"/>
      <c r="I30" s="8"/>
      <c r="J30" s="27"/>
      <c r="K30" s="8"/>
      <c r="L30" s="8"/>
      <c r="M30" s="8"/>
      <c r="N30" s="8"/>
      <c r="O30" s="9" t="str">
        <f aca="false">IF($A30="","",IF(COUNTIFS(Despiece!$A$6:$A$705,$A30,Despiece!$D$6:$D$705,"Tela principal",Despiece!$F$6:$F$705,"&gt;0")=0,"",SUMIFS(Despiece!$F$6:$F$705,Despiece!$A$6:$A$705,$A30,Despiece!$D$6:$D$705,"Tela principal")))</f>
        <v/>
      </c>
      <c r="P30" s="9" t="str">
        <f aca="false">IF($A30="","",IFERROR(AVERAGEIFS(Mediciones!$K$6:$K$305,Mediciones!$C$6:$C$305,$A30,Mediciones!$D$6:$D$305,"Tela principal"),""))</f>
        <v/>
      </c>
      <c r="Q30" s="28" t="str">
        <f aca="false">IF($A30="","",IF(N(IF($N30="Despiece",IF(ISNUMBER(O30),O30*(1+Parametros!$B$22),IF(COUNTIFS(Despiece!$A$6:$A$705,$A30,Despiece!$D$6:$D$705,"Tela principal")&gt;0,"",0)),IF($N30="Medición real",IF(ISNUMBER(P30),P30,IF(COUNTIFS(Mediciones!$C$6:$C$305,$A30,Mediciones!$D$6:$D$305,"Tela principal")&gt;0,"",0)),IF(ISNUMBER(P30),P30,IF(ISNUMBER(O30),O30*(1+Parametros!$B$22),IF(OR(COUNTIFS(Despiece!$A$6:$A$705,$A30,Despiece!$D$6:$D$705,"Tela principal")&gt;0,COUNTIFS(Mediciones!$C$6:$C$305,$A30,Mediciones!$D$6:$D$305,"Tela principal")&gt;0),"",0))))))=0,"",IF($N30="Despiece",IF(ISNUMBER(O30),O30*(1+Parametros!$B$22),IF(COUNTIFS(Despiece!$A$6:$A$705,$A30,Despiece!$D$6:$D$705,"Tela principal")&gt;0,"",0)),IF($N30="Medición real",IF(ISNUMBER(P30),P30,IF(COUNTIFS(Mediciones!$C$6:$C$305,$A30,Mediciones!$D$6:$D$305,"Tela principal")&gt;0,"",0)),IF(ISNUMBER(P30),P30,IF(ISNUMBER(O30),O30*(1+Parametros!$B$22),IF(OR(COUNTIFS(Despiece!$A$6:$A$705,$A30,Despiece!$D$6:$D$705,"Tela principal")&gt;0,COUNTIFS(Mediciones!$C$6:$C$305,$A30,Mediciones!$D$6:$D$305,"Tela principal")&gt;0),"",0)))))))</f>
        <v/>
      </c>
      <c r="R30" s="9" t="str">
        <f aca="false">IF($A30="","",IF(COUNTIFS(Despiece!$A$6:$A$705,$A30,Despiece!$D$6:$D$705,"Tela 2",Despiece!$F$6:$F$705,"&gt;0")=0,"",SUMIFS(Despiece!$F$6:$F$705,Despiece!$A$6:$A$705,$A30,Despiece!$D$6:$D$705,"Tela 2")))</f>
        <v/>
      </c>
      <c r="S30" s="9" t="str">
        <f aca="false">IF($A30="","",IFERROR(AVERAGEIFS(Mediciones!$K$6:$K$305,Mediciones!$C$6:$C$305,$A30,Mediciones!$D$6:$D$305,"Tela 2"),""))</f>
        <v/>
      </c>
      <c r="T30" s="28" t="str">
        <f aca="false">IF($A30="","",IF($N30="Despiece",IF(ISNUMBER(R30),R30*(1+Parametros!$B$22),IF(COUNTIFS(Despiece!$A$6:$A$705,$A30,Despiece!$D$6:$D$705,"Tela 2")&gt;0,"",0)),IF($N30="Medición real",IF(ISNUMBER(S30),S30,IF(COUNTIFS(Mediciones!$C$6:$C$305,$A30,Mediciones!$D$6:$D$305,"Tela 2")&gt;0,"",0)),IF(ISNUMBER(S30),S30,IF(ISNUMBER(R30),R30*(1+Parametros!$B$22),IF(OR(COUNTIFS(Despiece!$A$6:$A$705,$A30,Despiece!$D$6:$D$705,"Tela 2")&gt;0,COUNTIFS(Mediciones!$C$6:$C$305,$A30,Mediciones!$D$6:$D$305,"Tela 2")&gt;0),"",0))))))</f>
        <v/>
      </c>
      <c r="U30" s="9" t="str">
        <f aca="false">IF($A30="","",IF(COUNTIFS(Despiece!$A$6:$A$705,$A30,Despiece!$D$6:$D$705,"Tela 3",Despiece!$F$6:$F$705,"&gt;0")=0,"",SUMIFS(Despiece!$F$6:$F$705,Despiece!$A$6:$A$705,$A30,Despiece!$D$6:$D$705,"Tela 3")))</f>
        <v/>
      </c>
      <c r="V30" s="9" t="str">
        <f aca="false">IF($A30="","",IFERROR(AVERAGEIFS(Mediciones!$K$6:$K$305,Mediciones!$C$6:$C$305,$A30,Mediciones!$D$6:$D$305,"Tela 3"),""))</f>
        <v/>
      </c>
      <c r="W30" s="28" t="n">
        <f aca="false">IF($A30="","",IF($N30="Despiece",IF(ISNUMBER(U30),U30*(1+Parametros!$B$22),IF(COUNTIFS(Despiece!$A$6:$A$705,$A30,Despiece!$D$6:$D$705,"Tela 3")&gt;0,"",0)),IF($N30="Medición real",IF(ISNUMBER(V30),V30,IF(COUNTIFS(Mediciones!$C$6:$C$305,$A30,Mediciones!$D$6:$D$305,"Tela 3")&gt;0,"",0)),IF(ISNUMBER(V30),V30,IF(ISNUMBER(U30),U30*(1+Parametros!$B$22),IF(OR(COUNTIFS(Despiece!$A$6:$A$705,$A30,Despiece!$D$6:$D$705,"Tela 3")&gt;0,COUNTIFS(Mediciones!$C$6:$C$305,$A30,Mediciones!$D$6:$D$305,"Tela 3")&gt;0),"",0))))))</f>
        <v>0</v>
      </c>
      <c r="X30" s="27"/>
      <c r="Y30" s="9" t="str">
        <f aca="false">IF($A30="","",IF(ISNUMBER(X30),X30,IF(COUNTIFS(Despiece!$A$6:$A$705,$A30,Despiece!$E$6:$E$705,"Sublimada",Despiece!$F$6:$F$705,"&gt;0")&gt;0,SUMIFS(Despiece!$F$6:$F$705,Despiece!$A$6:$A$705,$A30,Despiece!$E$6:$E$705,"Sublimada")*(1+Parametros!$B$22),IF(COUNTIFS(Despiece!$A$6:$A$705,$A30,Despiece!$E$6:$E$705,"Sublimada")=0,0,""))))</f>
        <v/>
      </c>
      <c r="Z30" s="10" t="str">
        <f aca="false">IF($A30="","",IFERROR(IF(ISNUMBER(Q30),IF(Q30=0,0,Q30*INDEX(Telas!$I$6:$I$105,MATCH(K30,Telas!$A$6:$A$105,0))),NA())+IF(ISNUMBER(T30),IF(T30=0,0,T30*INDEX(Telas!$I$6:$I$105,MATCH(L30,Telas!$A$6:$A$105,0))),NA())+IF(ISNUMBER(W30),IF(W30=0,0,W30*INDEX(Telas!$I$6:$I$105,MATCH(IF(M30="",K30,M30),Telas!$A$6:$A$105,0))),NA()),""))</f>
        <v/>
      </c>
      <c r="AA30" s="10" t="str">
        <f aca="false">IF($A30="","",IF(ISNUMBER(Y30),Y30*Parametros!$B$19,""))</f>
        <v/>
      </c>
      <c r="AB30" s="10" t="n">
        <f aca="false">IF(OR($A30="",F30=""),"",IFERROR(INDEX(Confeccion!$B$6:$B$125,MATCH(F30,Confeccion!$A$6:$A$125,0)),""))</f>
        <v>2300</v>
      </c>
      <c r="AC30" s="10" t="n">
        <f aca="false">IF($A30="","",IFERROR(N(H30)*IF(G30="",0,INDEX(Avios!$C$6:$C$65,MATCH(G30,Avios!$A$6:$A$65,0)))+N(J30)*IF(I30="",0,INDEX(Avios!$C$6:$C$65,MATCH(I30,Avios!$A$6:$A$65,0))),""))</f>
        <v>0</v>
      </c>
      <c r="AD30" s="11" t="str">
        <f aca="false">IF($A30="","",IFERROR(Z30+AA30+AB30+AC30,""))</f>
        <v/>
      </c>
      <c r="AE30" s="10" t="str">
        <f aca="false">IF(ISNUMBER(AD30),AD30*Parametros!$B$12,"")</f>
        <v/>
      </c>
      <c r="AF30" s="29" t="str">
        <f aca="false">IF(AND(ISNUMBER(Q30),K30&lt;&gt;""),IFERROR(1/(Q30*INDEX(Telas!$G$6:$G$105,MATCH(K30,Telas!$A$6:$A$105,0))),""),"")</f>
        <v/>
      </c>
      <c r="AG30" s="0" t="str">
        <f aca="false">IF($A30="","",IF(ISNUMBER(AD30),IF(AND(N(Y30)&gt;0,N(Parametros!$B$19)=0),"Lista, pero sin costo de impresión (Parametros)","Lista"),IF(Q30="","Consumo tela principal (Despiece o Mediciones). ","")&amp;IF(COUNTIFS(Mediciones!$C$6:$C$305,$A30,Mediciones!$K$6:$K$305,"")&gt;0,"Pesar 1 m de la tela medida (Telas, kg por metro). ","")&amp;IF(T30="","Consumo Tela 2. ","")&amp;IF(W30="","Consumo Tela 3. ","")&amp;IF(K30="","Elegir tela principal. ",IF(ISERROR(INDEX(Telas!$I$6:$I$105,MATCH(K30,Telas!$A$6:$A$105,0))*1),"Precio o peso por metro de "&amp;K30&amp;". ",""))&amp;IF(AND(N(T30)&gt;0,L30=""),"Elegir Tela 2. ",IF(AND(N(T30)&gt;0,ISERROR(INDEX(Telas!$I$6:$I$105,MATCH(L30,Telas!$A$6:$A$105,0))*1)),"Precio o peso por metro de "&amp;L30&amp;". ",""))&amp;IF(Y30="","Metros impresos. ","")&amp;IF(F30="","Tipo de confección. ",IF(AB30="","Precio de confección. ",""))))</f>
        <v>Consumo tela principal (Despiece o Mediciones). Consumo Tela 2. Elegir tela principal. Metros impresos. </v>
      </c>
      <c r="AH30" s="27" t="s">
        <v>95</v>
      </c>
    </row>
    <row r="31" customFormat="false" ht="15" hidden="false" customHeight="false" outlineLevel="0" collapsed="false">
      <c r="A31" s="27" t="s">
        <v>141</v>
      </c>
      <c r="B31" s="27" t="s">
        <v>140</v>
      </c>
      <c r="C31" s="27" t="s">
        <v>91</v>
      </c>
      <c r="D31" s="27" t="s">
        <v>92</v>
      </c>
      <c r="E31" s="27" t="s">
        <v>97</v>
      </c>
      <c r="F31" s="27" t="s">
        <v>128</v>
      </c>
      <c r="G31" s="8"/>
      <c r="H31" s="27"/>
      <c r="I31" s="8"/>
      <c r="J31" s="27"/>
      <c r="K31" s="8"/>
      <c r="L31" s="8"/>
      <c r="M31" s="8"/>
      <c r="N31" s="8"/>
      <c r="O31" s="9" t="str">
        <f aca="false">IF($A31="","",IF(COUNTIFS(Despiece!$A$6:$A$705,$A31,Despiece!$D$6:$D$705,"Tela principal",Despiece!$F$6:$F$705,"&gt;0")=0,"",SUMIFS(Despiece!$F$6:$F$705,Despiece!$A$6:$A$705,$A31,Despiece!$D$6:$D$705,"Tela principal")))</f>
        <v/>
      </c>
      <c r="P31" s="9" t="str">
        <f aca="false">IF($A31="","",IFERROR(AVERAGEIFS(Mediciones!$K$6:$K$305,Mediciones!$C$6:$C$305,$A31,Mediciones!$D$6:$D$305,"Tela principal"),""))</f>
        <v/>
      </c>
      <c r="Q31" s="28" t="str">
        <f aca="false">IF($A31="","",IF(N(IF($N31="Despiece",IF(ISNUMBER(O31),O31*(1+Parametros!$B$22),IF(COUNTIFS(Despiece!$A$6:$A$705,$A31,Despiece!$D$6:$D$705,"Tela principal")&gt;0,"",0)),IF($N31="Medición real",IF(ISNUMBER(P31),P31,IF(COUNTIFS(Mediciones!$C$6:$C$305,$A31,Mediciones!$D$6:$D$305,"Tela principal")&gt;0,"",0)),IF(ISNUMBER(P31),P31,IF(ISNUMBER(O31),O31*(1+Parametros!$B$22),IF(OR(COUNTIFS(Despiece!$A$6:$A$705,$A31,Despiece!$D$6:$D$705,"Tela principal")&gt;0,COUNTIFS(Mediciones!$C$6:$C$305,$A31,Mediciones!$D$6:$D$305,"Tela principal")&gt;0),"",0))))))=0,"",IF($N31="Despiece",IF(ISNUMBER(O31),O31*(1+Parametros!$B$22),IF(COUNTIFS(Despiece!$A$6:$A$705,$A31,Despiece!$D$6:$D$705,"Tela principal")&gt;0,"",0)),IF($N31="Medición real",IF(ISNUMBER(P31),P31,IF(COUNTIFS(Mediciones!$C$6:$C$305,$A31,Mediciones!$D$6:$D$305,"Tela principal")&gt;0,"",0)),IF(ISNUMBER(P31),P31,IF(ISNUMBER(O31),O31*(1+Parametros!$B$22),IF(OR(COUNTIFS(Despiece!$A$6:$A$705,$A31,Despiece!$D$6:$D$705,"Tela principal")&gt;0,COUNTIFS(Mediciones!$C$6:$C$305,$A31,Mediciones!$D$6:$D$305,"Tela principal")&gt;0),"",0)))))))</f>
        <v/>
      </c>
      <c r="R31" s="9" t="str">
        <f aca="false">IF($A31="","",IF(COUNTIFS(Despiece!$A$6:$A$705,$A31,Despiece!$D$6:$D$705,"Tela 2",Despiece!$F$6:$F$705,"&gt;0")=0,"",SUMIFS(Despiece!$F$6:$F$705,Despiece!$A$6:$A$705,$A31,Despiece!$D$6:$D$705,"Tela 2")))</f>
        <v/>
      </c>
      <c r="S31" s="9" t="str">
        <f aca="false">IF($A31="","",IFERROR(AVERAGEIFS(Mediciones!$K$6:$K$305,Mediciones!$C$6:$C$305,$A31,Mediciones!$D$6:$D$305,"Tela 2"),""))</f>
        <v/>
      </c>
      <c r="T31" s="28" t="str">
        <f aca="false">IF($A31="","",IF($N31="Despiece",IF(ISNUMBER(R31),R31*(1+Parametros!$B$22),IF(COUNTIFS(Despiece!$A$6:$A$705,$A31,Despiece!$D$6:$D$705,"Tela 2")&gt;0,"",0)),IF($N31="Medición real",IF(ISNUMBER(S31),S31,IF(COUNTIFS(Mediciones!$C$6:$C$305,$A31,Mediciones!$D$6:$D$305,"Tela 2")&gt;0,"",0)),IF(ISNUMBER(S31),S31,IF(ISNUMBER(R31),R31*(1+Parametros!$B$22),IF(OR(COUNTIFS(Despiece!$A$6:$A$705,$A31,Despiece!$D$6:$D$705,"Tela 2")&gt;0,COUNTIFS(Mediciones!$C$6:$C$305,$A31,Mediciones!$D$6:$D$305,"Tela 2")&gt;0),"",0))))))</f>
        <v/>
      </c>
      <c r="U31" s="9" t="str">
        <f aca="false">IF($A31="","",IF(COUNTIFS(Despiece!$A$6:$A$705,$A31,Despiece!$D$6:$D$705,"Tela 3",Despiece!$F$6:$F$705,"&gt;0")=0,"",SUMIFS(Despiece!$F$6:$F$705,Despiece!$A$6:$A$705,$A31,Despiece!$D$6:$D$705,"Tela 3")))</f>
        <v/>
      </c>
      <c r="V31" s="9" t="str">
        <f aca="false">IF($A31="","",IFERROR(AVERAGEIFS(Mediciones!$K$6:$K$305,Mediciones!$C$6:$C$305,$A31,Mediciones!$D$6:$D$305,"Tela 3"),""))</f>
        <v/>
      </c>
      <c r="W31" s="28" t="n">
        <f aca="false">IF($A31="","",IF($N31="Despiece",IF(ISNUMBER(U31),U31*(1+Parametros!$B$22),IF(COUNTIFS(Despiece!$A$6:$A$705,$A31,Despiece!$D$6:$D$705,"Tela 3")&gt;0,"",0)),IF($N31="Medición real",IF(ISNUMBER(V31),V31,IF(COUNTIFS(Mediciones!$C$6:$C$305,$A31,Mediciones!$D$6:$D$305,"Tela 3")&gt;0,"",0)),IF(ISNUMBER(V31),V31,IF(ISNUMBER(U31),U31*(1+Parametros!$B$22),IF(OR(COUNTIFS(Despiece!$A$6:$A$705,$A31,Despiece!$D$6:$D$705,"Tela 3")&gt;0,COUNTIFS(Mediciones!$C$6:$C$305,$A31,Mediciones!$D$6:$D$305,"Tela 3")&gt;0),"",0))))))</f>
        <v>0</v>
      </c>
      <c r="X31" s="27"/>
      <c r="Y31" s="9" t="str">
        <f aca="false">IF($A31="","",IF(ISNUMBER(X31),X31,IF(COUNTIFS(Despiece!$A$6:$A$705,$A31,Despiece!$E$6:$E$705,"Sublimada",Despiece!$F$6:$F$705,"&gt;0")&gt;0,SUMIFS(Despiece!$F$6:$F$705,Despiece!$A$6:$A$705,$A31,Despiece!$E$6:$E$705,"Sublimada")*(1+Parametros!$B$22),IF(COUNTIFS(Despiece!$A$6:$A$705,$A31,Despiece!$E$6:$E$705,"Sublimada")=0,0,""))))</f>
        <v/>
      </c>
      <c r="Z31" s="10" t="str">
        <f aca="false">IF($A31="","",IFERROR(IF(ISNUMBER(Q31),IF(Q31=0,0,Q31*INDEX(Telas!$I$6:$I$105,MATCH(K31,Telas!$A$6:$A$105,0))),NA())+IF(ISNUMBER(T31),IF(T31=0,0,T31*INDEX(Telas!$I$6:$I$105,MATCH(L31,Telas!$A$6:$A$105,0))),NA())+IF(ISNUMBER(W31),IF(W31=0,0,W31*INDEX(Telas!$I$6:$I$105,MATCH(IF(M31="",K31,M31),Telas!$A$6:$A$105,0))),NA()),""))</f>
        <v/>
      </c>
      <c r="AA31" s="10" t="str">
        <f aca="false">IF($A31="","",IF(ISNUMBER(Y31),Y31*Parametros!$B$19,""))</f>
        <v/>
      </c>
      <c r="AB31" s="10" t="n">
        <f aca="false">IF(OR($A31="",F31=""),"",IFERROR(INDEX(Confeccion!$B$6:$B$125,MATCH(F31,Confeccion!$A$6:$A$125,0)),""))</f>
        <v>2300</v>
      </c>
      <c r="AC31" s="10" t="n">
        <f aca="false">IF($A31="","",IFERROR(N(H31)*IF(G31="",0,INDEX(Avios!$C$6:$C$65,MATCH(G31,Avios!$A$6:$A$65,0)))+N(J31)*IF(I31="",0,INDEX(Avios!$C$6:$C$65,MATCH(I31,Avios!$A$6:$A$65,0))),""))</f>
        <v>0</v>
      </c>
      <c r="AD31" s="11" t="str">
        <f aca="false">IF($A31="","",IFERROR(Z31+AA31+AB31+AC31,""))</f>
        <v/>
      </c>
      <c r="AE31" s="10" t="str">
        <f aca="false">IF(ISNUMBER(AD31),AD31*Parametros!$B$12,"")</f>
        <v/>
      </c>
      <c r="AF31" s="29" t="str">
        <f aca="false">IF(AND(ISNUMBER(Q31),K31&lt;&gt;""),IFERROR(1/(Q31*INDEX(Telas!$G$6:$G$105,MATCH(K31,Telas!$A$6:$A$105,0))),""),"")</f>
        <v/>
      </c>
      <c r="AG31" s="0" t="str">
        <f aca="false">IF($A31="","",IF(ISNUMBER(AD31),IF(AND(N(Y31)&gt;0,N(Parametros!$B$19)=0),"Lista, pero sin costo de impresión (Parametros)","Lista"),IF(Q31="","Consumo tela principal (Despiece o Mediciones). ","")&amp;IF(COUNTIFS(Mediciones!$C$6:$C$305,$A31,Mediciones!$K$6:$K$305,"")&gt;0,"Pesar 1 m de la tela medida (Telas, kg por metro). ","")&amp;IF(T31="","Consumo Tela 2. ","")&amp;IF(W31="","Consumo Tela 3. ","")&amp;IF(K31="","Elegir tela principal. ",IF(ISERROR(INDEX(Telas!$I$6:$I$105,MATCH(K31,Telas!$A$6:$A$105,0))*1),"Precio o peso por metro de "&amp;K31&amp;". ",""))&amp;IF(AND(N(T31)&gt;0,L31=""),"Elegir Tela 2. ",IF(AND(N(T31)&gt;0,ISERROR(INDEX(Telas!$I$6:$I$105,MATCH(L31,Telas!$A$6:$A$105,0))*1)),"Precio o peso por metro de "&amp;L31&amp;". ",""))&amp;IF(Y31="","Metros impresos. ","")&amp;IF(F31="","Tipo de confección. ",IF(AB31="","Precio de confección. ",""))))</f>
        <v>Consumo tela principal (Despiece o Mediciones). Consumo Tela 2. Elegir tela principal. Metros impresos. </v>
      </c>
      <c r="AH31" s="27" t="s">
        <v>95</v>
      </c>
    </row>
    <row r="32" customFormat="false" ht="15" hidden="false" customHeight="false" outlineLevel="0" collapsed="false">
      <c r="A32" s="27" t="s">
        <v>142</v>
      </c>
      <c r="B32" s="27" t="s">
        <v>143</v>
      </c>
      <c r="C32" s="27" t="s">
        <v>91</v>
      </c>
      <c r="D32" s="27" t="s">
        <v>92</v>
      </c>
      <c r="E32" s="27" t="s">
        <v>93</v>
      </c>
      <c r="F32" s="27" t="s">
        <v>128</v>
      </c>
      <c r="G32" s="8"/>
      <c r="H32" s="27"/>
      <c r="I32" s="8"/>
      <c r="J32" s="27"/>
      <c r="K32" s="8"/>
      <c r="L32" s="8"/>
      <c r="M32" s="8"/>
      <c r="N32" s="8"/>
      <c r="O32" s="9" t="str">
        <f aca="false">IF($A32="","",IF(COUNTIFS(Despiece!$A$6:$A$705,$A32,Despiece!$D$6:$D$705,"Tela principal",Despiece!$F$6:$F$705,"&gt;0")=0,"",SUMIFS(Despiece!$F$6:$F$705,Despiece!$A$6:$A$705,$A32,Despiece!$D$6:$D$705,"Tela principal")))</f>
        <v/>
      </c>
      <c r="P32" s="9" t="str">
        <f aca="false">IF($A32="","",IFERROR(AVERAGEIFS(Mediciones!$K$6:$K$305,Mediciones!$C$6:$C$305,$A32,Mediciones!$D$6:$D$305,"Tela principal"),""))</f>
        <v/>
      </c>
      <c r="Q32" s="28" t="str">
        <f aca="false">IF($A32="","",IF(N(IF($N32="Despiece",IF(ISNUMBER(O32),O32*(1+Parametros!$B$22),IF(COUNTIFS(Despiece!$A$6:$A$705,$A32,Despiece!$D$6:$D$705,"Tela principal")&gt;0,"",0)),IF($N32="Medición real",IF(ISNUMBER(P32),P32,IF(COUNTIFS(Mediciones!$C$6:$C$305,$A32,Mediciones!$D$6:$D$305,"Tela principal")&gt;0,"",0)),IF(ISNUMBER(P32),P32,IF(ISNUMBER(O32),O32*(1+Parametros!$B$22),IF(OR(COUNTIFS(Despiece!$A$6:$A$705,$A32,Despiece!$D$6:$D$705,"Tela principal")&gt;0,COUNTIFS(Mediciones!$C$6:$C$305,$A32,Mediciones!$D$6:$D$305,"Tela principal")&gt;0),"",0))))))=0,"",IF($N32="Despiece",IF(ISNUMBER(O32),O32*(1+Parametros!$B$22),IF(COUNTIFS(Despiece!$A$6:$A$705,$A32,Despiece!$D$6:$D$705,"Tela principal")&gt;0,"",0)),IF($N32="Medición real",IF(ISNUMBER(P32),P32,IF(COUNTIFS(Mediciones!$C$6:$C$305,$A32,Mediciones!$D$6:$D$305,"Tela principal")&gt;0,"",0)),IF(ISNUMBER(P32),P32,IF(ISNUMBER(O32),O32*(1+Parametros!$B$22),IF(OR(COUNTIFS(Despiece!$A$6:$A$705,$A32,Despiece!$D$6:$D$705,"Tela principal")&gt;0,COUNTIFS(Mediciones!$C$6:$C$305,$A32,Mediciones!$D$6:$D$305,"Tela principal")&gt;0),"",0)))))))</f>
        <v/>
      </c>
      <c r="R32" s="9" t="str">
        <f aca="false">IF($A32="","",IF(COUNTIFS(Despiece!$A$6:$A$705,$A32,Despiece!$D$6:$D$705,"Tela 2",Despiece!$F$6:$F$705,"&gt;0")=0,"",SUMIFS(Despiece!$F$6:$F$705,Despiece!$A$6:$A$705,$A32,Despiece!$D$6:$D$705,"Tela 2")))</f>
        <v/>
      </c>
      <c r="S32" s="9" t="str">
        <f aca="false">IF($A32="","",IFERROR(AVERAGEIFS(Mediciones!$K$6:$K$305,Mediciones!$C$6:$C$305,$A32,Mediciones!$D$6:$D$305,"Tela 2"),""))</f>
        <v/>
      </c>
      <c r="T32" s="28" t="str">
        <f aca="false">IF($A32="","",IF($N32="Despiece",IF(ISNUMBER(R32),R32*(1+Parametros!$B$22),IF(COUNTIFS(Despiece!$A$6:$A$705,$A32,Despiece!$D$6:$D$705,"Tela 2")&gt;0,"",0)),IF($N32="Medición real",IF(ISNUMBER(S32),S32,IF(COUNTIFS(Mediciones!$C$6:$C$305,$A32,Mediciones!$D$6:$D$305,"Tela 2")&gt;0,"",0)),IF(ISNUMBER(S32),S32,IF(ISNUMBER(R32),R32*(1+Parametros!$B$22),IF(OR(COUNTIFS(Despiece!$A$6:$A$705,$A32,Despiece!$D$6:$D$705,"Tela 2")&gt;0,COUNTIFS(Mediciones!$C$6:$C$305,$A32,Mediciones!$D$6:$D$305,"Tela 2")&gt;0),"",0))))))</f>
        <v/>
      </c>
      <c r="U32" s="9" t="str">
        <f aca="false">IF($A32="","",IF(COUNTIFS(Despiece!$A$6:$A$705,$A32,Despiece!$D$6:$D$705,"Tela 3",Despiece!$F$6:$F$705,"&gt;0")=0,"",SUMIFS(Despiece!$F$6:$F$705,Despiece!$A$6:$A$705,$A32,Despiece!$D$6:$D$705,"Tela 3")))</f>
        <v/>
      </c>
      <c r="V32" s="9" t="str">
        <f aca="false">IF($A32="","",IFERROR(AVERAGEIFS(Mediciones!$K$6:$K$305,Mediciones!$C$6:$C$305,$A32,Mediciones!$D$6:$D$305,"Tela 3"),""))</f>
        <v/>
      </c>
      <c r="W32" s="28" t="n">
        <f aca="false">IF($A32="","",IF($N32="Despiece",IF(ISNUMBER(U32),U32*(1+Parametros!$B$22),IF(COUNTIFS(Despiece!$A$6:$A$705,$A32,Despiece!$D$6:$D$705,"Tela 3")&gt;0,"",0)),IF($N32="Medición real",IF(ISNUMBER(V32),V32,IF(COUNTIFS(Mediciones!$C$6:$C$305,$A32,Mediciones!$D$6:$D$305,"Tela 3")&gt;0,"",0)),IF(ISNUMBER(V32),V32,IF(ISNUMBER(U32),U32*(1+Parametros!$B$22),IF(OR(COUNTIFS(Despiece!$A$6:$A$705,$A32,Despiece!$D$6:$D$705,"Tela 3")&gt;0,COUNTIFS(Mediciones!$C$6:$C$305,$A32,Mediciones!$D$6:$D$305,"Tela 3")&gt;0),"",0))))))</f>
        <v>0</v>
      </c>
      <c r="X32" s="27"/>
      <c r="Y32" s="9" t="str">
        <f aca="false">IF($A32="","",IF(ISNUMBER(X32),X32,IF(COUNTIFS(Despiece!$A$6:$A$705,$A32,Despiece!$E$6:$E$705,"Sublimada",Despiece!$F$6:$F$705,"&gt;0")&gt;0,SUMIFS(Despiece!$F$6:$F$705,Despiece!$A$6:$A$705,$A32,Despiece!$E$6:$E$705,"Sublimada")*(1+Parametros!$B$22),IF(COUNTIFS(Despiece!$A$6:$A$705,$A32,Despiece!$E$6:$E$705,"Sublimada")=0,0,""))))</f>
        <v/>
      </c>
      <c r="Z32" s="10" t="str">
        <f aca="false">IF($A32="","",IFERROR(IF(ISNUMBER(Q32),IF(Q32=0,0,Q32*INDEX(Telas!$I$6:$I$105,MATCH(K32,Telas!$A$6:$A$105,0))),NA())+IF(ISNUMBER(T32),IF(T32=0,0,T32*INDEX(Telas!$I$6:$I$105,MATCH(L32,Telas!$A$6:$A$105,0))),NA())+IF(ISNUMBER(W32),IF(W32=0,0,W32*INDEX(Telas!$I$6:$I$105,MATCH(IF(M32="",K32,M32),Telas!$A$6:$A$105,0))),NA()),""))</f>
        <v/>
      </c>
      <c r="AA32" s="10" t="str">
        <f aca="false">IF($A32="","",IF(ISNUMBER(Y32),Y32*Parametros!$B$19,""))</f>
        <v/>
      </c>
      <c r="AB32" s="10" t="n">
        <f aca="false">IF(OR($A32="",F32=""),"",IFERROR(INDEX(Confeccion!$B$6:$B$125,MATCH(F32,Confeccion!$A$6:$A$125,0)),""))</f>
        <v>2300</v>
      </c>
      <c r="AC32" s="10" t="n">
        <f aca="false">IF($A32="","",IFERROR(N(H32)*IF(G32="",0,INDEX(Avios!$C$6:$C$65,MATCH(G32,Avios!$A$6:$A$65,0)))+N(J32)*IF(I32="",0,INDEX(Avios!$C$6:$C$65,MATCH(I32,Avios!$A$6:$A$65,0))),""))</f>
        <v>0</v>
      </c>
      <c r="AD32" s="11" t="str">
        <f aca="false">IF($A32="","",IFERROR(Z32+AA32+AB32+AC32,""))</f>
        <v/>
      </c>
      <c r="AE32" s="10" t="str">
        <f aca="false">IF(ISNUMBER(AD32),AD32*Parametros!$B$12,"")</f>
        <v/>
      </c>
      <c r="AF32" s="29" t="str">
        <f aca="false">IF(AND(ISNUMBER(Q32),K32&lt;&gt;""),IFERROR(1/(Q32*INDEX(Telas!$G$6:$G$105,MATCH(K32,Telas!$A$6:$A$105,0))),""),"")</f>
        <v/>
      </c>
      <c r="AG32" s="0" t="str">
        <f aca="false">IF($A32="","",IF(ISNUMBER(AD32),IF(AND(N(Y32)&gt;0,N(Parametros!$B$19)=0),"Lista, pero sin costo de impresión (Parametros)","Lista"),IF(Q32="","Consumo tela principal (Despiece o Mediciones). ","")&amp;IF(COUNTIFS(Mediciones!$C$6:$C$305,$A32,Mediciones!$K$6:$K$305,"")&gt;0,"Pesar 1 m de la tela medida (Telas, kg por metro). ","")&amp;IF(T32="","Consumo Tela 2. ","")&amp;IF(W32="","Consumo Tela 3. ","")&amp;IF(K32="","Elegir tela principal. ",IF(ISERROR(INDEX(Telas!$I$6:$I$105,MATCH(K32,Telas!$A$6:$A$105,0))*1),"Precio o peso por metro de "&amp;K32&amp;". ",""))&amp;IF(AND(N(T32)&gt;0,L32=""),"Elegir Tela 2. ",IF(AND(N(T32)&gt;0,ISERROR(INDEX(Telas!$I$6:$I$105,MATCH(L32,Telas!$A$6:$A$105,0))*1)),"Precio o peso por metro de "&amp;L32&amp;". ",""))&amp;IF(Y32="","Metros impresos. ","")&amp;IF(F32="","Tipo de confección. ",IF(AB32="","Precio de confección. ",""))))</f>
        <v>Consumo tela principal (Despiece o Mediciones). Consumo Tela 2. Elegir tela principal. Metros impresos. </v>
      </c>
      <c r="AH32" s="27" t="s">
        <v>95</v>
      </c>
    </row>
    <row r="33" customFormat="false" ht="15" hidden="false" customHeight="false" outlineLevel="0" collapsed="false">
      <c r="A33" s="27" t="s">
        <v>144</v>
      </c>
      <c r="B33" s="27" t="s">
        <v>143</v>
      </c>
      <c r="C33" s="27" t="s">
        <v>91</v>
      </c>
      <c r="D33" s="27" t="s">
        <v>92</v>
      </c>
      <c r="E33" s="27" t="s">
        <v>97</v>
      </c>
      <c r="F33" s="27" t="s">
        <v>128</v>
      </c>
      <c r="G33" s="8"/>
      <c r="H33" s="27"/>
      <c r="I33" s="8"/>
      <c r="J33" s="27"/>
      <c r="K33" s="8"/>
      <c r="L33" s="8"/>
      <c r="M33" s="8"/>
      <c r="N33" s="8"/>
      <c r="O33" s="9" t="str">
        <f aca="false">IF($A33="","",IF(COUNTIFS(Despiece!$A$6:$A$705,$A33,Despiece!$D$6:$D$705,"Tela principal",Despiece!$F$6:$F$705,"&gt;0")=0,"",SUMIFS(Despiece!$F$6:$F$705,Despiece!$A$6:$A$705,$A33,Despiece!$D$6:$D$705,"Tela principal")))</f>
        <v/>
      </c>
      <c r="P33" s="9" t="str">
        <f aca="false">IF($A33="","",IFERROR(AVERAGEIFS(Mediciones!$K$6:$K$305,Mediciones!$C$6:$C$305,$A33,Mediciones!$D$6:$D$305,"Tela principal"),""))</f>
        <v/>
      </c>
      <c r="Q33" s="28" t="str">
        <f aca="false">IF($A33="","",IF(N(IF($N33="Despiece",IF(ISNUMBER(O33),O33*(1+Parametros!$B$22),IF(COUNTIFS(Despiece!$A$6:$A$705,$A33,Despiece!$D$6:$D$705,"Tela principal")&gt;0,"",0)),IF($N33="Medición real",IF(ISNUMBER(P33),P33,IF(COUNTIFS(Mediciones!$C$6:$C$305,$A33,Mediciones!$D$6:$D$305,"Tela principal")&gt;0,"",0)),IF(ISNUMBER(P33),P33,IF(ISNUMBER(O33),O33*(1+Parametros!$B$22),IF(OR(COUNTIFS(Despiece!$A$6:$A$705,$A33,Despiece!$D$6:$D$705,"Tela principal")&gt;0,COUNTIFS(Mediciones!$C$6:$C$305,$A33,Mediciones!$D$6:$D$305,"Tela principal")&gt;0),"",0))))))=0,"",IF($N33="Despiece",IF(ISNUMBER(O33),O33*(1+Parametros!$B$22),IF(COUNTIFS(Despiece!$A$6:$A$705,$A33,Despiece!$D$6:$D$705,"Tela principal")&gt;0,"",0)),IF($N33="Medición real",IF(ISNUMBER(P33),P33,IF(COUNTIFS(Mediciones!$C$6:$C$305,$A33,Mediciones!$D$6:$D$305,"Tela principal")&gt;0,"",0)),IF(ISNUMBER(P33),P33,IF(ISNUMBER(O33),O33*(1+Parametros!$B$22),IF(OR(COUNTIFS(Despiece!$A$6:$A$705,$A33,Despiece!$D$6:$D$705,"Tela principal")&gt;0,COUNTIFS(Mediciones!$C$6:$C$305,$A33,Mediciones!$D$6:$D$305,"Tela principal")&gt;0),"",0)))))))</f>
        <v/>
      </c>
      <c r="R33" s="9" t="str">
        <f aca="false">IF($A33="","",IF(COUNTIFS(Despiece!$A$6:$A$705,$A33,Despiece!$D$6:$D$705,"Tela 2",Despiece!$F$6:$F$705,"&gt;0")=0,"",SUMIFS(Despiece!$F$6:$F$705,Despiece!$A$6:$A$705,$A33,Despiece!$D$6:$D$705,"Tela 2")))</f>
        <v/>
      </c>
      <c r="S33" s="9" t="str">
        <f aca="false">IF($A33="","",IFERROR(AVERAGEIFS(Mediciones!$K$6:$K$305,Mediciones!$C$6:$C$305,$A33,Mediciones!$D$6:$D$305,"Tela 2"),""))</f>
        <v/>
      </c>
      <c r="T33" s="28" t="str">
        <f aca="false">IF($A33="","",IF($N33="Despiece",IF(ISNUMBER(R33),R33*(1+Parametros!$B$22),IF(COUNTIFS(Despiece!$A$6:$A$705,$A33,Despiece!$D$6:$D$705,"Tela 2")&gt;0,"",0)),IF($N33="Medición real",IF(ISNUMBER(S33),S33,IF(COUNTIFS(Mediciones!$C$6:$C$305,$A33,Mediciones!$D$6:$D$305,"Tela 2")&gt;0,"",0)),IF(ISNUMBER(S33),S33,IF(ISNUMBER(R33),R33*(1+Parametros!$B$22),IF(OR(COUNTIFS(Despiece!$A$6:$A$705,$A33,Despiece!$D$6:$D$705,"Tela 2")&gt;0,COUNTIFS(Mediciones!$C$6:$C$305,$A33,Mediciones!$D$6:$D$305,"Tela 2")&gt;0),"",0))))))</f>
        <v/>
      </c>
      <c r="U33" s="9" t="str">
        <f aca="false">IF($A33="","",IF(COUNTIFS(Despiece!$A$6:$A$705,$A33,Despiece!$D$6:$D$705,"Tela 3",Despiece!$F$6:$F$705,"&gt;0")=0,"",SUMIFS(Despiece!$F$6:$F$705,Despiece!$A$6:$A$705,$A33,Despiece!$D$6:$D$705,"Tela 3")))</f>
        <v/>
      </c>
      <c r="V33" s="9" t="str">
        <f aca="false">IF($A33="","",IFERROR(AVERAGEIFS(Mediciones!$K$6:$K$305,Mediciones!$C$6:$C$305,$A33,Mediciones!$D$6:$D$305,"Tela 3"),""))</f>
        <v/>
      </c>
      <c r="W33" s="28" t="n">
        <f aca="false">IF($A33="","",IF($N33="Despiece",IF(ISNUMBER(U33),U33*(1+Parametros!$B$22),IF(COUNTIFS(Despiece!$A$6:$A$705,$A33,Despiece!$D$6:$D$705,"Tela 3")&gt;0,"",0)),IF($N33="Medición real",IF(ISNUMBER(V33),V33,IF(COUNTIFS(Mediciones!$C$6:$C$305,$A33,Mediciones!$D$6:$D$305,"Tela 3")&gt;0,"",0)),IF(ISNUMBER(V33),V33,IF(ISNUMBER(U33),U33*(1+Parametros!$B$22),IF(OR(COUNTIFS(Despiece!$A$6:$A$705,$A33,Despiece!$D$6:$D$705,"Tela 3")&gt;0,COUNTIFS(Mediciones!$C$6:$C$305,$A33,Mediciones!$D$6:$D$305,"Tela 3")&gt;0),"",0))))))</f>
        <v>0</v>
      </c>
      <c r="X33" s="27"/>
      <c r="Y33" s="9" t="str">
        <f aca="false">IF($A33="","",IF(ISNUMBER(X33),X33,IF(COUNTIFS(Despiece!$A$6:$A$705,$A33,Despiece!$E$6:$E$705,"Sublimada",Despiece!$F$6:$F$705,"&gt;0")&gt;0,SUMIFS(Despiece!$F$6:$F$705,Despiece!$A$6:$A$705,$A33,Despiece!$E$6:$E$705,"Sublimada")*(1+Parametros!$B$22),IF(COUNTIFS(Despiece!$A$6:$A$705,$A33,Despiece!$E$6:$E$705,"Sublimada")=0,0,""))))</f>
        <v/>
      </c>
      <c r="Z33" s="10" t="str">
        <f aca="false">IF($A33="","",IFERROR(IF(ISNUMBER(Q33),IF(Q33=0,0,Q33*INDEX(Telas!$I$6:$I$105,MATCH(K33,Telas!$A$6:$A$105,0))),NA())+IF(ISNUMBER(T33),IF(T33=0,0,T33*INDEX(Telas!$I$6:$I$105,MATCH(L33,Telas!$A$6:$A$105,0))),NA())+IF(ISNUMBER(W33),IF(W33=0,0,W33*INDEX(Telas!$I$6:$I$105,MATCH(IF(M33="",K33,M33),Telas!$A$6:$A$105,0))),NA()),""))</f>
        <v/>
      </c>
      <c r="AA33" s="10" t="str">
        <f aca="false">IF($A33="","",IF(ISNUMBER(Y33),Y33*Parametros!$B$19,""))</f>
        <v/>
      </c>
      <c r="AB33" s="10" t="n">
        <f aca="false">IF(OR($A33="",F33=""),"",IFERROR(INDEX(Confeccion!$B$6:$B$125,MATCH(F33,Confeccion!$A$6:$A$125,0)),""))</f>
        <v>2300</v>
      </c>
      <c r="AC33" s="10" t="n">
        <f aca="false">IF($A33="","",IFERROR(N(H33)*IF(G33="",0,INDEX(Avios!$C$6:$C$65,MATCH(G33,Avios!$A$6:$A$65,0)))+N(J33)*IF(I33="",0,INDEX(Avios!$C$6:$C$65,MATCH(I33,Avios!$A$6:$A$65,0))),""))</f>
        <v>0</v>
      </c>
      <c r="AD33" s="11" t="str">
        <f aca="false">IF($A33="","",IFERROR(Z33+AA33+AB33+AC33,""))</f>
        <v/>
      </c>
      <c r="AE33" s="10" t="str">
        <f aca="false">IF(ISNUMBER(AD33),AD33*Parametros!$B$12,"")</f>
        <v/>
      </c>
      <c r="AF33" s="29" t="str">
        <f aca="false">IF(AND(ISNUMBER(Q33),K33&lt;&gt;""),IFERROR(1/(Q33*INDEX(Telas!$G$6:$G$105,MATCH(K33,Telas!$A$6:$A$105,0))),""),"")</f>
        <v/>
      </c>
      <c r="AG33" s="0" t="str">
        <f aca="false">IF($A33="","",IF(ISNUMBER(AD33),IF(AND(N(Y33)&gt;0,N(Parametros!$B$19)=0),"Lista, pero sin costo de impresión (Parametros)","Lista"),IF(Q33="","Consumo tela principal (Despiece o Mediciones). ","")&amp;IF(COUNTIFS(Mediciones!$C$6:$C$305,$A33,Mediciones!$K$6:$K$305,"")&gt;0,"Pesar 1 m de la tela medida (Telas, kg por metro). ","")&amp;IF(T33="","Consumo Tela 2. ","")&amp;IF(W33="","Consumo Tela 3. ","")&amp;IF(K33="","Elegir tela principal. ",IF(ISERROR(INDEX(Telas!$I$6:$I$105,MATCH(K33,Telas!$A$6:$A$105,0))*1),"Precio o peso por metro de "&amp;K33&amp;". ",""))&amp;IF(AND(N(T33)&gt;0,L33=""),"Elegir Tela 2. ",IF(AND(N(T33)&gt;0,ISERROR(INDEX(Telas!$I$6:$I$105,MATCH(L33,Telas!$A$6:$A$105,0))*1)),"Precio o peso por metro de "&amp;L33&amp;". ",""))&amp;IF(Y33="","Metros impresos. ","")&amp;IF(F33="","Tipo de confección. ",IF(AB33="","Precio de confección. ",""))))</f>
        <v>Consumo tela principal (Despiece o Mediciones). Consumo Tela 2. Elegir tela principal. Metros impresos. </v>
      </c>
      <c r="AH33" s="27" t="s">
        <v>95</v>
      </c>
    </row>
    <row r="34" customFormat="false" ht="15" hidden="false" customHeight="false" outlineLevel="0" collapsed="false">
      <c r="A34" s="27" t="s">
        <v>145</v>
      </c>
      <c r="B34" s="27" t="s">
        <v>146</v>
      </c>
      <c r="C34" s="27" t="s">
        <v>147</v>
      </c>
      <c r="D34" s="27" t="s">
        <v>92</v>
      </c>
      <c r="E34" s="27" t="s">
        <v>93</v>
      </c>
      <c r="F34" s="27" t="s">
        <v>148</v>
      </c>
      <c r="G34" s="8"/>
      <c r="H34" s="27"/>
      <c r="I34" s="8"/>
      <c r="J34" s="27"/>
      <c r="K34" s="8"/>
      <c r="L34" s="8"/>
      <c r="M34" s="8"/>
      <c r="N34" s="8"/>
      <c r="O34" s="9" t="str">
        <f aca="false">IF($A34="","",IF(COUNTIFS(Despiece!$A$6:$A$705,$A34,Despiece!$D$6:$D$705,"Tela principal",Despiece!$F$6:$F$705,"&gt;0")=0,"",SUMIFS(Despiece!$F$6:$F$705,Despiece!$A$6:$A$705,$A34,Despiece!$D$6:$D$705,"Tela principal")))</f>
        <v/>
      </c>
      <c r="P34" s="9" t="str">
        <f aca="false">IF($A34="","",IFERROR(AVERAGEIFS(Mediciones!$K$6:$K$305,Mediciones!$C$6:$C$305,$A34,Mediciones!$D$6:$D$305,"Tela principal"),""))</f>
        <v/>
      </c>
      <c r="Q34" s="28" t="str">
        <f aca="false">IF($A34="","",IF(N(IF($N34="Despiece",IF(ISNUMBER(O34),O34*(1+Parametros!$B$22),IF(COUNTIFS(Despiece!$A$6:$A$705,$A34,Despiece!$D$6:$D$705,"Tela principal")&gt;0,"",0)),IF($N34="Medición real",IF(ISNUMBER(P34),P34,IF(COUNTIFS(Mediciones!$C$6:$C$305,$A34,Mediciones!$D$6:$D$305,"Tela principal")&gt;0,"",0)),IF(ISNUMBER(P34),P34,IF(ISNUMBER(O34),O34*(1+Parametros!$B$22),IF(OR(COUNTIFS(Despiece!$A$6:$A$705,$A34,Despiece!$D$6:$D$705,"Tela principal")&gt;0,COUNTIFS(Mediciones!$C$6:$C$305,$A34,Mediciones!$D$6:$D$305,"Tela principal")&gt;0),"",0))))))=0,"",IF($N34="Despiece",IF(ISNUMBER(O34),O34*(1+Parametros!$B$22),IF(COUNTIFS(Despiece!$A$6:$A$705,$A34,Despiece!$D$6:$D$705,"Tela principal")&gt;0,"",0)),IF($N34="Medición real",IF(ISNUMBER(P34),P34,IF(COUNTIFS(Mediciones!$C$6:$C$305,$A34,Mediciones!$D$6:$D$305,"Tela principal")&gt;0,"",0)),IF(ISNUMBER(P34),P34,IF(ISNUMBER(O34),O34*(1+Parametros!$B$22),IF(OR(COUNTIFS(Despiece!$A$6:$A$705,$A34,Despiece!$D$6:$D$705,"Tela principal")&gt;0,COUNTIFS(Mediciones!$C$6:$C$305,$A34,Mediciones!$D$6:$D$305,"Tela principal")&gt;0),"",0)))))))</f>
        <v/>
      </c>
      <c r="R34" s="9" t="str">
        <f aca="false">IF($A34="","",IF(COUNTIFS(Despiece!$A$6:$A$705,$A34,Despiece!$D$6:$D$705,"Tela 2",Despiece!$F$6:$F$705,"&gt;0")=0,"",SUMIFS(Despiece!$F$6:$F$705,Despiece!$A$6:$A$705,$A34,Despiece!$D$6:$D$705,"Tela 2")))</f>
        <v/>
      </c>
      <c r="S34" s="9" t="str">
        <f aca="false">IF($A34="","",IFERROR(AVERAGEIFS(Mediciones!$K$6:$K$305,Mediciones!$C$6:$C$305,$A34,Mediciones!$D$6:$D$305,"Tela 2"),""))</f>
        <v/>
      </c>
      <c r="T34" s="28" t="n">
        <f aca="false">IF($A34="","",IF($N34="Despiece",IF(ISNUMBER(R34),R34*(1+Parametros!$B$22),IF(COUNTIFS(Despiece!$A$6:$A$705,$A34,Despiece!$D$6:$D$705,"Tela 2")&gt;0,"",0)),IF($N34="Medición real",IF(ISNUMBER(S34),S34,IF(COUNTIFS(Mediciones!$C$6:$C$305,$A34,Mediciones!$D$6:$D$305,"Tela 2")&gt;0,"",0)),IF(ISNUMBER(S34),S34,IF(ISNUMBER(R34),R34*(1+Parametros!$B$22),IF(OR(COUNTIFS(Despiece!$A$6:$A$705,$A34,Despiece!$D$6:$D$705,"Tela 2")&gt;0,COUNTIFS(Mediciones!$C$6:$C$305,$A34,Mediciones!$D$6:$D$305,"Tela 2")&gt;0),"",0))))))</f>
        <v>0</v>
      </c>
      <c r="U34" s="9" t="str">
        <f aca="false">IF($A34="","",IF(COUNTIFS(Despiece!$A$6:$A$705,$A34,Despiece!$D$6:$D$705,"Tela 3",Despiece!$F$6:$F$705,"&gt;0")=0,"",SUMIFS(Despiece!$F$6:$F$705,Despiece!$A$6:$A$705,$A34,Despiece!$D$6:$D$705,"Tela 3")))</f>
        <v/>
      </c>
      <c r="V34" s="9" t="str">
        <f aca="false">IF($A34="","",IFERROR(AVERAGEIFS(Mediciones!$K$6:$K$305,Mediciones!$C$6:$C$305,$A34,Mediciones!$D$6:$D$305,"Tela 3"),""))</f>
        <v/>
      </c>
      <c r="W34" s="28" t="n">
        <f aca="false">IF($A34="","",IF($N34="Despiece",IF(ISNUMBER(U34),U34*(1+Parametros!$B$22),IF(COUNTIFS(Despiece!$A$6:$A$705,$A34,Despiece!$D$6:$D$705,"Tela 3")&gt;0,"",0)),IF($N34="Medición real",IF(ISNUMBER(V34),V34,IF(COUNTIFS(Mediciones!$C$6:$C$305,$A34,Mediciones!$D$6:$D$305,"Tela 3")&gt;0,"",0)),IF(ISNUMBER(V34),V34,IF(ISNUMBER(U34),U34*(1+Parametros!$B$22),IF(OR(COUNTIFS(Despiece!$A$6:$A$705,$A34,Despiece!$D$6:$D$705,"Tela 3")&gt;0,COUNTIFS(Mediciones!$C$6:$C$305,$A34,Mediciones!$D$6:$D$305,"Tela 3")&gt;0),"",0))))))</f>
        <v>0</v>
      </c>
      <c r="X34" s="27"/>
      <c r="Y34" s="9" t="str">
        <f aca="false">IF($A34="","",IF(ISNUMBER(X34),X34,IF(COUNTIFS(Despiece!$A$6:$A$705,$A34,Despiece!$E$6:$E$705,"Sublimada",Despiece!$F$6:$F$705,"&gt;0")&gt;0,SUMIFS(Despiece!$F$6:$F$705,Despiece!$A$6:$A$705,$A34,Despiece!$E$6:$E$705,"Sublimada")*(1+Parametros!$B$22),IF(COUNTIFS(Despiece!$A$6:$A$705,$A34,Despiece!$E$6:$E$705,"Sublimada")=0,0,""))))</f>
        <v/>
      </c>
      <c r="Z34" s="10" t="str">
        <f aca="false">IF($A34="","",IFERROR(IF(ISNUMBER(Q34),IF(Q34=0,0,Q34*INDEX(Telas!$I$6:$I$105,MATCH(K34,Telas!$A$6:$A$105,0))),NA())+IF(ISNUMBER(T34),IF(T34=0,0,T34*INDEX(Telas!$I$6:$I$105,MATCH(L34,Telas!$A$6:$A$105,0))),NA())+IF(ISNUMBER(W34),IF(W34=0,0,W34*INDEX(Telas!$I$6:$I$105,MATCH(IF(M34="",K34,M34),Telas!$A$6:$A$105,0))),NA()),""))</f>
        <v/>
      </c>
      <c r="AA34" s="10" t="str">
        <f aca="false">IF($A34="","",IF(ISNUMBER(Y34),Y34*Parametros!$B$19,""))</f>
        <v/>
      </c>
      <c r="AB34" s="10" t="n">
        <f aca="false">IF(OR($A34="",F34=""),"",IFERROR(INDEX(Confeccion!$B$6:$B$125,MATCH(F34,Confeccion!$A$6:$A$125,0)),""))</f>
        <v>1900</v>
      </c>
      <c r="AC34" s="10" t="n">
        <f aca="false">IF($A34="","",IFERROR(N(H34)*IF(G34="",0,INDEX(Avios!$C$6:$C$65,MATCH(G34,Avios!$A$6:$A$65,0)))+N(J34)*IF(I34="",0,INDEX(Avios!$C$6:$C$65,MATCH(I34,Avios!$A$6:$A$65,0))),""))</f>
        <v>0</v>
      </c>
      <c r="AD34" s="11" t="str">
        <f aca="false">IF($A34="","",IFERROR(Z34+AA34+AB34+AC34,""))</f>
        <v/>
      </c>
      <c r="AE34" s="10" t="str">
        <f aca="false">IF(ISNUMBER(AD34),AD34*Parametros!$B$12,"")</f>
        <v/>
      </c>
      <c r="AF34" s="29" t="str">
        <f aca="false">IF(AND(ISNUMBER(Q34),K34&lt;&gt;""),IFERROR(1/(Q34*INDEX(Telas!$G$6:$G$105,MATCH(K34,Telas!$A$6:$A$105,0))),""),"")</f>
        <v/>
      </c>
      <c r="AG34" s="0" t="str">
        <f aca="false">IF($A34="","",IF(ISNUMBER(AD34),IF(AND(N(Y34)&gt;0,N(Parametros!$B$19)=0),"Lista, pero sin costo de impresión (Parametros)","Lista"),IF(Q34="","Consumo tela principal (Despiece o Mediciones). ","")&amp;IF(COUNTIFS(Mediciones!$C$6:$C$305,$A34,Mediciones!$K$6:$K$305,"")&gt;0,"Pesar 1 m de la tela medida (Telas, kg por metro). ","")&amp;IF(T34="","Consumo Tela 2. ","")&amp;IF(W34="","Consumo Tela 3. ","")&amp;IF(K34="","Elegir tela principal. ",IF(ISERROR(INDEX(Telas!$I$6:$I$105,MATCH(K34,Telas!$A$6:$A$105,0))*1),"Precio o peso por metro de "&amp;K34&amp;". ",""))&amp;IF(AND(N(T34)&gt;0,L34=""),"Elegir Tela 2. ",IF(AND(N(T34)&gt;0,ISERROR(INDEX(Telas!$I$6:$I$105,MATCH(L34,Telas!$A$6:$A$105,0))*1)),"Precio o peso por metro de "&amp;L34&amp;". ",""))&amp;IF(Y34="","Metros impresos. ","")&amp;IF(F34="","Tipo de confección. ",IF(AB34="","Precio de confección. ",""))))</f>
        <v>Consumo tela principal (Despiece o Mediciones). Elegir tela principal. Metros impresos. </v>
      </c>
      <c r="AH34" s="27" t="s">
        <v>95</v>
      </c>
    </row>
    <row r="35" customFormat="false" ht="15" hidden="false" customHeight="false" outlineLevel="0" collapsed="false">
      <c r="A35" s="27" t="s">
        <v>149</v>
      </c>
      <c r="B35" s="27" t="s">
        <v>146</v>
      </c>
      <c r="C35" s="27" t="s">
        <v>147</v>
      </c>
      <c r="D35" s="27" t="s">
        <v>92</v>
      </c>
      <c r="E35" s="27" t="s">
        <v>97</v>
      </c>
      <c r="F35" s="27" t="s">
        <v>148</v>
      </c>
      <c r="G35" s="8"/>
      <c r="H35" s="27"/>
      <c r="I35" s="8"/>
      <c r="J35" s="27"/>
      <c r="K35" s="8" t="s">
        <v>150</v>
      </c>
      <c r="L35" s="8"/>
      <c r="M35" s="8"/>
      <c r="N35" s="8"/>
      <c r="O35" s="9" t="str">
        <f aca="false">IF($A35="","",IF(COUNTIFS(Despiece!$A$6:$A$705,$A35,Despiece!$D$6:$D$705,"Tela principal",Despiece!$F$6:$F$705,"&gt;0")=0,"",SUMIFS(Despiece!$F$6:$F$705,Despiece!$A$6:$A$705,$A35,Despiece!$D$6:$D$705,"Tela principal")))</f>
        <v/>
      </c>
      <c r="P35" s="9" t="str">
        <f aca="false">IF($A35="","",IFERROR(AVERAGEIFS(Mediciones!$K$6:$K$305,Mediciones!$C$6:$C$305,$A35,Mediciones!$D$6:$D$305,"Tela principal"),""))</f>
        <v/>
      </c>
      <c r="Q35" s="28" t="str">
        <f aca="false">IF($A35="","",IF(N(IF($N35="Despiece",IF(ISNUMBER(O35),O35*(1+Parametros!$B$22),IF(COUNTIFS(Despiece!$A$6:$A$705,$A35,Despiece!$D$6:$D$705,"Tela principal")&gt;0,"",0)),IF($N35="Medición real",IF(ISNUMBER(P35),P35,IF(COUNTIFS(Mediciones!$C$6:$C$305,$A35,Mediciones!$D$6:$D$305,"Tela principal")&gt;0,"",0)),IF(ISNUMBER(P35),P35,IF(ISNUMBER(O35),O35*(1+Parametros!$B$22),IF(OR(COUNTIFS(Despiece!$A$6:$A$705,$A35,Despiece!$D$6:$D$705,"Tela principal")&gt;0,COUNTIFS(Mediciones!$C$6:$C$305,$A35,Mediciones!$D$6:$D$305,"Tela principal")&gt;0),"",0))))))=0,"",IF($N35="Despiece",IF(ISNUMBER(O35),O35*(1+Parametros!$B$22),IF(COUNTIFS(Despiece!$A$6:$A$705,$A35,Despiece!$D$6:$D$705,"Tela principal")&gt;0,"",0)),IF($N35="Medición real",IF(ISNUMBER(P35),P35,IF(COUNTIFS(Mediciones!$C$6:$C$305,$A35,Mediciones!$D$6:$D$305,"Tela principal")&gt;0,"",0)),IF(ISNUMBER(P35),P35,IF(ISNUMBER(O35),O35*(1+Parametros!$B$22),IF(OR(COUNTIFS(Despiece!$A$6:$A$705,$A35,Despiece!$D$6:$D$705,"Tela principal")&gt;0,COUNTIFS(Mediciones!$C$6:$C$305,$A35,Mediciones!$D$6:$D$305,"Tela principal")&gt;0),"",0)))))))</f>
        <v/>
      </c>
      <c r="R35" s="9" t="str">
        <f aca="false">IF($A35="","",IF(COUNTIFS(Despiece!$A$6:$A$705,$A35,Despiece!$D$6:$D$705,"Tela 2",Despiece!$F$6:$F$705,"&gt;0")=0,"",SUMIFS(Despiece!$F$6:$F$705,Despiece!$A$6:$A$705,$A35,Despiece!$D$6:$D$705,"Tela 2")))</f>
        <v/>
      </c>
      <c r="S35" s="9" t="str">
        <f aca="false">IF($A35="","",IFERROR(AVERAGEIFS(Mediciones!$K$6:$K$305,Mediciones!$C$6:$C$305,$A35,Mediciones!$D$6:$D$305,"Tela 2"),""))</f>
        <v/>
      </c>
      <c r="T35" s="28" t="n">
        <f aca="false">IF($A35="","",IF($N35="Despiece",IF(ISNUMBER(R35),R35*(1+Parametros!$B$22),IF(COUNTIFS(Despiece!$A$6:$A$705,$A35,Despiece!$D$6:$D$705,"Tela 2")&gt;0,"",0)),IF($N35="Medición real",IF(ISNUMBER(S35),S35,IF(COUNTIFS(Mediciones!$C$6:$C$305,$A35,Mediciones!$D$6:$D$305,"Tela 2")&gt;0,"",0)),IF(ISNUMBER(S35),S35,IF(ISNUMBER(R35),R35*(1+Parametros!$B$22),IF(OR(COUNTIFS(Despiece!$A$6:$A$705,$A35,Despiece!$D$6:$D$705,"Tela 2")&gt;0,COUNTIFS(Mediciones!$C$6:$C$305,$A35,Mediciones!$D$6:$D$305,"Tela 2")&gt;0),"",0))))))</f>
        <v>0</v>
      </c>
      <c r="U35" s="9" t="str">
        <f aca="false">IF($A35="","",IF(COUNTIFS(Despiece!$A$6:$A$705,$A35,Despiece!$D$6:$D$705,"Tela 3",Despiece!$F$6:$F$705,"&gt;0")=0,"",SUMIFS(Despiece!$F$6:$F$705,Despiece!$A$6:$A$705,$A35,Despiece!$D$6:$D$705,"Tela 3")))</f>
        <v/>
      </c>
      <c r="V35" s="9" t="str">
        <f aca="false">IF($A35="","",IFERROR(AVERAGEIFS(Mediciones!$K$6:$K$305,Mediciones!$C$6:$C$305,$A35,Mediciones!$D$6:$D$305,"Tela 3"),""))</f>
        <v/>
      </c>
      <c r="W35" s="28" t="n">
        <f aca="false">IF($A35="","",IF($N35="Despiece",IF(ISNUMBER(U35),U35*(1+Parametros!$B$22),IF(COUNTIFS(Despiece!$A$6:$A$705,$A35,Despiece!$D$6:$D$705,"Tela 3")&gt;0,"",0)),IF($N35="Medición real",IF(ISNUMBER(V35),V35,IF(COUNTIFS(Mediciones!$C$6:$C$305,$A35,Mediciones!$D$6:$D$305,"Tela 3")&gt;0,"",0)),IF(ISNUMBER(V35),V35,IF(ISNUMBER(U35),U35*(1+Parametros!$B$22),IF(OR(COUNTIFS(Despiece!$A$6:$A$705,$A35,Despiece!$D$6:$D$705,"Tela 3")&gt;0,COUNTIFS(Mediciones!$C$6:$C$305,$A35,Mediciones!$D$6:$D$305,"Tela 3")&gt;0),"",0))))))</f>
        <v>0</v>
      </c>
      <c r="X35" s="27"/>
      <c r="Y35" s="9" t="str">
        <f aca="false">IF($A35="","",IF(ISNUMBER(X35),X35,IF(COUNTIFS(Despiece!$A$6:$A$705,$A35,Despiece!$E$6:$E$705,"Sublimada",Despiece!$F$6:$F$705,"&gt;0")&gt;0,SUMIFS(Despiece!$F$6:$F$705,Despiece!$A$6:$A$705,$A35,Despiece!$E$6:$E$705,"Sublimada")*(1+Parametros!$B$22),IF(COUNTIFS(Despiece!$A$6:$A$705,$A35,Despiece!$E$6:$E$705,"Sublimada")=0,0,""))))</f>
        <v/>
      </c>
      <c r="Z35" s="10" t="str">
        <f aca="false">IF($A35="","",IFERROR(IF(ISNUMBER(Q35),IF(Q35=0,0,Q35*INDEX(Telas!$I$6:$I$105,MATCH(K35,Telas!$A$6:$A$105,0))),NA())+IF(ISNUMBER(T35),IF(T35=0,0,T35*INDEX(Telas!$I$6:$I$105,MATCH(L35,Telas!$A$6:$A$105,0))),NA())+IF(ISNUMBER(W35),IF(W35=0,0,W35*INDEX(Telas!$I$6:$I$105,MATCH(IF(M35="",K35,M35),Telas!$A$6:$A$105,0))),NA()),""))</f>
        <v/>
      </c>
      <c r="AA35" s="10" t="str">
        <f aca="false">IF($A35="","",IF(ISNUMBER(Y35),Y35*Parametros!$B$19,""))</f>
        <v/>
      </c>
      <c r="AB35" s="10" t="n">
        <f aca="false">IF(OR($A35="",F35=""),"",IFERROR(INDEX(Confeccion!$B$6:$B$125,MATCH(F35,Confeccion!$A$6:$A$125,0)),""))</f>
        <v>1900</v>
      </c>
      <c r="AC35" s="10" t="n">
        <f aca="false">IF($A35="","",IFERROR(N(H35)*IF(G35="",0,INDEX(Avios!$C$6:$C$65,MATCH(G35,Avios!$A$6:$A$65,0)))+N(J35)*IF(I35="",0,INDEX(Avios!$C$6:$C$65,MATCH(I35,Avios!$A$6:$A$65,0))),""))</f>
        <v>0</v>
      </c>
      <c r="AD35" s="11" t="str">
        <f aca="false">IF($A35="","",IFERROR(Z35+AA35+AB35+AC35,""))</f>
        <v/>
      </c>
      <c r="AE35" s="10" t="str">
        <f aca="false">IF(ISNUMBER(AD35),AD35*Parametros!$B$12,"")</f>
        <v/>
      </c>
      <c r="AF35" s="29" t="str">
        <f aca="false">IF(AND(ISNUMBER(Q35),K35&lt;&gt;""),IFERROR(1/(Q35*INDEX(Telas!$G$6:$G$105,MATCH(K35,Telas!$A$6:$A$105,0))),""),"")</f>
        <v/>
      </c>
      <c r="AG35" s="0" t="str">
        <f aca="false">IF($A35="","",IF(ISNUMBER(AD35),IF(AND(N(Y35)&gt;0,N(Parametros!$B$19)=0),"Lista, pero sin costo de impresión (Parametros)","Lista"),IF(Q35="","Consumo tela principal (Despiece o Mediciones). ","")&amp;IF(COUNTIFS(Mediciones!$C$6:$C$305,$A35,Mediciones!$K$6:$K$305,"")&gt;0,"Pesar 1 m de la tela medida (Telas, kg por metro). ","")&amp;IF(T35="","Consumo Tela 2. ","")&amp;IF(W35="","Consumo Tela 3. ","")&amp;IF(K35="","Elegir tela principal. ",IF(ISERROR(INDEX(Telas!$I$6:$I$105,MATCH(K35,Telas!$A$6:$A$105,0))*1),"Precio o peso por metro de "&amp;K35&amp;". ",""))&amp;IF(AND(N(T35)&gt;0,L35=""),"Elegir Tela 2. ",IF(AND(N(T35)&gt;0,ISERROR(INDEX(Telas!$I$6:$I$105,MATCH(L35,Telas!$A$6:$A$105,0))*1)),"Precio o peso por metro de "&amp;L35&amp;". ",""))&amp;IF(Y35="","Metros impresos. ","")&amp;IF(F35="","Tipo de confección. ",IF(AB35="","Precio de confección. ",""))))</f>
        <v>Consumo tela principal (Despiece o Mediciones). Pesar 1 m de la tela medida (Telas, kg por metro). Precio o peso por metro de QUICKDRY. Metros impresos. </v>
      </c>
      <c r="AH35" s="27" t="s">
        <v>151</v>
      </c>
    </row>
    <row r="36" customFormat="false" ht="15" hidden="false" customHeight="false" outlineLevel="0" collapsed="false">
      <c r="A36" s="27" t="s">
        <v>152</v>
      </c>
      <c r="B36" s="27" t="s">
        <v>153</v>
      </c>
      <c r="C36" s="27" t="s">
        <v>147</v>
      </c>
      <c r="D36" s="27" t="s">
        <v>92</v>
      </c>
      <c r="E36" s="27" t="s">
        <v>100</v>
      </c>
      <c r="F36" s="27" t="s">
        <v>148</v>
      </c>
      <c r="G36" s="8"/>
      <c r="H36" s="27"/>
      <c r="I36" s="8"/>
      <c r="J36" s="27"/>
      <c r="K36" s="8"/>
      <c r="L36" s="8"/>
      <c r="M36" s="8"/>
      <c r="N36" s="8"/>
      <c r="O36" s="9" t="str">
        <f aca="false">IF($A36="","",IF(COUNTIFS(Despiece!$A$6:$A$705,$A36,Despiece!$D$6:$D$705,"Tela principal",Despiece!$F$6:$F$705,"&gt;0")=0,"",SUMIFS(Despiece!$F$6:$F$705,Despiece!$A$6:$A$705,$A36,Despiece!$D$6:$D$705,"Tela principal")))</f>
        <v/>
      </c>
      <c r="P36" s="9" t="str">
        <f aca="false">IF($A36="","",IFERROR(AVERAGEIFS(Mediciones!$K$6:$K$305,Mediciones!$C$6:$C$305,$A36,Mediciones!$D$6:$D$305,"Tela principal"),""))</f>
        <v/>
      </c>
      <c r="Q36" s="28" t="str">
        <f aca="false">IF($A36="","",IF(N(IF($N36="Despiece",IF(ISNUMBER(O36),O36*(1+Parametros!$B$22),IF(COUNTIFS(Despiece!$A$6:$A$705,$A36,Despiece!$D$6:$D$705,"Tela principal")&gt;0,"",0)),IF($N36="Medición real",IF(ISNUMBER(P36),P36,IF(COUNTIFS(Mediciones!$C$6:$C$305,$A36,Mediciones!$D$6:$D$305,"Tela principal")&gt;0,"",0)),IF(ISNUMBER(P36),P36,IF(ISNUMBER(O36),O36*(1+Parametros!$B$22),IF(OR(COUNTIFS(Despiece!$A$6:$A$705,$A36,Despiece!$D$6:$D$705,"Tela principal")&gt;0,COUNTIFS(Mediciones!$C$6:$C$305,$A36,Mediciones!$D$6:$D$305,"Tela principal")&gt;0),"",0))))))=0,"",IF($N36="Despiece",IF(ISNUMBER(O36),O36*(1+Parametros!$B$22),IF(COUNTIFS(Despiece!$A$6:$A$705,$A36,Despiece!$D$6:$D$705,"Tela principal")&gt;0,"",0)),IF($N36="Medición real",IF(ISNUMBER(P36),P36,IF(COUNTIFS(Mediciones!$C$6:$C$305,$A36,Mediciones!$D$6:$D$305,"Tela principal")&gt;0,"",0)),IF(ISNUMBER(P36),P36,IF(ISNUMBER(O36),O36*(1+Parametros!$B$22),IF(OR(COUNTIFS(Despiece!$A$6:$A$705,$A36,Despiece!$D$6:$D$705,"Tela principal")&gt;0,COUNTIFS(Mediciones!$C$6:$C$305,$A36,Mediciones!$D$6:$D$305,"Tela principal")&gt;0),"",0)))))))</f>
        <v/>
      </c>
      <c r="R36" s="9" t="str">
        <f aca="false">IF($A36="","",IF(COUNTIFS(Despiece!$A$6:$A$705,$A36,Despiece!$D$6:$D$705,"Tela 2",Despiece!$F$6:$F$705,"&gt;0")=0,"",SUMIFS(Despiece!$F$6:$F$705,Despiece!$A$6:$A$705,$A36,Despiece!$D$6:$D$705,"Tela 2")))</f>
        <v/>
      </c>
      <c r="S36" s="9" t="str">
        <f aca="false">IF($A36="","",IFERROR(AVERAGEIFS(Mediciones!$K$6:$K$305,Mediciones!$C$6:$C$305,$A36,Mediciones!$D$6:$D$305,"Tela 2"),""))</f>
        <v/>
      </c>
      <c r="T36" s="28" t="n">
        <f aca="false">IF($A36="","",IF($N36="Despiece",IF(ISNUMBER(R36),R36*(1+Parametros!$B$22),IF(COUNTIFS(Despiece!$A$6:$A$705,$A36,Despiece!$D$6:$D$705,"Tela 2")&gt;0,"",0)),IF($N36="Medición real",IF(ISNUMBER(S36),S36,IF(COUNTIFS(Mediciones!$C$6:$C$305,$A36,Mediciones!$D$6:$D$305,"Tela 2")&gt;0,"",0)),IF(ISNUMBER(S36),S36,IF(ISNUMBER(R36),R36*(1+Parametros!$B$22),IF(OR(COUNTIFS(Despiece!$A$6:$A$705,$A36,Despiece!$D$6:$D$705,"Tela 2")&gt;0,COUNTIFS(Mediciones!$C$6:$C$305,$A36,Mediciones!$D$6:$D$305,"Tela 2")&gt;0),"",0))))))</f>
        <v>0</v>
      </c>
      <c r="U36" s="9" t="str">
        <f aca="false">IF($A36="","",IF(COUNTIFS(Despiece!$A$6:$A$705,$A36,Despiece!$D$6:$D$705,"Tela 3",Despiece!$F$6:$F$705,"&gt;0")=0,"",SUMIFS(Despiece!$F$6:$F$705,Despiece!$A$6:$A$705,$A36,Despiece!$D$6:$D$705,"Tela 3")))</f>
        <v/>
      </c>
      <c r="V36" s="9" t="str">
        <f aca="false">IF($A36="","",IFERROR(AVERAGEIFS(Mediciones!$K$6:$K$305,Mediciones!$C$6:$C$305,$A36,Mediciones!$D$6:$D$305,"Tela 3"),""))</f>
        <v/>
      </c>
      <c r="W36" s="28" t="n">
        <f aca="false">IF($A36="","",IF($N36="Despiece",IF(ISNUMBER(U36),U36*(1+Parametros!$B$22),IF(COUNTIFS(Despiece!$A$6:$A$705,$A36,Despiece!$D$6:$D$705,"Tela 3")&gt;0,"",0)),IF($N36="Medición real",IF(ISNUMBER(V36),V36,IF(COUNTIFS(Mediciones!$C$6:$C$305,$A36,Mediciones!$D$6:$D$305,"Tela 3")&gt;0,"",0)),IF(ISNUMBER(V36),V36,IF(ISNUMBER(U36),U36*(1+Parametros!$B$22),IF(OR(COUNTIFS(Despiece!$A$6:$A$705,$A36,Despiece!$D$6:$D$705,"Tela 3")&gt;0,COUNTIFS(Mediciones!$C$6:$C$305,$A36,Mediciones!$D$6:$D$305,"Tela 3")&gt;0),"",0))))))</f>
        <v>0</v>
      </c>
      <c r="X36" s="27"/>
      <c r="Y36" s="9" t="str">
        <f aca="false">IF($A36="","",IF(ISNUMBER(X36),X36,IF(COUNTIFS(Despiece!$A$6:$A$705,$A36,Despiece!$E$6:$E$705,"Sublimada",Despiece!$F$6:$F$705,"&gt;0")&gt;0,SUMIFS(Despiece!$F$6:$F$705,Despiece!$A$6:$A$705,$A36,Despiece!$E$6:$E$705,"Sublimada")*(1+Parametros!$B$22),IF(COUNTIFS(Despiece!$A$6:$A$705,$A36,Despiece!$E$6:$E$705,"Sublimada")=0,0,""))))</f>
        <v/>
      </c>
      <c r="Z36" s="10" t="str">
        <f aca="false">IF($A36="","",IFERROR(IF(ISNUMBER(Q36),IF(Q36=0,0,Q36*INDEX(Telas!$I$6:$I$105,MATCH(K36,Telas!$A$6:$A$105,0))),NA())+IF(ISNUMBER(T36),IF(T36=0,0,T36*INDEX(Telas!$I$6:$I$105,MATCH(L36,Telas!$A$6:$A$105,0))),NA())+IF(ISNUMBER(W36),IF(W36=0,0,W36*INDEX(Telas!$I$6:$I$105,MATCH(IF(M36="",K36,M36),Telas!$A$6:$A$105,0))),NA()),""))</f>
        <v/>
      </c>
      <c r="AA36" s="10" t="str">
        <f aca="false">IF($A36="","",IF(ISNUMBER(Y36),Y36*Parametros!$B$19,""))</f>
        <v/>
      </c>
      <c r="AB36" s="10" t="n">
        <f aca="false">IF(OR($A36="",F36=""),"",IFERROR(INDEX(Confeccion!$B$6:$B$125,MATCH(F36,Confeccion!$A$6:$A$125,0)),""))</f>
        <v>1900</v>
      </c>
      <c r="AC36" s="10" t="n">
        <f aca="false">IF($A36="","",IFERROR(N(H36)*IF(G36="",0,INDEX(Avios!$C$6:$C$65,MATCH(G36,Avios!$A$6:$A$65,0)))+N(J36)*IF(I36="",0,INDEX(Avios!$C$6:$C$65,MATCH(I36,Avios!$A$6:$A$65,0))),""))</f>
        <v>0</v>
      </c>
      <c r="AD36" s="11" t="str">
        <f aca="false">IF($A36="","",IFERROR(Z36+AA36+AB36+AC36,""))</f>
        <v/>
      </c>
      <c r="AE36" s="10" t="str">
        <f aca="false">IF(ISNUMBER(AD36),AD36*Parametros!$B$12,"")</f>
        <v/>
      </c>
      <c r="AF36" s="29" t="str">
        <f aca="false">IF(AND(ISNUMBER(Q36),K36&lt;&gt;""),IFERROR(1/(Q36*INDEX(Telas!$G$6:$G$105,MATCH(K36,Telas!$A$6:$A$105,0))),""),"")</f>
        <v/>
      </c>
      <c r="AG36" s="0" t="str">
        <f aca="false">IF($A36="","",IF(ISNUMBER(AD36),IF(AND(N(Y36)&gt;0,N(Parametros!$B$19)=0),"Lista, pero sin costo de impresión (Parametros)","Lista"),IF(Q36="","Consumo tela principal (Despiece o Mediciones). ","")&amp;IF(COUNTIFS(Mediciones!$C$6:$C$305,$A36,Mediciones!$K$6:$K$305,"")&gt;0,"Pesar 1 m de la tela medida (Telas, kg por metro). ","")&amp;IF(T36="","Consumo Tela 2. ","")&amp;IF(W36="","Consumo Tela 3. ","")&amp;IF(K36="","Elegir tela principal. ",IF(ISERROR(INDEX(Telas!$I$6:$I$105,MATCH(K36,Telas!$A$6:$A$105,0))*1),"Precio o peso por metro de "&amp;K36&amp;". ",""))&amp;IF(AND(N(T36)&gt;0,L36=""),"Elegir Tela 2. ",IF(AND(N(T36)&gt;0,ISERROR(INDEX(Telas!$I$6:$I$105,MATCH(L36,Telas!$A$6:$A$105,0))*1)),"Precio o peso por metro de "&amp;L36&amp;". ",""))&amp;IF(Y36="","Metros impresos. ","")&amp;IF(F36="","Tipo de confección. ",IF(AB36="","Precio de confección. ",""))))</f>
        <v>Consumo tela principal (Despiece o Mediciones). Elegir tela principal. Metros impresos. </v>
      </c>
      <c r="AH36" s="27" t="s">
        <v>95</v>
      </c>
    </row>
    <row r="37" customFormat="false" ht="15" hidden="false" customHeight="false" outlineLevel="0" collapsed="false">
      <c r="A37" s="27" t="s">
        <v>154</v>
      </c>
      <c r="B37" s="27" t="s">
        <v>153</v>
      </c>
      <c r="C37" s="27" t="s">
        <v>147</v>
      </c>
      <c r="D37" s="27" t="s">
        <v>92</v>
      </c>
      <c r="E37" s="27" t="s">
        <v>102</v>
      </c>
      <c r="F37" s="27" t="s">
        <v>148</v>
      </c>
      <c r="G37" s="8"/>
      <c r="H37" s="27"/>
      <c r="I37" s="8"/>
      <c r="J37" s="27"/>
      <c r="K37" s="8"/>
      <c r="L37" s="8"/>
      <c r="M37" s="8"/>
      <c r="N37" s="8"/>
      <c r="O37" s="9" t="str">
        <f aca="false">IF($A37="","",IF(COUNTIFS(Despiece!$A$6:$A$705,$A37,Despiece!$D$6:$D$705,"Tela principal",Despiece!$F$6:$F$705,"&gt;0")=0,"",SUMIFS(Despiece!$F$6:$F$705,Despiece!$A$6:$A$705,$A37,Despiece!$D$6:$D$705,"Tela principal")))</f>
        <v/>
      </c>
      <c r="P37" s="9" t="str">
        <f aca="false">IF($A37="","",IFERROR(AVERAGEIFS(Mediciones!$K$6:$K$305,Mediciones!$C$6:$C$305,$A37,Mediciones!$D$6:$D$305,"Tela principal"),""))</f>
        <v/>
      </c>
      <c r="Q37" s="28" t="str">
        <f aca="false">IF($A37="","",IF(N(IF($N37="Despiece",IF(ISNUMBER(O37),O37*(1+Parametros!$B$22),IF(COUNTIFS(Despiece!$A$6:$A$705,$A37,Despiece!$D$6:$D$705,"Tela principal")&gt;0,"",0)),IF($N37="Medición real",IF(ISNUMBER(P37),P37,IF(COUNTIFS(Mediciones!$C$6:$C$305,$A37,Mediciones!$D$6:$D$305,"Tela principal")&gt;0,"",0)),IF(ISNUMBER(P37),P37,IF(ISNUMBER(O37),O37*(1+Parametros!$B$22),IF(OR(COUNTIFS(Despiece!$A$6:$A$705,$A37,Despiece!$D$6:$D$705,"Tela principal")&gt;0,COUNTIFS(Mediciones!$C$6:$C$305,$A37,Mediciones!$D$6:$D$305,"Tela principal")&gt;0),"",0))))))=0,"",IF($N37="Despiece",IF(ISNUMBER(O37),O37*(1+Parametros!$B$22),IF(COUNTIFS(Despiece!$A$6:$A$705,$A37,Despiece!$D$6:$D$705,"Tela principal")&gt;0,"",0)),IF($N37="Medición real",IF(ISNUMBER(P37),P37,IF(COUNTIFS(Mediciones!$C$6:$C$305,$A37,Mediciones!$D$6:$D$305,"Tela principal")&gt;0,"",0)),IF(ISNUMBER(P37),P37,IF(ISNUMBER(O37),O37*(1+Parametros!$B$22),IF(OR(COUNTIFS(Despiece!$A$6:$A$705,$A37,Despiece!$D$6:$D$705,"Tela principal")&gt;0,COUNTIFS(Mediciones!$C$6:$C$305,$A37,Mediciones!$D$6:$D$305,"Tela principal")&gt;0),"",0)))))))</f>
        <v/>
      </c>
      <c r="R37" s="9" t="str">
        <f aca="false">IF($A37="","",IF(COUNTIFS(Despiece!$A$6:$A$705,$A37,Despiece!$D$6:$D$705,"Tela 2",Despiece!$F$6:$F$705,"&gt;0")=0,"",SUMIFS(Despiece!$F$6:$F$705,Despiece!$A$6:$A$705,$A37,Despiece!$D$6:$D$705,"Tela 2")))</f>
        <v/>
      </c>
      <c r="S37" s="9" t="str">
        <f aca="false">IF($A37="","",IFERROR(AVERAGEIFS(Mediciones!$K$6:$K$305,Mediciones!$C$6:$C$305,$A37,Mediciones!$D$6:$D$305,"Tela 2"),""))</f>
        <v/>
      </c>
      <c r="T37" s="28" t="n">
        <f aca="false">IF($A37="","",IF($N37="Despiece",IF(ISNUMBER(R37),R37*(1+Parametros!$B$22),IF(COUNTIFS(Despiece!$A$6:$A$705,$A37,Despiece!$D$6:$D$705,"Tela 2")&gt;0,"",0)),IF($N37="Medición real",IF(ISNUMBER(S37),S37,IF(COUNTIFS(Mediciones!$C$6:$C$305,$A37,Mediciones!$D$6:$D$305,"Tela 2")&gt;0,"",0)),IF(ISNUMBER(S37),S37,IF(ISNUMBER(R37),R37*(1+Parametros!$B$22),IF(OR(COUNTIFS(Despiece!$A$6:$A$705,$A37,Despiece!$D$6:$D$705,"Tela 2")&gt;0,COUNTIFS(Mediciones!$C$6:$C$305,$A37,Mediciones!$D$6:$D$305,"Tela 2")&gt;0),"",0))))))</f>
        <v>0</v>
      </c>
      <c r="U37" s="9" t="str">
        <f aca="false">IF($A37="","",IF(COUNTIFS(Despiece!$A$6:$A$705,$A37,Despiece!$D$6:$D$705,"Tela 3",Despiece!$F$6:$F$705,"&gt;0")=0,"",SUMIFS(Despiece!$F$6:$F$705,Despiece!$A$6:$A$705,$A37,Despiece!$D$6:$D$705,"Tela 3")))</f>
        <v/>
      </c>
      <c r="V37" s="9" t="str">
        <f aca="false">IF($A37="","",IFERROR(AVERAGEIFS(Mediciones!$K$6:$K$305,Mediciones!$C$6:$C$305,$A37,Mediciones!$D$6:$D$305,"Tela 3"),""))</f>
        <v/>
      </c>
      <c r="W37" s="28" t="n">
        <f aca="false">IF($A37="","",IF($N37="Despiece",IF(ISNUMBER(U37),U37*(1+Parametros!$B$22),IF(COUNTIFS(Despiece!$A$6:$A$705,$A37,Despiece!$D$6:$D$705,"Tela 3")&gt;0,"",0)),IF($N37="Medición real",IF(ISNUMBER(V37),V37,IF(COUNTIFS(Mediciones!$C$6:$C$305,$A37,Mediciones!$D$6:$D$305,"Tela 3")&gt;0,"",0)),IF(ISNUMBER(V37),V37,IF(ISNUMBER(U37),U37*(1+Parametros!$B$22),IF(OR(COUNTIFS(Despiece!$A$6:$A$705,$A37,Despiece!$D$6:$D$705,"Tela 3")&gt;0,COUNTIFS(Mediciones!$C$6:$C$305,$A37,Mediciones!$D$6:$D$305,"Tela 3")&gt;0),"",0))))))</f>
        <v>0</v>
      </c>
      <c r="X37" s="27"/>
      <c r="Y37" s="9" t="str">
        <f aca="false">IF($A37="","",IF(ISNUMBER(X37),X37,IF(COUNTIFS(Despiece!$A$6:$A$705,$A37,Despiece!$E$6:$E$705,"Sublimada",Despiece!$F$6:$F$705,"&gt;0")&gt;0,SUMIFS(Despiece!$F$6:$F$705,Despiece!$A$6:$A$705,$A37,Despiece!$E$6:$E$705,"Sublimada")*(1+Parametros!$B$22),IF(COUNTIFS(Despiece!$A$6:$A$705,$A37,Despiece!$E$6:$E$705,"Sublimada")=0,0,""))))</f>
        <v/>
      </c>
      <c r="Z37" s="10" t="str">
        <f aca="false">IF($A37="","",IFERROR(IF(ISNUMBER(Q37),IF(Q37=0,0,Q37*INDEX(Telas!$I$6:$I$105,MATCH(K37,Telas!$A$6:$A$105,0))),NA())+IF(ISNUMBER(T37),IF(T37=0,0,T37*INDEX(Telas!$I$6:$I$105,MATCH(L37,Telas!$A$6:$A$105,0))),NA())+IF(ISNUMBER(W37),IF(W37=0,0,W37*INDEX(Telas!$I$6:$I$105,MATCH(IF(M37="",K37,M37),Telas!$A$6:$A$105,0))),NA()),""))</f>
        <v/>
      </c>
      <c r="AA37" s="10" t="str">
        <f aca="false">IF($A37="","",IF(ISNUMBER(Y37),Y37*Parametros!$B$19,""))</f>
        <v/>
      </c>
      <c r="AB37" s="10" t="n">
        <f aca="false">IF(OR($A37="",F37=""),"",IFERROR(INDEX(Confeccion!$B$6:$B$125,MATCH(F37,Confeccion!$A$6:$A$125,0)),""))</f>
        <v>1900</v>
      </c>
      <c r="AC37" s="10" t="n">
        <f aca="false">IF($A37="","",IFERROR(N(H37)*IF(G37="",0,INDEX(Avios!$C$6:$C$65,MATCH(G37,Avios!$A$6:$A$65,0)))+N(J37)*IF(I37="",0,INDEX(Avios!$C$6:$C$65,MATCH(I37,Avios!$A$6:$A$65,0))),""))</f>
        <v>0</v>
      </c>
      <c r="AD37" s="11" t="str">
        <f aca="false">IF($A37="","",IFERROR(Z37+AA37+AB37+AC37,""))</f>
        <v/>
      </c>
      <c r="AE37" s="10" t="str">
        <f aca="false">IF(ISNUMBER(AD37),AD37*Parametros!$B$12,"")</f>
        <v/>
      </c>
      <c r="AF37" s="29" t="str">
        <f aca="false">IF(AND(ISNUMBER(Q37),K37&lt;&gt;""),IFERROR(1/(Q37*INDEX(Telas!$G$6:$G$105,MATCH(K37,Telas!$A$6:$A$105,0))),""),"")</f>
        <v/>
      </c>
      <c r="AG37" s="0" t="str">
        <f aca="false">IF($A37="","",IF(ISNUMBER(AD37),IF(AND(N(Y37)&gt;0,N(Parametros!$B$19)=0),"Lista, pero sin costo de impresión (Parametros)","Lista"),IF(Q37="","Consumo tela principal (Despiece o Mediciones). ","")&amp;IF(COUNTIFS(Mediciones!$C$6:$C$305,$A37,Mediciones!$K$6:$K$305,"")&gt;0,"Pesar 1 m de la tela medida (Telas, kg por metro). ","")&amp;IF(T37="","Consumo Tela 2. ","")&amp;IF(W37="","Consumo Tela 3. ","")&amp;IF(K37="","Elegir tela principal. ",IF(ISERROR(INDEX(Telas!$I$6:$I$105,MATCH(K37,Telas!$A$6:$A$105,0))*1),"Precio o peso por metro de "&amp;K37&amp;". ",""))&amp;IF(AND(N(T37)&gt;0,L37=""),"Elegir Tela 2. ",IF(AND(N(T37)&gt;0,ISERROR(INDEX(Telas!$I$6:$I$105,MATCH(L37,Telas!$A$6:$A$105,0))*1)),"Precio o peso por metro de "&amp;L37&amp;". ",""))&amp;IF(Y37="","Metros impresos. ","")&amp;IF(F37="","Tipo de confección. ",IF(AB37="","Precio de confección. ",""))))</f>
        <v>Consumo tela principal (Despiece o Mediciones). Elegir tela principal. Metros impresos. </v>
      </c>
      <c r="AH37" s="27" t="s">
        <v>95</v>
      </c>
    </row>
    <row r="38" customFormat="false" ht="15" hidden="false" customHeight="false" outlineLevel="0" collapsed="false">
      <c r="A38" s="27" t="s">
        <v>155</v>
      </c>
      <c r="B38" s="27" t="s">
        <v>156</v>
      </c>
      <c r="C38" s="27" t="s">
        <v>147</v>
      </c>
      <c r="D38" s="27" t="s">
        <v>92</v>
      </c>
      <c r="E38" s="27" t="s">
        <v>93</v>
      </c>
      <c r="F38" s="27" t="s">
        <v>148</v>
      </c>
      <c r="G38" s="8"/>
      <c r="H38" s="27"/>
      <c r="I38" s="8"/>
      <c r="J38" s="27"/>
      <c r="K38" s="8"/>
      <c r="L38" s="8"/>
      <c r="M38" s="8"/>
      <c r="N38" s="8"/>
      <c r="O38" s="9" t="str">
        <f aca="false">IF($A38="","",IF(COUNTIFS(Despiece!$A$6:$A$705,$A38,Despiece!$D$6:$D$705,"Tela principal",Despiece!$F$6:$F$705,"&gt;0")=0,"",SUMIFS(Despiece!$F$6:$F$705,Despiece!$A$6:$A$705,$A38,Despiece!$D$6:$D$705,"Tela principal")))</f>
        <v/>
      </c>
      <c r="P38" s="9" t="str">
        <f aca="false">IF($A38="","",IFERROR(AVERAGEIFS(Mediciones!$K$6:$K$305,Mediciones!$C$6:$C$305,$A38,Mediciones!$D$6:$D$305,"Tela principal"),""))</f>
        <v/>
      </c>
      <c r="Q38" s="28" t="str">
        <f aca="false">IF($A38="","",IF(N(IF($N38="Despiece",IF(ISNUMBER(O38),O38*(1+Parametros!$B$22),IF(COUNTIFS(Despiece!$A$6:$A$705,$A38,Despiece!$D$6:$D$705,"Tela principal")&gt;0,"",0)),IF($N38="Medición real",IF(ISNUMBER(P38),P38,IF(COUNTIFS(Mediciones!$C$6:$C$305,$A38,Mediciones!$D$6:$D$305,"Tela principal")&gt;0,"",0)),IF(ISNUMBER(P38),P38,IF(ISNUMBER(O38),O38*(1+Parametros!$B$22),IF(OR(COUNTIFS(Despiece!$A$6:$A$705,$A38,Despiece!$D$6:$D$705,"Tela principal")&gt;0,COUNTIFS(Mediciones!$C$6:$C$305,$A38,Mediciones!$D$6:$D$305,"Tela principal")&gt;0),"",0))))))=0,"",IF($N38="Despiece",IF(ISNUMBER(O38),O38*(1+Parametros!$B$22),IF(COUNTIFS(Despiece!$A$6:$A$705,$A38,Despiece!$D$6:$D$705,"Tela principal")&gt;0,"",0)),IF($N38="Medición real",IF(ISNUMBER(P38),P38,IF(COUNTIFS(Mediciones!$C$6:$C$305,$A38,Mediciones!$D$6:$D$305,"Tela principal")&gt;0,"",0)),IF(ISNUMBER(P38),P38,IF(ISNUMBER(O38),O38*(1+Parametros!$B$22),IF(OR(COUNTIFS(Despiece!$A$6:$A$705,$A38,Despiece!$D$6:$D$705,"Tela principal")&gt;0,COUNTIFS(Mediciones!$C$6:$C$305,$A38,Mediciones!$D$6:$D$305,"Tela principal")&gt;0),"",0)))))))</f>
        <v/>
      </c>
      <c r="R38" s="9" t="str">
        <f aca="false">IF($A38="","",IF(COUNTIFS(Despiece!$A$6:$A$705,$A38,Despiece!$D$6:$D$705,"Tela 2",Despiece!$F$6:$F$705,"&gt;0")=0,"",SUMIFS(Despiece!$F$6:$F$705,Despiece!$A$6:$A$705,$A38,Despiece!$D$6:$D$705,"Tela 2")))</f>
        <v/>
      </c>
      <c r="S38" s="9" t="str">
        <f aca="false">IF($A38="","",IFERROR(AVERAGEIFS(Mediciones!$K$6:$K$305,Mediciones!$C$6:$C$305,$A38,Mediciones!$D$6:$D$305,"Tela 2"),""))</f>
        <v/>
      </c>
      <c r="T38" s="28" t="n">
        <f aca="false">IF($A38="","",IF($N38="Despiece",IF(ISNUMBER(R38),R38*(1+Parametros!$B$22),IF(COUNTIFS(Despiece!$A$6:$A$705,$A38,Despiece!$D$6:$D$705,"Tela 2")&gt;0,"",0)),IF($N38="Medición real",IF(ISNUMBER(S38),S38,IF(COUNTIFS(Mediciones!$C$6:$C$305,$A38,Mediciones!$D$6:$D$305,"Tela 2")&gt;0,"",0)),IF(ISNUMBER(S38),S38,IF(ISNUMBER(R38),R38*(1+Parametros!$B$22),IF(OR(COUNTIFS(Despiece!$A$6:$A$705,$A38,Despiece!$D$6:$D$705,"Tela 2")&gt;0,COUNTIFS(Mediciones!$C$6:$C$305,$A38,Mediciones!$D$6:$D$305,"Tela 2")&gt;0),"",0))))))</f>
        <v>0</v>
      </c>
      <c r="U38" s="9" t="str">
        <f aca="false">IF($A38="","",IF(COUNTIFS(Despiece!$A$6:$A$705,$A38,Despiece!$D$6:$D$705,"Tela 3",Despiece!$F$6:$F$705,"&gt;0")=0,"",SUMIFS(Despiece!$F$6:$F$705,Despiece!$A$6:$A$705,$A38,Despiece!$D$6:$D$705,"Tela 3")))</f>
        <v/>
      </c>
      <c r="V38" s="9" t="str">
        <f aca="false">IF($A38="","",IFERROR(AVERAGEIFS(Mediciones!$K$6:$K$305,Mediciones!$C$6:$C$305,$A38,Mediciones!$D$6:$D$305,"Tela 3"),""))</f>
        <v/>
      </c>
      <c r="W38" s="28" t="n">
        <f aca="false">IF($A38="","",IF($N38="Despiece",IF(ISNUMBER(U38),U38*(1+Parametros!$B$22),IF(COUNTIFS(Despiece!$A$6:$A$705,$A38,Despiece!$D$6:$D$705,"Tela 3")&gt;0,"",0)),IF($N38="Medición real",IF(ISNUMBER(V38),V38,IF(COUNTIFS(Mediciones!$C$6:$C$305,$A38,Mediciones!$D$6:$D$305,"Tela 3")&gt;0,"",0)),IF(ISNUMBER(V38),V38,IF(ISNUMBER(U38),U38*(1+Parametros!$B$22),IF(OR(COUNTIFS(Despiece!$A$6:$A$705,$A38,Despiece!$D$6:$D$705,"Tela 3")&gt;0,COUNTIFS(Mediciones!$C$6:$C$305,$A38,Mediciones!$D$6:$D$305,"Tela 3")&gt;0),"",0))))))</f>
        <v>0</v>
      </c>
      <c r="X38" s="27"/>
      <c r="Y38" s="9" t="str">
        <f aca="false">IF($A38="","",IF(ISNUMBER(X38),X38,IF(COUNTIFS(Despiece!$A$6:$A$705,$A38,Despiece!$E$6:$E$705,"Sublimada",Despiece!$F$6:$F$705,"&gt;0")&gt;0,SUMIFS(Despiece!$F$6:$F$705,Despiece!$A$6:$A$705,$A38,Despiece!$E$6:$E$705,"Sublimada")*(1+Parametros!$B$22),IF(COUNTIFS(Despiece!$A$6:$A$705,$A38,Despiece!$E$6:$E$705,"Sublimada")=0,0,""))))</f>
        <v/>
      </c>
      <c r="Z38" s="10" t="str">
        <f aca="false">IF($A38="","",IFERROR(IF(ISNUMBER(Q38),IF(Q38=0,0,Q38*INDEX(Telas!$I$6:$I$105,MATCH(K38,Telas!$A$6:$A$105,0))),NA())+IF(ISNUMBER(T38),IF(T38=0,0,T38*INDEX(Telas!$I$6:$I$105,MATCH(L38,Telas!$A$6:$A$105,0))),NA())+IF(ISNUMBER(W38),IF(W38=0,0,W38*INDEX(Telas!$I$6:$I$105,MATCH(IF(M38="",K38,M38),Telas!$A$6:$A$105,0))),NA()),""))</f>
        <v/>
      </c>
      <c r="AA38" s="10" t="str">
        <f aca="false">IF($A38="","",IF(ISNUMBER(Y38),Y38*Parametros!$B$19,""))</f>
        <v/>
      </c>
      <c r="AB38" s="10" t="n">
        <f aca="false">IF(OR($A38="",F38=""),"",IFERROR(INDEX(Confeccion!$B$6:$B$125,MATCH(F38,Confeccion!$A$6:$A$125,0)),""))</f>
        <v>1900</v>
      </c>
      <c r="AC38" s="10" t="n">
        <f aca="false">IF($A38="","",IFERROR(N(H38)*IF(G38="",0,INDEX(Avios!$C$6:$C$65,MATCH(G38,Avios!$A$6:$A$65,0)))+N(J38)*IF(I38="",0,INDEX(Avios!$C$6:$C$65,MATCH(I38,Avios!$A$6:$A$65,0))),""))</f>
        <v>0</v>
      </c>
      <c r="AD38" s="11" t="str">
        <f aca="false">IF($A38="","",IFERROR(Z38+AA38+AB38+AC38,""))</f>
        <v/>
      </c>
      <c r="AE38" s="10" t="str">
        <f aca="false">IF(ISNUMBER(AD38),AD38*Parametros!$B$12,"")</f>
        <v/>
      </c>
      <c r="AF38" s="29" t="str">
        <f aca="false">IF(AND(ISNUMBER(Q38),K38&lt;&gt;""),IFERROR(1/(Q38*INDEX(Telas!$G$6:$G$105,MATCH(K38,Telas!$A$6:$A$105,0))),""),"")</f>
        <v/>
      </c>
      <c r="AG38" s="0" t="str">
        <f aca="false">IF($A38="","",IF(ISNUMBER(AD38),IF(AND(N(Y38)&gt;0,N(Parametros!$B$19)=0),"Lista, pero sin costo de impresión (Parametros)","Lista"),IF(Q38="","Consumo tela principal (Despiece o Mediciones). ","")&amp;IF(COUNTIFS(Mediciones!$C$6:$C$305,$A38,Mediciones!$K$6:$K$305,"")&gt;0,"Pesar 1 m de la tela medida (Telas, kg por metro). ","")&amp;IF(T38="","Consumo Tela 2. ","")&amp;IF(W38="","Consumo Tela 3. ","")&amp;IF(K38="","Elegir tela principal. ",IF(ISERROR(INDEX(Telas!$I$6:$I$105,MATCH(K38,Telas!$A$6:$A$105,0))*1),"Precio o peso por metro de "&amp;K38&amp;". ",""))&amp;IF(AND(N(T38)&gt;0,L38=""),"Elegir Tela 2. ",IF(AND(N(T38)&gt;0,ISERROR(INDEX(Telas!$I$6:$I$105,MATCH(L38,Telas!$A$6:$A$105,0))*1)),"Precio o peso por metro de "&amp;L38&amp;". ",""))&amp;IF(Y38="","Metros impresos. ","")&amp;IF(F38="","Tipo de confección. ",IF(AB38="","Precio de confección. ",""))))</f>
        <v>Consumo tela principal (Despiece o Mediciones). Elegir tela principal. Metros impresos. </v>
      </c>
      <c r="AH38" s="27" t="s">
        <v>95</v>
      </c>
    </row>
    <row r="39" customFormat="false" ht="15" hidden="false" customHeight="false" outlineLevel="0" collapsed="false">
      <c r="A39" s="27" t="s">
        <v>157</v>
      </c>
      <c r="B39" s="27" t="s">
        <v>156</v>
      </c>
      <c r="C39" s="27" t="s">
        <v>147</v>
      </c>
      <c r="D39" s="27" t="s">
        <v>92</v>
      </c>
      <c r="E39" s="27" t="s">
        <v>97</v>
      </c>
      <c r="F39" s="27" t="s">
        <v>148</v>
      </c>
      <c r="G39" s="8"/>
      <c r="H39" s="27"/>
      <c r="I39" s="8"/>
      <c r="J39" s="27"/>
      <c r="K39" s="8"/>
      <c r="L39" s="8"/>
      <c r="M39" s="8"/>
      <c r="N39" s="8"/>
      <c r="O39" s="9" t="str">
        <f aca="false">IF($A39="","",IF(COUNTIFS(Despiece!$A$6:$A$705,$A39,Despiece!$D$6:$D$705,"Tela principal",Despiece!$F$6:$F$705,"&gt;0")=0,"",SUMIFS(Despiece!$F$6:$F$705,Despiece!$A$6:$A$705,$A39,Despiece!$D$6:$D$705,"Tela principal")))</f>
        <v/>
      </c>
      <c r="P39" s="9" t="str">
        <f aca="false">IF($A39="","",IFERROR(AVERAGEIFS(Mediciones!$K$6:$K$305,Mediciones!$C$6:$C$305,$A39,Mediciones!$D$6:$D$305,"Tela principal"),""))</f>
        <v/>
      </c>
      <c r="Q39" s="28" t="str">
        <f aca="false">IF($A39="","",IF(N(IF($N39="Despiece",IF(ISNUMBER(O39),O39*(1+Parametros!$B$22),IF(COUNTIFS(Despiece!$A$6:$A$705,$A39,Despiece!$D$6:$D$705,"Tela principal")&gt;0,"",0)),IF($N39="Medición real",IF(ISNUMBER(P39),P39,IF(COUNTIFS(Mediciones!$C$6:$C$305,$A39,Mediciones!$D$6:$D$305,"Tela principal")&gt;0,"",0)),IF(ISNUMBER(P39),P39,IF(ISNUMBER(O39),O39*(1+Parametros!$B$22),IF(OR(COUNTIFS(Despiece!$A$6:$A$705,$A39,Despiece!$D$6:$D$705,"Tela principal")&gt;0,COUNTIFS(Mediciones!$C$6:$C$305,$A39,Mediciones!$D$6:$D$305,"Tela principal")&gt;0),"",0))))))=0,"",IF($N39="Despiece",IF(ISNUMBER(O39),O39*(1+Parametros!$B$22),IF(COUNTIFS(Despiece!$A$6:$A$705,$A39,Despiece!$D$6:$D$705,"Tela principal")&gt;0,"",0)),IF($N39="Medición real",IF(ISNUMBER(P39),P39,IF(COUNTIFS(Mediciones!$C$6:$C$305,$A39,Mediciones!$D$6:$D$305,"Tela principal")&gt;0,"",0)),IF(ISNUMBER(P39),P39,IF(ISNUMBER(O39),O39*(1+Parametros!$B$22),IF(OR(COUNTIFS(Despiece!$A$6:$A$705,$A39,Despiece!$D$6:$D$705,"Tela principal")&gt;0,COUNTIFS(Mediciones!$C$6:$C$305,$A39,Mediciones!$D$6:$D$305,"Tela principal")&gt;0),"",0)))))))</f>
        <v/>
      </c>
      <c r="R39" s="9" t="str">
        <f aca="false">IF($A39="","",IF(COUNTIFS(Despiece!$A$6:$A$705,$A39,Despiece!$D$6:$D$705,"Tela 2",Despiece!$F$6:$F$705,"&gt;0")=0,"",SUMIFS(Despiece!$F$6:$F$705,Despiece!$A$6:$A$705,$A39,Despiece!$D$6:$D$705,"Tela 2")))</f>
        <v/>
      </c>
      <c r="S39" s="9" t="str">
        <f aca="false">IF($A39="","",IFERROR(AVERAGEIFS(Mediciones!$K$6:$K$305,Mediciones!$C$6:$C$305,$A39,Mediciones!$D$6:$D$305,"Tela 2"),""))</f>
        <v/>
      </c>
      <c r="T39" s="28" t="n">
        <f aca="false">IF($A39="","",IF($N39="Despiece",IF(ISNUMBER(R39),R39*(1+Parametros!$B$22),IF(COUNTIFS(Despiece!$A$6:$A$705,$A39,Despiece!$D$6:$D$705,"Tela 2")&gt;0,"",0)),IF($N39="Medición real",IF(ISNUMBER(S39),S39,IF(COUNTIFS(Mediciones!$C$6:$C$305,$A39,Mediciones!$D$6:$D$305,"Tela 2")&gt;0,"",0)),IF(ISNUMBER(S39),S39,IF(ISNUMBER(R39),R39*(1+Parametros!$B$22),IF(OR(COUNTIFS(Despiece!$A$6:$A$705,$A39,Despiece!$D$6:$D$705,"Tela 2")&gt;0,COUNTIFS(Mediciones!$C$6:$C$305,$A39,Mediciones!$D$6:$D$305,"Tela 2")&gt;0),"",0))))))</f>
        <v>0</v>
      </c>
      <c r="U39" s="9" t="str">
        <f aca="false">IF($A39="","",IF(COUNTIFS(Despiece!$A$6:$A$705,$A39,Despiece!$D$6:$D$705,"Tela 3",Despiece!$F$6:$F$705,"&gt;0")=0,"",SUMIFS(Despiece!$F$6:$F$705,Despiece!$A$6:$A$705,$A39,Despiece!$D$6:$D$705,"Tela 3")))</f>
        <v/>
      </c>
      <c r="V39" s="9" t="str">
        <f aca="false">IF($A39="","",IFERROR(AVERAGEIFS(Mediciones!$K$6:$K$305,Mediciones!$C$6:$C$305,$A39,Mediciones!$D$6:$D$305,"Tela 3"),""))</f>
        <v/>
      </c>
      <c r="W39" s="28" t="n">
        <f aca="false">IF($A39="","",IF($N39="Despiece",IF(ISNUMBER(U39),U39*(1+Parametros!$B$22),IF(COUNTIFS(Despiece!$A$6:$A$705,$A39,Despiece!$D$6:$D$705,"Tela 3")&gt;0,"",0)),IF($N39="Medición real",IF(ISNUMBER(V39),V39,IF(COUNTIFS(Mediciones!$C$6:$C$305,$A39,Mediciones!$D$6:$D$305,"Tela 3")&gt;0,"",0)),IF(ISNUMBER(V39),V39,IF(ISNUMBER(U39),U39*(1+Parametros!$B$22),IF(OR(COUNTIFS(Despiece!$A$6:$A$705,$A39,Despiece!$D$6:$D$705,"Tela 3")&gt;0,COUNTIFS(Mediciones!$C$6:$C$305,$A39,Mediciones!$D$6:$D$305,"Tela 3")&gt;0),"",0))))))</f>
        <v>0</v>
      </c>
      <c r="X39" s="27"/>
      <c r="Y39" s="9" t="str">
        <f aca="false">IF($A39="","",IF(ISNUMBER(X39),X39,IF(COUNTIFS(Despiece!$A$6:$A$705,$A39,Despiece!$E$6:$E$705,"Sublimada",Despiece!$F$6:$F$705,"&gt;0")&gt;0,SUMIFS(Despiece!$F$6:$F$705,Despiece!$A$6:$A$705,$A39,Despiece!$E$6:$E$705,"Sublimada")*(1+Parametros!$B$22),IF(COUNTIFS(Despiece!$A$6:$A$705,$A39,Despiece!$E$6:$E$705,"Sublimada")=0,0,""))))</f>
        <v/>
      </c>
      <c r="Z39" s="10" t="str">
        <f aca="false">IF($A39="","",IFERROR(IF(ISNUMBER(Q39),IF(Q39=0,0,Q39*INDEX(Telas!$I$6:$I$105,MATCH(K39,Telas!$A$6:$A$105,0))),NA())+IF(ISNUMBER(T39),IF(T39=0,0,T39*INDEX(Telas!$I$6:$I$105,MATCH(L39,Telas!$A$6:$A$105,0))),NA())+IF(ISNUMBER(W39),IF(W39=0,0,W39*INDEX(Telas!$I$6:$I$105,MATCH(IF(M39="",K39,M39),Telas!$A$6:$A$105,0))),NA()),""))</f>
        <v/>
      </c>
      <c r="AA39" s="10" t="str">
        <f aca="false">IF($A39="","",IF(ISNUMBER(Y39),Y39*Parametros!$B$19,""))</f>
        <v/>
      </c>
      <c r="AB39" s="10" t="n">
        <f aca="false">IF(OR($A39="",F39=""),"",IFERROR(INDEX(Confeccion!$B$6:$B$125,MATCH(F39,Confeccion!$A$6:$A$125,0)),""))</f>
        <v>1900</v>
      </c>
      <c r="AC39" s="10" t="n">
        <f aca="false">IF($A39="","",IFERROR(N(H39)*IF(G39="",0,INDEX(Avios!$C$6:$C$65,MATCH(G39,Avios!$A$6:$A$65,0)))+N(J39)*IF(I39="",0,INDEX(Avios!$C$6:$C$65,MATCH(I39,Avios!$A$6:$A$65,0))),""))</f>
        <v>0</v>
      </c>
      <c r="AD39" s="11" t="str">
        <f aca="false">IF($A39="","",IFERROR(Z39+AA39+AB39+AC39,""))</f>
        <v/>
      </c>
      <c r="AE39" s="10" t="str">
        <f aca="false">IF(ISNUMBER(AD39),AD39*Parametros!$B$12,"")</f>
        <v/>
      </c>
      <c r="AF39" s="29" t="str">
        <f aca="false">IF(AND(ISNUMBER(Q39),K39&lt;&gt;""),IFERROR(1/(Q39*INDEX(Telas!$G$6:$G$105,MATCH(K39,Telas!$A$6:$A$105,0))),""),"")</f>
        <v/>
      </c>
      <c r="AG39" s="0" t="str">
        <f aca="false">IF($A39="","",IF(ISNUMBER(AD39),IF(AND(N(Y39)&gt;0,N(Parametros!$B$19)=0),"Lista, pero sin costo de impresión (Parametros)","Lista"),IF(Q39="","Consumo tela principal (Despiece o Mediciones). ","")&amp;IF(COUNTIFS(Mediciones!$C$6:$C$305,$A39,Mediciones!$K$6:$K$305,"")&gt;0,"Pesar 1 m de la tela medida (Telas, kg por metro). ","")&amp;IF(T39="","Consumo Tela 2. ","")&amp;IF(W39="","Consumo Tela 3. ","")&amp;IF(K39="","Elegir tela principal. ",IF(ISERROR(INDEX(Telas!$I$6:$I$105,MATCH(K39,Telas!$A$6:$A$105,0))*1),"Precio o peso por metro de "&amp;K39&amp;". ",""))&amp;IF(AND(N(T39)&gt;0,L39=""),"Elegir Tela 2. ",IF(AND(N(T39)&gt;0,ISERROR(INDEX(Telas!$I$6:$I$105,MATCH(L39,Telas!$A$6:$A$105,0))*1)),"Precio o peso por metro de "&amp;L39&amp;". ",""))&amp;IF(Y39="","Metros impresos. ","")&amp;IF(F39="","Tipo de confección. ",IF(AB39="","Precio de confección. ",""))))</f>
        <v>Consumo tela principal (Despiece o Mediciones). Elegir tela principal. Metros impresos. </v>
      </c>
      <c r="AH39" s="27" t="s">
        <v>95</v>
      </c>
    </row>
    <row r="40" customFormat="false" ht="15" hidden="false" customHeight="false" outlineLevel="0" collapsed="false">
      <c r="A40" s="27" t="s">
        <v>158</v>
      </c>
      <c r="B40" s="27" t="s">
        <v>159</v>
      </c>
      <c r="C40" s="27" t="s">
        <v>147</v>
      </c>
      <c r="D40" s="27" t="s">
        <v>92</v>
      </c>
      <c r="E40" s="27" t="s">
        <v>100</v>
      </c>
      <c r="F40" s="27" t="s">
        <v>148</v>
      </c>
      <c r="G40" s="8"/>
      <c r="H40" s="27"/>
      <c r="I40" s="8"/>
      <c r="J40" s="27"/>
      <c r="K40" s="8"/>
      <c r="L40" s="8"/>
      <c r="M40" s="8"/>
      <c r="N40" s="8"/>
      <c r="O40" s="9" t="str">
        <f aca="false">IF($A40="","",IF(COUNTIFS(Despiece!$A$6:$A$705,$A40,Despiece!$D$6:$D$705,"Tela principal",Despiece!$F$6:$F$705,"&gt;0")=0,"",SUMIFS(Despiece!$F$6:$F$705,Despiece!$A$6:$A$705,$A40,Despiece!$D$6:$D$705,"Tela principal")))</f>
        <v/>
      </c>
      <c r="P40" s="9" t="str">
        <f aca="false">IF($A40="","",IFERROR(AVERAGEIFS(Mediciones!$K$6:$K$305,Mediciones!$C$6:$C$305,$A40,Mediciones!$D$6:$D$305,"Tela principal"),""))</f>
        <v/>
      </c>
      <c r="Q40" s="28" t="str">
        <f aca="false">IF($A40="","",IF(N(IF($N40="Despiece",IF(ISNUMBER(O40),O40*(1+Parametros!$B$22),IF(COUNTIFS(Despiece!$A$6:$A$705,$A40,Despiece!$D$6:$D$705,"Tela principal")&gt;0,"",0)),IF($N40="Medición real",IF(ISNUMBER(P40),P40,IF(COUNTIFS(Mediciones!$C$6:$C$305,$A40,Mediciones!$D$6:$D$305,"Tela principal")&gt;0,"",0)),IF(ISNUMBER(P40),P40,IF(ISNUMBER(O40),O40*(1+Parametros!$B$22),IF(OR(COUNTIFS(Despiece!$A$6:$A$705,$A40,Despiece!$D$6:$D$705,"Tela principal")&gt;0,COUNTIFS(Mediciones!$C$6:$C$305,$A40,Mediciones!$D$6:$D$305,"Tela principal")&gt;0),"",0))))))=0,"",IF($N40="Despiece",IF(ISNUMBER(O40),O40*(1+Parametros!$B$22),IF(COUNTIFS(Despiece!$A$6:$A$705,$A40,Despiece!$D$6:$D$705,"Tela principal")&gt;0,"",0)),IF($N40="Medición real",IF(ISNUMBER(P40),P40,IF(COUNTIFS(Mediciones!$C$6:$C$305,$A40,Mediciones!$D$6:$D$305,"Tela principal")&gt;0,"",0)),IF(ISNUMBER(P40),P40,IF(ISNUMBER(O40),O40*(1+Parametros!$B$22),IF(OR(COUNTIFS(Despiece!$A$6:$A$705,$A40,Despiece!$D$6:$D$705,"Tela principal")&gt;0,COUNTIFS(Mediciones!$C$6:$C$305,$A40,Mediciones!$D$6:$D$305,"Tela principal")&gt;0),"",0)))))))</f>
        <v/>
      </c>
      <c r="R40" s="9" t="str">
        <f aca="false">IF($A40="","",IF(COUNTIFS(Despiece!$A$6:$A$705,$A40,Despiece!$D$6:$D$705,"Tela 2",Despiece!$F$6:$F$705,"&gt;0")=0,"",SUMIFS(Despiece!$F$6:$F$705,Despiece!$A$6:$A$705,$A40,Despiece!$D$6:$D$705,"Tela 2")))</f>
        <v/>
      </c>
      <c r="S40" s="9" t="str">
        <f aca="false">IF($A40="","",IFERROR(AVERAGEIFS(Mediciones!$K$6:$K$305,Mediciones!$C$6:$C$305,$A40,Mediciones!$D$6:$D$305,"Tela 2"),""))</f>
        <v/>
      </c>
      <c r="T40" s="28" t="n">
        <f aca="false">IF($A40="","",IF($N40="Despiece",IF(ISNUMBER(R40),R40*(1+Parametros!$B$22),IF(COUNTIFS(Despiece!$A$6:$A$705,$A40,Despiece!$D$6:$D$705,"Tela 2")&gt;0,"",0)),IF($N40="Medición real",IF(ISNUMBER(S40),S40,IF(COUNTIFS(Mediciones!$C$6:$C$305,$A40,Mediciones!$D$6:$D$305,"Tela 2")&gt;0,"",0)),IF(ISNUMBER(S40),S40,IF(ISNUMBER(R40),R40*(1+Parametros!$B$22),IF(OR(COUNTIFS(Despiece!$A$6:$A$705,$A40,Despiece!$D$6:$D$705,"Tela 2")&gt;0,COUNTIFS(Mediciones!$C$6:$C$305,$A40,Mediciones!$D$6:$D$305,"Tela 2")&gt;0),"",0))))))</f>
        <v>0</v>
      </c>
      <c r="U40" s="9" t="str">
        <f aca="false">IF($A40="","",IF(COUNTIFS(Despiece!$A$6:$A$705,$A40,Despiece!$D$6:$D$705,"Tela 3",Despiece!$F$6:$F$705,"&gt;0")=0,"",SUMIFS(Despiece!$F$6:$F$705,Despiece!$A$6:$A$705,$A40,Despiece!$D$6:$D$705,"Tela 3")))</f>
        <v/>
      </c>
      <c r="V40" s="9" t="str">
        <f aca="false">IF($A40="","",IFERROR(AVERAGEIFS(Mediciones!$K$6:$K$305,Mediciones!$C$6:$C$305,$A40,Mediciones!$D$6:$D$305,"Tela 3"),""))</f>
        <v/>
      </c>
      <c r="W40" s="28" t="n">
        <f aca="false">IF($A40="","",IF($N40="Despiece",IF(ISNUMBER(U40),U40*(1+Parametros!$B$22),IF(COUNTIFS(Despiece!$A$6:$A$705,$A40,Despiece!$D$6:$D$705,"Tela 3")&gt;0,"",0)),IF($N40="Medición real",IF(ISNUMBER(V40),V40,IF(COUNTIFS(Mediciones!$C$6:$C$305,$A40,Mediciones!$D$6:$D$305,"Tela 3")&gt;0,"",0)),IF(ISNUMBER(V40),V40,IF(ISNUMBER(U40),U40*(1+Parametros!$B$22),IF(OR(COUNTIFS(Despiece!$A$6:$A$705,$A40,Despiece!$D$6:$D$705,"Tela 3")&gt;0,COUNTIFS(Mediciones!$C$6:$C$305,$A40,Mediciones!$D$6:$D$305,"Tela 3")&gt;0),"",0))))))</f>
        <v>0</v>
      </c>
      <c r="X40" s="27"/>
      <c r="Y40" s="9" t="str">
        <f aca="false">IF($A40="","",IF(ISNUMBER(X40),X40,IF(COUNTIFS(Despiece!$A$6:$A$705,$A40,Despiece!$E$6:$E$705,"Sublimada",Despiece!$F$6:$F$705,"&gt;0")&gt;0,SUMIFS(Despiece!$F$6:$F$705,Despiece!$A$6:$A$705,$A40,Despiece!$E$6:$E$705,"Sublimada")*(1+Parametros!$B$22),IF(COUNTIFS(Despiece!$A$6:$A$705,$A40,Despiece!$E$6:$E$705,"Sublimada")=0,0,""))))</f>
        <v/>
      </c>
      <c r="Z40" s="10" t="str">
        <f aca="false">IF($A40="","",IFERROR(IF(ISNUMBER(Q40),IF(Q40=0,0,Q40*INDEX(Telas!$I$6:$I$105,MATCH(K40,Telas!$A$6:$A$105,0))),NA())+IF(ISNUMBER(T40),IF(T40=0,0,T40*INDEX(Telas!$I$6:$I$105,MATCH(L40,Telas!$A$6:$A$105,0))),NA())+IF(ISNUMBER(W40),IF(W40=0,0,W40*INDEX(Telas!$I$6:$I$105,MATCH(IF(M40="",K40,M40),Telas!$A$6:$A$105,0))),NA()),""))</f>
        <v/>
      </c>
      <c r="AA40" s="10" t="str">
        <f aca="false">IF($A40="","",IF(ISNUMBER(Y40),Y40*Parametros!$B$19,""))</f>
        <v/>
      </c>
      <c r="AB40" s="10" t="n">
        <f aca="false">IF(OR($A40="",F40=""),"",IFERROR(INDEX(Confeccion!$B$6:$B$125,MATCH(F40,Confeccion!$A$6:$A$125,0)),""))</f>
        <v>1900</v>
      </c>
      <c r="AC40" s="10" t="n">
        <f aca="false">IF($A40="","",IFERROR(N(H40)*IF(G40="",0,INDEX(Avios!$C$6:$C$65,MATCH(G40,Avios!$A$6:$A$65,0)))+N(J40)*IF(I40="",0,INDEX(Avios!$C$6:$C$65,MATCH(I40,Avios!$A$6:$A$65,0))),""))</f>
        <v>0</v>
      </c>
      <c r="AD40" s="11" t="str">
        <f aca="false">IF($A40="","",IFERROR(Z40+AA40+AB40+AC40,""))</f>
        <v/>
      </c>
      <c r="AE40" s="10" t="str">
        <f aca="false">IF(ISNUMBER(AD40),AD40*Parametros!$B$12,"")</f>
        <v/>
      </c>
      <c r="AF40" s="29" t="str">
        <f aca="false">IF(AND(ISNUMBER(Q40),K40&lt;&gt;""),IFERROR(1/(Q40*INDEX(Telas!$G$6:$G$105,MATCH(K40,Telas!$A$6:$A$105,0))),""),"")</f>
        <v/>
      </c>
      <c r="AG40" s="0" t="str">
        <f aca="false">IF($A40="","",IF(ISNUMBER(AD40),IF(AND(N(Y40)&gt;0,N(Parametros!$B$19)=0),"Lista, pero sin costo de impresión (Parametros)","Lista"),IF(Q40="","Consumo tela principal (Despiece o Mediciones). ","")&amp;IF(COUNTIFS(Mediciones!$C$6:$C$305,$A40,Mediciones!$K$6:$K$305,"")&gt;0,"Pesar 1 m de la tela medida (Telas, kg por metro). ","")&amp;IF(T40="","Consumo Tela 2. ","")&amp;IF(W40="","Consumo Tela 3. ","")&amp;IF(K40="","Elegir tela principal. ",IF(ISERROR(INDEX(Telas!$I$6:$I$105,MATCH(K40,Telas!$A$6:$A$105,0))*1),"Precio o peso por metro de "&amp;K40&amp;". ",""))&amp;IF(AND(N(T40)&gt;0,L40=""),"Elegir Tela 2. ",IF(AND(N(T40)&gt;0,ISERROR(INDEX(Telas!$I$6:$I$105,MATCH(L40,Telas!$A$6:$A$105,0))*1)),"Precio o peso por metro de "&amp;L40&amp;". ",""))&amp;IF(Y40="","Metros impresos. ","")&amp;IF(F40="","Tipo de confección. ",IF(AB40="","Precio de confección. ",""))))</f>
        <v>Consumo tela principal (Despiece o Mediciones). Elegir tela principal. Metros impresos. </v>
      </c>
      <c r="AH40" s="27" t="s">
        <v>95</v>
      </c>
    </row>
    <row r="41" customFormat="false" ht="15" hidden="false" customHeight="false" outlineLevel="0" collapsed="false">
      <c r="A41" s="27" t="s">
        <v>160</v>
      </c>
      <c r="B41" s="27" t="s">
        <v>159</v>
      </c>
      <c r="C41" s="27" t="s">
        <v>147</v>
      </c>
      <c r="D41" s="27" t="s">
        <v>92</v>
      </c>
      <c r="E41" s="27" t="s">
        <v>102</v>
      </c>
      <c r="F41" s="27" t="s">
        <v>148</v>
      </c>
      <c r="G41" s="8"/>
      <c r="H41" s="27"/>
      <c r="I41" s="8"/>
      <c r="J41" s="27"/>
      <c r="K41" s="8"/>
      <c r="L41" s="8"/>
      <c r="M41" s="8"/>
      <c r="N41" s="8"/>
      <c r="O41" s="9" t="str">
        <f aca="false">IF($A41="","",IF(COUNTIFS(Despiece!$A$6:$A$705,$A41,Despiece!$D$6:$D$705,"Tela principal",Despiece!$F$6:$F$705,"&gt;0")=0,"",SUMIFS(Despiece!$F$6:$F$705,Despiece!$A$6:$A$705,$A41,Despiece!$D$6:$D$705,"Tela principal")))</f>
        <v/>
      </c>
      <c r="P41" s="9" t="str">
        <f aca="false">IF($A41="","",IFERROR(AVERAGEIFS(Mediciones!$K$6:$K$305,Mediciones!$C$6:$C$305,$A41,Mediciones!$D$6:$D$305,"Tela principal"),""))</f>
        <v/>
      </c>
      <c r="Q41" s="28" t="str">
        <f aca="false">IF($A41="","",IF(N(IF($N41="Despiece",IF(ISNUMBER(O41),O41*(1+Parametros!$B$22),IF(COUNTIFS(Despiece!$A$6:$A$705,$A41,Despiece!$D$6:$D$705,"Tela principal")&gt;0,"",0)),IF($N41="Medición real",IF(ISNUMBER(P41),P41,IF(COUNTIFS(Mediciones!$C$6:$C$305,$A41,Mediciones!$D$6:$D$305,"Tela principal")&gt;0,"",0)),IF(ISNUMBER(P41),P41,IF(ISNUMBER(O41),O41*(1+Parametros!$B$22),IF(OR(COUNTIFS(Despiece!$A$6:$A$705,$A41,Despiece!$D$6:$D$705,"Tela principal")&gt;0,COUNTIFS(Mediciones!$C$6:$C$305,$A41,Mediciones!$D$6:$D$305,"Tela principal")&gt;0),"",0))))))=0,"",IF($N41="Despiece",IF(ISNUMBER(O41),O41*(1+Parametros!$B$22),IF(COUNTIFS(Despiece!$A$6:$A$705,$A41,Despiece!$D$6:$D$705,"Tela principal")&gt;0,"",0)),IF($N41="Medición real",IF(ISNUMBER(P41),P41,IF(COUNTIFS(Mediciones!$C$6:$C$305,$A41,Mediciones!$D$6:$D$305,"Tela principal")&gt;0,"",0)),IF(ISNUMBER(P41),P41,IF(ISNUMBER(O41),O41*(1+Parametros!$B$22),IF(OR(COUNTIFS(Despiece!$A$6:$A$705,$A41,Despiece!$D$6:$D$705,"Tela principal")&gt;0,COUNTIFS(Mediciones!$C$6:$C$305,$A41,Mediciones!$D$6:$D$305,"Tela principal")&gt;0),"",0)))))))</f>
        <v/>
      </c>
      <c r="R41" s="9" t="str">
        <f aca="false">IF($A41="","",IF(COUNTIFS(Despiece!$A$6:$A$705,$A41,Despiece!$D$6:$D$705,"Tela 2",Despiece!$F$6:$F$705,"&gt;0")=0,"",SUMIFS(Despiece!$F$6:$F$705,Despiece!$A$6:$A$705,$A41,Despiece!$D$6:$D$705,"Tela 2")))</f>
        <v/>
      </c>
      <c r="S41" s="9" t="str">
        <f aca="false">IF($A41="","",IFERROR(AVERAGEIFS(Mediciones!$K$6:$K$305,Mediciones!$C$6:$C$305,$A41,Mediciones!$D$6:$D$305,"Tela 2"),""))</f>
        <v/>
      </c>
      <c r="T41" s="28" t="n">
        <f aca="false">IF($A41="","",IF($N41="Despiece",IF(ISNUMBER(R41),R41*(1+Parametros!$B$22),IF(COUNTIFS(Despiece!$A$6:$A$705,$A41,Despiece!$D$6:$D$705,"Tela 2")&gt;0,"",0)),IF($N41="Medición real",IF(ISNUMBER(S41),S41,IF(COUNTIFS(Mediciones!$C$6:$C$305,$A41,Mediciones!$D$6:$D$305,"Tela 2")&gt;0,"",0)),IF(ISNUMBER(S41),S41,IF(ISNUMBER(R41),R41*(1+Parametros!$B$22),IF(OR(COUNTIFS(Despiece!$A$6:$A$705,$A41,Despiece!$D$6:$D$705,"Tela 2")&gt;0,COUNTIFS(Mediciones!$C$6:$C$305,$A41,Mediciones!$D$6:$D$305,"Tela 2")&gt;0),"",0))))))</f>
        <v>0</v>
      </c>
      <c r="U41" s="9" t="str">
        <f aca="false">IF($A41="","",IF(COUNTIFS(Despiece!$A$6:$A$705,$A41,Despiece!$D$6:$D$705,"Tela 3",Despiece!$F$6:$F$705,"&gt;0")=0,"",SUMIFS(Despiece!$F$6:$F$705,Despiece!$A$6:$A$705,$A41,Despiece!$D$6:$D$705,"Tela 3")))</f>
        <v/>
      </c>
      <c r="V41" s="9" t="str">
        <f aca="false">IF($A41="","",IFERROR(AVERAGEIFS(Mediciones!$K$6:$K$305,Mediciones!$C$6:$C$305,$A41,Mediciones!$D$6:$D$305,"Tela 3"),""))</f>
        <v/>
      </c>
      <c r="W41" s="28" t="n">
        <f aca="false">IF($A41="","",IF($N41="Despiece",IF(ISNUMBER(U41),U41*(1+Parametros!$B$22),IF(COUNTIFS(Despiece!$A$6:$A$705,$A41,Despiece!$D$6:$D$705,"Tela 3")&gt;0,"",0)),IF($N41="Medición real",IF(ISNUMBER(V41),V41,IF(COUNTIFS(Mediciones!$C$6:$C$305,$A41,Mediciones!$D$6:$D$305,"Tela 3")&gt;0,"",0)),IF(ISNUMBER(V41),V41,IF(ISNUMBER(U41),U41*(1+Parametros!$B$22),IF(OR(COUNTIFS(Despiece!$A$6:$A$705,$A41,Despiece!$D$6:$D$705,"Tela 3")&gt;0,COUNTIFS(Mediciones!$C$6:$C$305,$A41,Mediciones!$D$6:$D$305,"Tela 3")&gt;0),"",0))))))</f>
        <v>0</v>
      </c>
      <c r="X41" s="27"/>
      <c r="Y41" s="9" t="str">
        <f aca="false">IF($A41="","",IF(ISNUMBER(X41),X41,IF(COUNTIFS(Despiece!$A$6:$A$705,$A41,Despiece!$E$6:$E$705,"Sublimada",Despiece!$F$6:$F$705,"&gt;0")&gt;0,SUMIFS(Despiece!$F$6:$F$705,Despiece!$A$6:$A$705,$A41,Despiece!$E$6:$E$705,"Sublimada")*(1+Parametros!$B$22),IF(COUNTIFS(Despiece!$A$6:$A$705,$A41,Despiece!$E$6:$E$705,"Sublimada")=0,0,""))))</f>
        <v/>
      </c>
      <c r="Z41" s="10" t="str">
        <f aca="false">IF($A41="","",IFERROR(IF(ISNUMBER(Q41),IF(Q41=0,0,Q41*INDEX(Telas!$I$6:$I$105,MATCH(K41,Telas!$A$6:$A$105,0))),NA())+IF(ISNUMBER(T41),IF(T41=0,0,T41*INDEX(Telas!$I$6:$I$105,MATCH(L41,Telas!$A$6:$A$105,0))),NA())+IF(ISNUMBER(W41),IF(W41=0,0,W41*INDEX(Telas!$I$6:$I$105,MATCH(IF(M41="",K41,M41),Telas!$A$6:$A$105,0))),NA()),""))</f>
        <v/>
      </c>
      <c r="AA41" s="10" t="str">
        <f aca="false">IF($A41="","",IF(ISNUMBER(Y41),Y41*Parametros!$B$19,""))</f>
        <v/>
      </c>
      <c r="AB41" s="10" t="n">
        <f aca="false">IF(OR($A41="",F41=""),"",IFERROR(INDEX(Confeccion!$B$6:$B$125,MATCH(F41,Confeccion!$A$6:$A$125,0)),""))</f>
        <v>1900</v>
      </c>
      <c r="AC41" s="10" t="n">
        <f aca="false">IF($A41="","",IFERROR(N(H41)*IF(G41="",0,INDEX(Avios!$C$6:$C$65,MATCH(G41,Avios!$A$6:$A$65,0)))+N(J41)*IF(I41="",0,INDEX(Avios!$C$6:$C$65,MATCH(I41,Avios!$A$6:$A$65,0))),""))</f>
        <v>0</v>
      </c>
      <c r="AD41" s="11" t="str">
        <f aca="false">IF($A41="","",IFERROR(Z41+AA41+AB41+AC41,""))</f>
        <v/>
      </c>
      <c r="AE41" s="10" t="str">
        <f aca="false">IF(ISNUMBER(AD41),AD41*Parametros!$B$12,"")</f>
        <v/>
      </c>
      <c r="AF41" s="29" t="str">
        <f aca="false">IF(AND(ISNUMBER(Q41),K41&lt;&gt;""),IFERROR(1/(Q41*INDEX(Telas!$G$6:$G$105,MATCH(K41,Telas!$A$6:$A$105,0))),""),"")</f>
        <v/>
      </c>
      <c r="AG41" s="0" t="str">
        <f aca="false">IF($A41="","",IF(ISNUMBER(AD41),IF(AND(N(Y41)&gt;0,N(Parametros!$B$19)=0),"Lista, pero sin costo de impresión (Parametros)","Lista"),IF(Q41="","Consumo tela principal (Despiece o Mediciones). ","")&amp;IF(COUNTIFS(Mediciones!$C$6:$C$305,$A41,Mediciones!$K$6:$K$305,"")&gt;0,"Pesar 1 m de la tela medida (Telas, kg por metro). ","")&amp;IF(T41="","Consumo Tela 2. ","")&amp;IF(W41="","Consumo Tela 3. ","")&amp;IF(K41="","Elegir tela principal. ",IF(ISERROR(INDEX(Telas!$I$6:$I$105,MATCH(K41,Telas!$A$6:$A$105,0))*1),"Precio o peso por metro de "&amp;K41&amp;". ",""))&amp;IF(AND(N(T41)&gt;0,L41=""),"Elegir Tela 2. ",IF(AND(N(T41)&gt;0,ISERROR(INDEX(Telas!$I$6:$I$105,MATCH(L41,Telas!$A$6:$A$105,0))*1)),"Precio o peso por metro de "&amp;L41&amp;". ",""))&amp;IF(Y41="","Metros impresos. ","")&amp;IF(F41="","Tipo de confección. ",IF(AB41="","Precio de confección. ",""))))</f>
        <v>Consumo tela principal (Despiece o Mediciones). Elegir tela principal. Metros impresos. </v>
      </c>
      <c r="AH41" s="27" t="s">
        <v>95</v>
      </c>
    </row>
    <row r="42" customFormat="false" ht="15" hidden="false" customHeight="false" outlineLevel="0" collapsed="false">
      <c r="A42" s="27" t="s">
        <v>161</v>
      </c>
      <c r="B42" s="27" t="s">
        <v>162</v>
      </c>
      <c r="C42" s="27" t="s">
        <v>147</v>
      </c>
      <c r="D42" s="27" t="s">
        <v>92</v>
      </c>
      <c r="E42" s="27" t="s">
        <v>93</v>
      </c>
      <c r="F42" s="27" t="s">
        <v>163</v>
      </c>
      <c r="G42" s="8"/>
      <c r="H42" s="27"/>
      <c r="I42" s="8"/>
      <c r="J42" s="27"/>
      <c r="K42" s="8"/>
      <c r="L42" s="8"/>
      <c r="M42" s="8"/>
      <c r="N42" s="8"/>
      <c r="O42" s="9" t="str">
        <f aca="false">IF($A42="","",IF(COUNTIFS(Despiece!$A$6:$A$705,$A42,Despiece!$D$6:$D$705,"Tela principal",Despiece!$F$6:$F$705,"&gt;0")=0,"",SUMIFS(Despiece!$F$6:$F$705,Despiece!$A$6:$A$705,$A42,Despiece!$D$6:$D$705,"Tela principal")))</f>
        <v/>
      </c>
      <c r="P42" s="9" t="str">
        <f aca="false">IF($A42="","",IFERROR(AVERAGEIFS(Mediciones!$K$6:$K$305,Mediciones!$C$6:$C$305,$A42,Mediciones!$D$6:$D$305,"Tela principal"),""))</f>
        <v/>
      </c>
      <c r="Q42" s="28" t="str">
        <f aca="false">IF($A42="","",IF(N(IF($N42="Despiece",IF(ISNUMBER(O42),O42*(1+Parametros!$B$22),IF(COUNTIFS(Despiece!$A$6:$A$705,$A42,Despiece!$D$6:$D$705,"Tela principal")&gt;0,"",0)),IF($N42="Medición real",IF(ISNUMBER(P42),P42,IF(COUNTIFS(Mediciones!$C$6:$C$305,$A42,Mediciones!$D$6:$D$305,"Tela principal")&gt;0,"",0)),IF(ISNUMBER(P42),P42,IF(ISNUMBER(O42),O42*(1+Parametros!$B$22),IF(OR(COUNTIFS(Despiece!$A$6:$A$705,$A42,Despiece!$D$6:$D$705,"Tela principal")&gt;0,COUNTIFS(Mediciones!$C$6:$C$305,$A42,Mediciones!$D$6:$D$305,"Tela principal")&gt;0),"",0))))))=0,"",IF($N42="Despiece",IF(ISNUMBER(O42),O42*(1+Parametros!$B$22),IF(COUNTIFS(Despiece!$A$6:$A$705,$A42,Despiece!$D$6:$D$705,"Tela principal")&gt;0,"",0)),IF($N42="Medición real",IF(ISNUMBER(P42),P42,IF(COUNTIFS(Mediciones!$C$6:$C$305,$A42,Mediciones!$D$6:$D$305,"Tela principal")&gt;0,"",0)),IF(ISNUMBER(P42),P42,IF(ISNUMBER(O42),O42*(1+Parametros!$B$22),IF(OR(COUNTIFS(Despiece!$A$6:$A$705,$A42,Despiece!$D$6:$D$705,"Tela principal")&gt;0,COUNTIFS(Mediciones!$C$6:$C$305,$A42,Mediciones!$D$6:$D$305,"Tela principal")&gt;0),"",0)))))))</f>
        <v/>
      </c>
      <c r="R42" s="9" t="str">
        <f aca="false">IF($A42="","",IF(COUNTIFS(Despiece!$A$6:$A$705,$A42,Despiece!$D$6:$D$705,"Tela 2",Despiece!$F$6:$F$705,"&gt;0")=0,"",SUMIFS(Despiece!$F$6:$F$705,Despiece!$A$6:$A$705,$A42,Despiece!$D$6:$D$705,"Tela 2")))</f>
        <v/>
      </c>
      <c r="S42" s="9" t="str">
        <f aca="false">IF($A42="","",IFERROR(AVERAGEIFS(Mediciones!$K$6:$K$305,Mediciones!$C$6:$C$305,$A42,Mediciones!$D$6:$D$305,"Tela 2"),""))</f>
        <v/>
      </c>
      <c r="T42" s="28" t="n">
        <f aca="false">IF($A42="","",IF($N42="Despiece",IF(ISNUMBER(R42),R42*(1+Parametros!$B$22),IF(COUNTIFS(Despiece!$A$6:$A$705,$A42,Despiece!$D$6:$D$705,"Tela 2")&gt;0,"",0)),IF($N42="Medición real",IF(ISNUMBER(S42),S42,IF(COUNTIFS(Mediciones!$C$6:$C$305,$A42,Mediciones!$D$6:$D$305,"Tela 2")&gt;0,"",0)),IF(ISNUMBER(S42),S42,IF(ISNUMBER(R42),R42*(1+Parametros!$B$22),IF(OR(COUNTIFS(Despiece!$A$6:$A$705,$A42,Despiece!$D$6:$D$705,"Tela 2")&gt;0,COUNTIFS(Mediciones!$C$6:$C$305,$A42,Mediciones!$D$6:$D$305,"Tela 2")&gt;0),"",0))))))</f>
        <v>0</v>
      </c>
      <c r="U42" s="9" t="str">
        <f aca="false">IF($A42="","",IF(COUNTIFS(Despiece!$A$6:$A$705,$A42,Despiece!$D$6:$D$705,"Tela 3",Despiece!$F$6:$F$705,"&gt;0")=0,"",SUMIFS(Despiece!$F$6:$F$705,Despiece!$A$6:$A$705,$A42,Despiece!$D$6:$D$705,"Tela 3")))</f>
        <v/>
      </c>
      <c r="V42" s="9" t="str">
        <f aca="false">IF($A42="","",IFERROR(AVERAGEIFS(Mediciones!$K$6:$K$305,Mediciones!$C$6:$C$305,$A42,Mediciones!$D$6:$D$305,"Tela 3"),""))</f>
        <v/>
      </c>
      <c r="W42" s="28" t="n">
        <f aca="false">IF($A42="","",IF($N42="Despiece",IF(ISNUMBER(U42),U42*(1+Parametros!$B$22),IF(COUNTIFS(Despiece!$A$6:$A$705,$A42,Despiece!$D$6:$D$705,"Tela 3")&gt;0,"",0)),IF($N42="Medición real",IF(ISNUMBER(V42),V42,IF(COUNTIFS(Mediciones!$C$6:$C$305,$A42,Mediciones!$D$6:$D$305,"Tela 3")&gt;0,"",0)),IF(ISNUMBER(V42),V42,IF(ISNUMBER(U42),U42*(1+Parametros!$B$22),IF(OR(COUNTIFS(Despiece!$A$6:$A$705,$A42,Despiece!$D$6:$D$705,"Tela 3")&gt;0,COUNTIFS(Mediciones!$C$6:$C$305,$A42,Mediciones!$D$6:$D$305,"Tela 3")&gt;0),"",0))))))</f>
        <v>0</v>
      </c>
      <c r="X42" s="27"/>
      <c r="Y42" s="9" t="str">
        <f aca="false">IF($A42="","",IF(ISNUMBER(X42),X42,IF(COUNTIFS(Despiece!$A$6:$A$705,$A42,Despiece!$E$6:$E$705,"Sublimada",Despiece!$F$6:$F$705,"&gt;0")&gt;0,SUMIFS(Despiece!$F$6:$F$705,Despiece!$A$6:$A$705,$A42,Despiece!$E$6:$E$705,"Sublimada")*(1+Parametros!$B$22),IF(COUNTIFS(Despiece!$A$6:$A$705,$A42,Despiece!$E$6:$E$705,"Sublimada")=0,0,""))))</f>
        <v/>
      </c>
      <c r="Z42" s="10" t="str">
        <f aca="false">IF($A42="","",IFERROR(IF(ISNUMBER(Q42),IF(Q42=0,0,Q42*INDEX(Telas!$I$6:$I$105,MATCH(K42,Telas!$A$6:$A$105,0))),NA())+IF(ISNUMBER(T42),IF(T42=0,0,T42*INDEX(Telas!$I$6:$I$105,MATCH(L42,Telas!$A$6:$A$105,0))),NA())+IF(ISNUMBER(W42),IF(W42=0,0,W42*INDEX(Telas!$I$6:$I$105,MATCH(IF(M42="",K42,M42),Telas!$A$6:$A$105,0))),NA()),""))</f>
        <v/>
      </c>
      <c r="AA42" s="10" t="str">
        <f aca="false">IF($A42="","",IF(ISNUMBER(Y42),Y42*Parametros!$B$19,""))</f>
        <v/>
      </c>
      <c r="AB42" s="10" t="n">
        <f aca="false">IF(OR($A42="",F42=""),"",IFERROR(INDEX(Confeccion!$B$6:$B$125,MATCH(F42,Confeccion!$A$6:$A$125,0)),""))</f>
        <v>2400</v>
      </c>
      <c r="AC42" s="10" t="n">
        <f aca="false">IF($A42="","",IFERROR(N(H42)*IF(G42="",0,INDEX(Avios!$C$6:$C$65,MATCH(G42,Avios!$A$6:$A$65,0)))+N(J42)*IF(I42="",0,INDEX(Avios!$C$6:$C$65,MATCH(I42,Avios!$A$6:$A$65,0))),""))</f>
        <v>0</v>
      </c>
      <c r="AD42" s="11" t="str">
        <f aca="false">IF($A42="","",IFERROR(Z42+AA42+AB42+AC42,""))</f>
        <v/>
      </c>
      <c r="AE42" s="10" t="str">
        <f aca="false">IF(ISNUMBER(AD42),AD42*Parametros!$B$12,"")</f>
        <v/>
      </c>
      <c r="AF42" s="29" t="str">
        <f aca="false">IF(AND(ISNUMBER(Q42),K42&lt;&gt;""),IFERROR(1/(Q42*INDEX(Telas!$G$6:$G$105,MATCH(K42,Telas!$A$6:$A$105,0))),""),"")</f>
        <v/>
      </c>
      <c r="AG42" s="0" t="str">
        <f aca="false">IF($A42="","",IF(ISNUMBER(AD42),IF(AND(N(Y42)&gt;0,N(Parametros!$B$19)=0),"Lista, pero sin costo de impresión (Parametros)","Lista"),IF(Q42="","Consumo tela principal (Despiece o Mediciones). ","")&amp;IF(COUNTIFS(Mediciones!$C$6:$C$305,$A42,Mediciones!$K$6:$K$305,"")&gt;0,"Pesar 1 m de la tela medida (Telas, kg por metro). ","")&amp;IF(T42="","Consumo Tela 2. ","")&amp;IF(W42="","Consumo Tela 3. ","")&amp;IF(K42="","Elegir tela principal. ",IF(ISERROR(INDEX(Telas!$I$6:$I$105,MATCH(K42,Telas!$A$6:$A$105,0))*1),"Precio o peso por metro de "&amp;K42&amp;". ",""))&amp;IF(AND(N(T42)&gt;0,L42=""),"Elegir Tela 2. ",IF(AND(N(T42)&gt;0,ISERROR(INDEX(Telas!$I$6:$I$105,MATCH(L42,Telas!$A$6:$A$105,0))*1)),"Precio o peso por metro de "&amp;L42&amp;". ",""))&amp;IF(Y42="","Metros impresos. ","")&amp;IF(F42="","Tipo de confección. ",IF(AB42="","Precio de confección. ",""))))</f>
        <v>Consumo tela principal (Despiece o Mediciones). Elegir tela principal. Metros impresos. </v>
      </c>
      <c r="AH42" s="27" t="s">
        <v>95</v>
      </c>
    </row>
    <row r="43" customFormat="false" ht="15" hidden="false" customHeight="false" outlineLevel="0" collapsed="false">
      <c r="A43" s="27" t="s">
        <v>164</v>
      </c>
      <c r="B43" s="27" t="s">
        <v>162</v>
      </c>
      <c r="C43" s="27" t="s">
        <v>147</v>
      </c>
      <c r="D43" s="27" t="s">
        <v>92</v>
      </c>
      <c r="E43" s="27" t="s">
        <v>97</v>
      </c>
      <c r="F43" s="27" t="s">
        <v>163</v>
      </c>
      <c r="G43" s="8"/>
      <c r="H43" s="27"/>
      <c r="I43" s="8"/>
      <c r="J43" s="27"/>
      <c r="K43" s="8"/>
      <c r="L43" s="8"/>
      <c r="M43" s="8"/>
      <c r="N43" s="8"/>
      <c r="O43" s="9" t="str">
        <f aca="false">IF($A43="","",IF(COUNTIFS(Despiece!$A$6:$A$705,$A43,Despiece!$D$6:$D$705,"Tela principal",Despiece!$F$6:$F$705,"&gt;0")=0,"",SUMIFS(Despiece!$F$6:$F$705,Despiece!$A$6:$A$705,$A43,Despiece!$D$6:$D$705,"Tela principal")))</f>
        <v/>
      </c>
      <c r="P43" s="9" t="str">
        <f aca="false">IF($A43="","",IFERROR(AVERAGEIFS(Mediciones!$K$6:$K$305,Mediciones!$C$6:$C$305,$A43,Mediciones!$D$6:$D$305,"Tela principal"),""))</f>
        <v/>
      </c>
      <c r="Q43" s="28" t="str">
        <f aca="false">IF($A43="","",IF(N(IF($N43="Despiece",IF(ISNUMBER(O43),O43*(1+Parametros!$B$22),IF(COUNTIFS(Despiece!$A$6:$A$705,$A43,Despiece!$D$6:$D$705,"Tela principal")&gt;0,"",0)),IF($N43="Medición real",IF(ISNUMBER(P43),P43,IF(COUNTIFS(Mediciones!$C$6:$C$305,$A43,Mediciones!$D$6:$D$305,"Tela principal")&gt;0,"",0)),IF(ISNUMBER(P43),P43,IF(ISNUMBER(O43),O43*(1+Parametros!$B$22),IF(OR(COUNTIFS(Despiece!$A$6:$A$705,$A43,Despiece!$D$6:$D$705,"Tela principal")&gt;0,COUNTIFS(Mediciones!$C$6:$C$305,$A43,Mediciones!$D$6:$D$305,"Tela principal")&gt;0),"",0))))))=0,"",IF($N43="Despiece",IF(ISNUMBER(O43),O43*(1+Parametros!$B$22),IF(COUNTIFS(Despiece!$A$6:$A$705,$A43,Despiece!$D$6:$D$705,"Tela principal")&gt;0,"",0)),IF($N43="Medición real",IF(ISNUMBER(P43),P43,IF(COUNTIFS(Mediciones!$C$6:$C$305,$A43,Mediciones!$D$6:$D$305,"Tela principal")&gt;0,"",0)),IF(ISNUMBER(P43),P43,IF(ISNUMBER(O43),O43*(1+Parametros!$B$22),IF(OR(COUNTIFS(Despiece!$A$6:$A$705,$A43,Despiece!$D$6:$D$705,"Tela principal")&gt;0,COUNTIFS(Mediciones!$C$6:$C$305,$A43,Mediciones!$D$6:$D$305,"Tela principal")&gt;0),"",0)))))))</f>
        <v/>
      </c>
      <c r="R43" s="9" t="str">
        <f aca="false">IF($A43="","",IF(COUNTIFS(Despiece!$A$6:$A$705,$A43,Despiece!$D$6:$D$705,"Tela 2",Despiece!$F$6:$F$705,"&gt;0")=0,"",SUMIFS(Despiece!$F$6:$F$705,Despiece!$A$6:$A$705,$A43,Despiece!$D$6:$D$705,"Tela 2")))</f>
        <v/>
      </c>
      <c r="S43" s="9" t="str">
        <f aca="false">IF($A43="","",IFERROR(AVERAGEIFS(Mediciones!$K$6:$K$305,Mediciones!$C$6:$C$305,$A43,Mediciones!$D$6:$D$305,"Tela 2"),""))</f>
        <v/>
      </c>
      <c r="T43" s="28" t="n">
        <f aca="false">IF($A43="","",IF($N43="Despiece",IF(ISNUMBER(R43),R43*(1+Parametros!$B$22),IF(COUNTIFS(Despiece!$A$6:$A$705,$A43,Despiece!$D$6:$D$705,"Tela 2")&gt;0,"",0)),IF($N43="Medición real",IF(ISNUMBER(S43),S43,IF(COUNTIFS(Mediciones!$C$6:$C$305,$A43,Mediciones!$D$6:$D$305,"Tela 2")&gt;0,"",0)),IF(ISNUMBER(S43),S43,IF(ISNUMBER(R43),R43*(1+Parametros!$B$22),IF(OR(COUNTIFS(Despiece!$A$6:$A$705,$A43,Despiece!$D$6:$D$705,"Tela 2")&gt;0,COUNTIFS(Mediciones!$C$6:$C$305,$A43,Mediciones!$D$6:$D$305,"Tela 2")&gt;0),"",0))))))</f>
        <v>0</v>
      </c>
      <c r="U43" s="9" t="str">
        <f aca="false">IF($A43="","",IF(COUNTIFS(Despiece!$A$6:$A$705,$A43,Despiece!$D$6:$D$705,"Tela 3",Despiece!$F$6:$F$705,"&gt;0")=0,"",SUMIFS(Despiece!$F$6:$F$705,Despiece!$A$6:$A$705,$A43,Despiece!$D$6:$D$705,"Tela 3")))</f>
        <v/>
      </c>
      <c r="V43" s="9" t="str">
        <f aca="false">IF($A43="","",IFERROR(AVERAGEIFS(Mediciones!$K$6:$K$305,Mediciones!$C$6:$C$305,$A43,Mediciones!$D$6:$D$305,"Tela 3"),""))</f>
        <v/>
      </c>
      <c r="W43" s="28" t="n">
        <f aca="false">IF($A43="","",IF($N43="Despiece",IF(ISNUMBER(U43),U43*(1+Parametros!$B$22),IF(COUNTIFS(Despiece!$A$6:$A$705,$A43,Despiece!$D$6:$D$705,"Tela 3")&gt;0,"",0)),IF($N43="Medición real",IF(ISNUMBER(V43),V43,IF(COUNTIFS(Mediciones!$C$6:$C$305,$A43,Mediciones!$D$6:$D$305,"Tela 3")&gt;0,"",0)),IF(ISNUMBER(V43),V43,IF(ISNUMBER(U43),U43*(1+Parametros!$B$22),IF(OR(COUNTIFS(Despiece!$A$6:$A$705,$A43,Despiece!$D$6:$D$705,"Tela 3")&gt;0,COUNTIFS(Mediciones!$C$6:$C$305,$A43,Mediciones!$D$6:$D$305,"Tela 3")&gt;0),"",0))))))</f>
        <v>0</v>
      </c>
      <c r="X43" s="27"/>
      <c r="Y43" s="9" t="str">
        <f aca="false">IF($A43="","",IF(ISNUMBER(X43),X43,IF(COUNTIFS(Despiece!$A$6:$A$705,$A43,Despiece!$E$6:$E$705,"Sublimada",Despiece!$F$6:$F$705,"&gt;0")&gt;0,SUMIFS(Despiece!$F$6:$F$705,Despiece!$A$6:$A$705,$A43,Despiece!$E$6:$E$705,"Sublimada")*(1+Parametros!$B$22),IF(COUNTIFS(Despiece!$A$6:$A$705,$A43,Despiece!$E$6:$E$705,"Sublimada")=0,0,""))))</f>
        <v/>
      </c>
      <c r="Z43" s="10" t="str">
        <f aca="false">IF($A43="","",IFERROR(IF(ISNUMBER(Q43),IF(Q43=0,0,Q43*INDEX(Telas!$I$6:$I$105,MATCH(K43,Telas!$A$6:$A$105,0))),NA())+IF(ISNUMBER(T43),IF(T43=0,0,T43*INDEX(Telas!$I$6:$I$105,MATCH(L43,Telas!$A$6:$A$105,0))),NA())+IF(ISNUMBER(W43),IF(W43=0,0,W43*INDEX(Telas!$I$6:$I$105,MATCH(IF(M43="",K43,M43),Telas!$A$6:$A$105,0))),NA()),""))</f>
        <v/>
      </c>
      <c r="AA43" s="10" t="str">
        <f aca="false">IF($A43="","",IF(ISNUMBER(Y43),Y43*Parametros!$B$19,""))</f>
        <v/>
      </c>
      <c r="AB43" s="10" t="n">
        <f aca="false">IF(OR($A43="",F43=""),"",IFERROR(INDEX(Confeccion!$B$6:$B$125,MATCH(F43,Confeccion!$A$6:$A$125,0)),""))</f>
        <v>2400</v>
      </c>
      <c r="AC43" s="10" t="n">
        <f aca="false">IF($A43="","",IFERROR(N(H43)*IF(G43="",0,INDEX(Avios!$C$6:$C$65,MATCH(G43,Avios!$A$6:$A$65,0)))+N(J43)*IF(I43="",0,INDEX(Avios!$C$6:$C$65,MATCH(I43,Avios!$A$6:$A$65,0))),""))</f>
        <v>0</v>
      </c>
      <c r="AD43" s="11" t="str">
        <f aca="false">IF($A43="","",IFERROR(Z43+AA43+AB43+AC43,""))</f>
        <v/>
      </c>
      <c r="AE43" s="10" t="str">
        <f aca="false">IF(ISNUMBER(AD43),AD43*Parametros!$B$12,"")</f>
        <v/>
      </c>
      <c r="AF43" s="29" t="str">
        <f aca="false">IF(AND(ISNUMBER(Q43),K43&lt;&gt;""),IFERROR(1/(Q43*INDEX(Telas!$G$6:$G$105,MATCH(K43,Telas!$A$6:$A$105,0))),""),"")</f>
        <v/>
      </c>
      <c r="AG43" s="0" t="str">
        <f aca="false">IF($A43="","",IF(ISNUMBER(AD43),IF(AND(N(Y43)&gt;0,N(Parametros!$B$19)=0),"Lista, pero sin costo de impresión (Parametros)","Lista"),IF(Q43="","Consumo tela principal (Despiece o Mediciones). ","")&amp;IF(COUNTIFS(Mediciones!$C$6:$C$305,$A43,Mediciones!$K$6:$K$305,"")&gt;0,"Pesar 1 m de la tela medida (Telas, kg por metro). ","")&amp;IF(T43="","Consumo Tela 2. ","")&amp;IF(W43="","Consumo Tela 3. ","")&amp;IF(K43="","Elegir tela principal. ",IF(ISERROR(INDEX(Telas!$I$6:$I$105,MATCH(K43,Telas!$A$6:$A$105,0))*1),"Precio o peso por metro de "&amp;K43&amp;". ",""))&amp;IF(AND(N(T43)&gt;0,L43=""),"Elegir Tela 2. ",IF(AND(N(T43)&gt;0,ISERROR(INDEX(Telas!$I$6:$I$105,MATCH(L43,Telas!$A$6:$A$105,0))*1)),"Precio o peso por metro de "&amp;L43&amp;". ",""))&amp;IF(Y43="","Metros impresos. ","")&amp;IF(F43="","Tipo de confección. ",IF(AB43="","Precio de confección. ",""))))</f>
        <v>Consumo tela principal (Despiece o Mediciones). Elegir tela principal. Metros impresos. </v>
      </c>
      <c r="AH43" s="27" t="s">
        <v>95</v>
      </c>
    </row>
    <row r="44" customFormat="false" ht="15" hidden="false" customHeight="false" outlineLevel="0" collapsed="false">
      <c r="A44" s="27" t="s">
        <v>165</v>
      </c>
      <c r="B44" s="27" t="s">
        <v>166</v>
      </c>
      <c r="C44" s="27" t="s">
        <v>147</v>
      </c>
      <c r="D44" s="27" t="s">
        <v>92</v>
      </c>
      <c r="E44" s="27" t="s">
        <v>100</v>
      </c>
      <c r="F44" s="27" t="s">
        <v>163</v>
      </c>
      <c r="G44" s="8"/>
      <c r="H44" s="27"/>
      <c r="I44" s="8"/>
      <c r="J44" s="27"/>
      <c r="K44" s="8"/>
      <c r="L44" s="8"/>
      <c r="M44" s="8"/>
      <c r="N44" s="8"/>
      <c r="O44" s="9" t="str">
        <f aca="false">IF($A44="","",IF(COUNTIFS(Despiece!$A$6:$A$705,$A44,Despiece!$D$6:$D$705,"Tela principal",Despiece!$F$6:$F$705,"&gt;0")=0,"",SUMIFS(Despiece!$F$6:$F$705,Despiece!$A$6:$A$705,$A44,Despiece!$D$6:$D$705,"Tela principal")))</f>
        <v/>
      </c>
      <c r="P44" s="9" t="str">
        <f aca="false">IF($A44="","",IFERROR(AVERAGEIFS(Mediciones!$K$6:$K$305,Mediciones!$C$6:$C$305,$A44,Mediciones!$D$6:$D$305,"Tela principal"),""))</f>
        <v/>
      </c>
      <c r="Q44" s="28" t="str">
        <f aca="false">IF($A44="","",IF(N(IF($N44="Despiece",IF(ISNUMBER(O44),O44*(1+Parametros!$B$22),IF(COUNTIFS(Despiece!$A$6:$A$705,$A44,Despiece!$D$6:$D$705,"Tela principal")&gt;0,"",0)),IF($N44="Medición real",IF(ISNUMBER(P44),P44,IF(COUNTIFS(Mediciones!$C$6:$C$305,$A44,Mediciones!$D$6:$D$305,"Tela principal")&gt;0,"",0)),IF(ISNUMBER(P44),P44,IF(ISNUMBER(O44),O44*(1+Parametros!$B$22),IF(OR(COUNTIFS(Despiece!$A$6:$A$705,$A44,Despiece!$D$6:$D$705,"Tela principal")&gt;0,COUNTIFS(Mediciones!$C$6:$C$305,$A44,Mediciones!$D$6:$D$305,"Tela principal")&gt;0),"",0))))))=0,"",IF($N44="Despiece",IF(ISNUMBER(O44),O44*(1+Parametros!$B$22),IF(COUNTIFS(Despiece!$A$6:$A$705,$A44,Despiece!$D$6:$D$705,"Tela principal")&gt;0,"",0)),IF($N44="Medición real",IF(ISNUMBER(P44),P44,IF(COUNTIFS(Mediciones!$C$6:$C$305,$A44,Mediciones!$D$6:$D$305,"Tela principal")&gt;0,"",0)),IF(ISNUMBER(P44),P44,IF(ISNUMBER(O44),O44*(1+Parametros!$B$22),IF(OR(COUNTIFS(Despiece!$A$6:$A$705,$A44,Despiece!$D$6:$D$705,"Tela principal")&gt;0,COUNTIFS(Mediciones!$C$6:$C$305,$A44,Mediciones!$D$6:$D$305,"Tela principal")&gt;0),"",0)))))))</f>
        <v/>
      </c>
      <c r="R44" s="9" t="str">
        <f aca="false">IF($A44="","",IF(COUNTIFS(Despiece!$A$6:$A$705,$A44,Despiece!$D$6:$D$705,"Tela 2",Despiece!$F$6:$F$705,"&gt;0")=0,"",SUMIFS(Despiece!$F$6:$F$705,Despiece!$A$6:$A$705,$A44,Despiece!$D$6:$D$705,"Tela 2")))</f>
        <v/>
      </c>
      <c r="S44" s="9" t="str">
        <f aca="false">IF($A44="","",IFERROR(AVERAGEIFS(Mediciones!$K$6:$K$305,Mediciones!$C$6:$C$305,$A44,Mediciones!$D$6:$D$305,"Tela 2"),""))</f>
        <v/>
      </c>
      <c r="T44" s="28" t="n">
        <f aca="false">IF($A44="","",IF($N44="Despiece",IF(ISNUMBER(R44),R44*(1+Parametros!$B$22),IF(COUNTIFS(Despiece!$A$6:$A$705,$A44,Despiece!$D$6:$D$705,"Tela 2")&gt;0,"",0)),IF($N44="Medición real",IF(ISNUMBER(S44),S44,IF(COUNTIFS(Mediciones!$C$6:$C$305,$A44,Mediciones!$D$6:$D$305,"Tela 2")&gt;0,"",0)),IF(ISNUMBER(S44),S44,IF(ISNUMBER(R44),R44*(1+Parametros!$B$22),IF(OR(COUNTIFS(Despiece!$A$6:$A$705,$A44,Despiece!$D$6:$D$705,"Tela 2")&gt;0,COUNTIFS(Mediciones!$C$6:$C$305,$A44,Mediciones!$D$6:$D$305,"Tela 2")&gt;0),"",0))))))</f>
        <v>0</v>
      </c>
      <c r="U44" s="9" t="str">
        <f aca="false">IF($A44="","",IF(COUNTIFS(Despiece!$A$6:$A$705,$A44,Despiece!$D$6:$D$705,"Tela 3",Despiece!$F$6:$F$705,"&gt;0")=0,"",SUMIFS(Despiece!$F$6:$F$705,Despiece!$A$6:$A$705,$A44,Despiece!$D$6:$D$705,"Tela 3")))</f>
        <v/>
      </c>
      <c r="V44" s="9" t="str">
        <f aca="false">IF($A44="","",IFERROR(AVERAGEIFS(Mediciones!$K$6:$K$305,Mediciones!$C$6:$C$305,$A44,Mediciones!$D$6:$D$305,"Tela 3"),""))</f>
        <v/>
      </c>
      <c r="W44" s="28" t="n">
        <f aca="false">IF($A44="","",IF($N44="Despiece",IF(ISNUMBER(U44),U44*(1+Parametros!$B$22),IF(COUNTIFS(Despiece!$A$6:$A$705,$A44,Despiece!$D$6:$D$705,"Tela 3")&gt;0,"",0)),IF($N44="Medición real",IF(ISNUMBER(V44),V44,IF(COUNTIFS(Mediciones!$C$6:$C$305,$A44,Mediciones!$D$6:$D$305,"Tela 3")&gt;0,"",0)),IF(ISNUMBER(V44),V44,IF(ISNUMBER(U44),U44*(1+Parametros!$B$22),IF(OR(COUNTIFS(Despiece!$A$6:$A$705,$A44,Despiece!$D$6:$D$705,"Tela 3")&gt;0,COUNTIFS(Mediciones!$C$6:$C$305,$A44,Mediciones!$D$6:$D$305,"Tela 3")&gt;0),"",0))))))</f>
        <v>0</v>
      </c>
      <c r="X44" s="27"/>
      <c r="Y44" s="9" t="str">
        <f aca="false">IF($A44="","",IF(ISNUMBER(X44),X44,IF(COUNTIFS(Despiece!$A$6:$A$705,$A44,Despiece!$E$6:$E$705,"Sublimada",Despiece!$F$6:$F$705,"&gt;0")&gt;0,SUMIFS(Despiece!$F$6:$F$705,Despiece!$A$6:$A$705,$A44,Despiece!$E$6:$E$705,"Sublimada")*(1+Parametros!$B$22),IF(COUNTIFS(Despiece!$A$6:$A$705,$A44,Despiece!$E$6:$E$705,"Sublimada")=0,0,""))))</f>
        <v/>
      </c>
      <c r="Z44" s="10" t="str">
        <f aca="false">IF($A44="","",IFERROR(IF(ISNUMBER(Q44),IF(Q44=0,0,Q44*INDEX(Telas!$I$6:$I$105,MATCH(K44,Telas!$A$6:$A$105,0))),NA())+IF(ISNUMBER(T44),IF(T44=0,0,T44*INDEX(Telas!$I$6:$I$105,MATCH(L44,Telas!$A$6:$A$105,0))),NA())+IF(ISNUMBER(W44),IF(W44=0,0,W44*INDEX(Telas!$I$6:$I$105,MATCH(IF(M44="",K44,M44),Telas!$A$6:$A$105,0))),NA()),""))</f>
        <v/>
      </c>
      <c r="AA44" s="10" t="str">
        <f aca="false">IF($A44="","",IF(ISNUMBER(Y44),Y44*Parametros!$B$19,""))</f>
        <v/>
      </c>
      <c r="AB44" s="10" t="n">
        <f aca="false">IF(OR($A44="",F44=""),"",IFERROR(INDEX(Confeccion!$B$6:$B$125,MATCH(F44,Confeccion!$A$6:$A$125,0)),""))</f>
        <v>2400</v>
      </c>
      <c r="AC44" s="10" t="n">
        <f aca="false">IF($A44="","",IFERROR(N(H44)*IF(G44="",0,INDEX(Avios!$C$6:$C$65,MATCH(G44,Avios!$A$6:$A$65,0)))+N(J44)*IF(I44="",0,INDEX(Avios!$C$6:$C$65,MATCH(I44,Avios!$A$6:$A$65,0))),""))</f>
        <v>0</v>
      </c>
      <c r="AD44" s="11" t="str">
        <f aca="false">IF($A44="","",IFERROR(Z44+AA44+AB44+AC44,""))</f>
        <v/>
      </c>
      <c r="AE44" s="10" t="str">
        <f aca="false">IF(ISNUMBER(AD44),AD44*Parametros!$B$12,"")</f>
        <v/>
      </c>
      <c r="AF44" s="29" t="str">
        <f aca="false">IF(AND(ISNUMBER(Q44),K44&lt;&gt;""),IFERROR(1/(Q44*INDEX(Telas!$G$6:$G$105,MATCH(K44,Telas!$A$6:$A$105,0))),""),"")</f>
        <v/>
      </c>
      <c r="AG44" s="0" t="str">
        <f aca="false">IF($A44="","",IF(ISNUMBER(AD44),IF(AND(N(Y44)&gt;0,N(Parametros!$B$19)=0),"Lista, pero sin costo de impresión (Parametros)","Lista"),IF(Q44="","Consumo tela principal (Despiece o Mediciones). ","")&amp;IF(COUNTIFS(Mediciones!$C$6:$C$305,$A44,Mediciones!$K$6:$K$305,"")&gt;0,"Pesar 1 m de la tela medida (Telas, kg por metro). ","")&amp;IF(T44="","Consumo Tela 2. ","")&amp;IF(W44="","Consumo Tela 3. ","")&amp;IF(K44="","Elegir tela principal. ",IF(ISERROR(INDEX(Telas!$I$6:$I$105,MATCH(K44,Telas!$A$6:$A$105,0))*1),"Precio o peso por metro de "&amp;K44&amp;". ",""))&amp;IF(AND(N(T44)&gt;0,L44=""),"Elegir Tela 2. ",IF(AND(N(T44)&gt;0,ISERROR(INDEX(Telas!$I$6:$I$105,MATCH(L44,Telas!$A$6:$A$105,0))*1)),"Precio o peso por metro de "&amp;L44&amp;". ",""))&amp;IF(Y44="","Metros impresos. ","")&amp;IF(F44="","Tipo de confección. ",IF(AB44="","Precio de confección. ",""))))</f>
        <v>Consumo tela principal (Despiece o Mediciones). Elegir tela principal. Metros impresos. </v>
      </c>
      <c r="AH44" s="27" t="s">
        <v>95</v>
      </c>
    </row>
    <row r="45" customFormat="false" ht="15" hidden="false" customHeight="false" outlineLevel="0" collapsed="false">
      <c r="A45" s="27" t="s">
        <v>167</v>
      </c>
      <c r="B45" s="27" t="s">
        <v>166</v>
      </c>
      <c r="C45" s="27" t="s">
        <v>147</v>
      </c>
      <c r="D45" s="27" t="s">
        <v>92</v>
      </c>
      <c r="E45" s="27" t="s">
        <v>102</v>
      </c>
      <c r="F45" s="27" t="s">
        <v>163</v>
      </c>
      <c r="G45" s="8"/>
      <c r="H45" s="27"/>
      <c r="I45" s="8"/>
      <c r="J45" s="27"/>
      <c r="K45" s="8"/>
      <c r="L45" s="8"/>
      <c r="M45" s="8"/>
      <c r="N45" s="8"/>
      <c r="O45" s="9" t="str">
        <f aca="false">IF($A45="","",IF(COUNTIFS(Despiece!$A$6:$A$705,$A45,Despiece!$D$6:$D$705,"Tela principal",Despiece!$F$6:$F$705,"&gt;0")=0,"",SUMIFS(Despiece!$F$6:$F$705,Despiece!$A$6:$A$705,$A45,Despiece!$D$6:$D$705,"Tela principal")))</f>
        <v/>
      </c>
      <c r="P45" s="9" t="str">
        <f aca="false">IF($A45="","",IFERROR(AVERAGEIFS(Mediciones!$K$6:$K$305,Mediciones!$C$6:$C$305,$A45,Mediciones!$D$6:$D$305,"Tela principal"),""))</f>
        <v/>
      </c>
      <c r="Q45" s="28" t="str">
        <f aca="false">IF($A45="","",IF(N(IF($N45="Despiece",IF(ISNUMBER(O45),O45*(1+Parametros!$B$22),IF(COUNTIFS(Despiece!$A$6:$A$705,$A45,Despiece!$D$6:$D$705,"Tela principal")&gt;0,"",0)),IF($N45="Medición real",IF(ISNUMBER(P45),P45,IF(COUNTIFS(Mediciones!$C$6:$C$305,$A45,Mediciones!$D$6:$D$305,"Tela principal")&gt;0,"",0)),IF(ISNUMBER(P45),P45,IF(ISNUMBER(O45),O45*(1+Parametros!$B$22),IF(OR(COUNTIFS(Despiece!$A$6:$A$705,$A45,Despiece!$D$6:$D$705,"Tela principal")&gt;0,COUNTIFS(Mediciones!$C$6:$C$305,$A45,Mediciones!$D$6:$D$305,"Tela principal")&gt;0),"",0))))))=0,"",IF($N45="Despiece",IF(ISNUMBER(O45),O45*(1+Parametros!$B$22),IF(COUNTIFS(Despiece!$A$6:$A$705,$A45,Despiece!$D$6:$D$705,"Tela principal")&gt;0,"",0)),IF($N45="Medición real",IF(ISNUMBER(P45),P45,IF(COUNTIFS(Mediciones!$C$6:$C$305,$A45,Mediciones!$D$6:$D$305,"Tela principal")&gt;0,"",0)),IF(ISNUMBER(P45),P45,IF(ISNUMBER(O45),O45*(1+Parametros!$B$22),IF(OR(COUNTIFS(Despiece!$A$6:$A$705,$A45,Despiece!$D$6:$D$705,"Tela principal")&gt;0,COUNTIFS(Mediciones!$C$6:$C$305,$A45,Mediciones!$D$6:$D$305,"Tela principal")&gt;0),"",0)))))))</f>
        <v/>
      </c>
      <c r="R45" s="9" t="str">
        <f aca="false">IF($A45="","",IF(COUNTIFS(Despiece!$A$6:$A$705,$A45,Despiece!$D$6:$D$705,"Tela 2",Despiece!$F$6:$F$705,"&gt;0")=0,"",SUMIFS(Despiece!$F$6:$F$705,Despiece!$A$6:$A$705,$A45,Despiece!$D$6:$D$705,"Tela 2")))</f>
        <v/>
      </c>
      <c r="S45" s="9" t="str">
        <f aca="false">IF($A45="","",IFERROR(AVERAGEIFS(Mediciones!$K$6:$K$305,Mediciones!$C$6:$C$305,$A45,Mediciones!$D$6:$D$305,"Tela 2"),""))</f>
        <v/>
      </c>
      <c r="T45" s="28" t="n">
        <f aca="false">IF($A45="","",IF($N45="Despiece",IF(ISNUMBER(R45),R45*(1+Parametros!$B$22),IF(COUNTIFS(Despiece!$A$6:$A$705,$A45,Despiece!$D$6:$D$705,"Tela 2")&gt;0,"",0)),IF($N45="Medición real",IF(ISNUMBER(S45),S45,IF(COUNTIFS(Mediciones!$C$6:$C$305,$A45,Mediciones!$D$6:$D$305,"Tela 2")&gt;0,"",0)),IF(ISNUMBER(S45),S45,IF(ISNUMBER(R45),R45*(1+Parametros!$B$22),IF(OR(COUNTIFS(Despiece!$A$6:$A$705,$A45,Despiece!$D$6:$D$705,"Tela 2")&gt;0,COUNTIFS(Mediciones!$C$6:$C$305,$A45,Mediciones!$D$6:$D$305,"Tela 2")&gt;0),"",0))))))</f>
        <v>0</v>
      </c>
      <c r="U45" s="9" t="str">
        <f aca="false">IF($A45="","",IF(COUNTIFS(Despiece!$A$6:$A$705,$A45,Despiece!$D$6:$D$705,"Tela 3",Despiece!$F$6:$F$705,"&gt;0")=0,"",SUMIFS(Despiece!$F$6:$F$705,Despiece!$A$6:$A$705,$A45,Despiece!$D$6:$D$705,"Tela 3")))</f>
        <v/>
      </c>
      <c r="V45" s="9" t="str">
        <f aca="false">IF($A45="","",IFERROR(AVERAGEIFS(Mediciones!$K$6:$K$305,Mediciones!$C$6:$C$305,$A45,Mediciones!$D$6:$D$305,"Tela 3"),""))</f>
        <v/>
      </c>
      <c r="W45" s="28" t="n">
        <f aca="false">IF($A45="","",IF($N45="Despiece",IF(ISNUMBER(U45),U45*(1+Parametros!$B$22),IF(COUNTIFS(Despiece!$A$6:$A$705,$A45,Despiece!$D$6:$D$705,"Tela 3")&gt;0,"",0)),IF($N45="Medición real",IF(ISNUMBER(V45),V45,IF(COUNTIFS(Mediciones!$C$6:$C$305,$A45,Mediciones!$D$6:$D$305,"Tela 3")&gt;0,"",0)),IF(ISNUMBER(V45),V45,IF(ISNUMBER(U45),U45*(1+Parametros!$B$22),IF(OR(COUNTIFS(Despiece!$A$6:$A$705,$A45,Despiece!$D$6:$D$705,"Tela 3")&gt;0,COUNTIFS(Mediciones!$C$6:$C$305,$A45,Mediciones!$D$6:$D$305,"Tela 3")&gt;0),"",0))))))</f>
        <v>0</v>
      </c>
      <c r="X45" s="27"/>
      <c r="Y45" s="9" t="str">
        <f aca="false">IF($A45="","",IF(ISNUMBER(X45),X45,IF(COUNTIFS(Despiece!$A$6:$A$705,$A45,Despiece!$E$6:$E$705,"Sublimada",Despiece!$F$6:$F$705,"&gt;0")&gt;0,SUMIFS(Despiece!$F$6:$F$705,Despiece!$A$6:$A$705,$A45,Despiece!$E$6:$E$705,"Sublimada")*(1+Parametros!$B$22),IF(COUNTIFS(Despiece!$A$6:$A$705,$A45,Despiece!$E$6:$E$705,"Sublimada")=0,0,""))))</f>
        <v/>
      </c>
      <c r="Z45" s="10" t="str">
        <f aca="false">IF($A45="","",IFERROR(IF(ISNUMBER(Q45),IF(Q45=0,0,Q45*INDEX(Telas!$I$6:$I$105,MATCH(K45,Telas!$A$6:$A$105,0))),NA())+IF(ISNUMBER(T45),IF(T45=0,0,T45*INDEX(Telas!$I$6:$I$105,MATCH(L45,Telas!$A$6:$A$105,0))),NA())+IF(ISNUMBER(W45),IF(W45=0,0,W45*INDEX(Telas!$I$6:$I$105,MATCH(IF(M45="",K45,M45),Telas!$A$6:$A$105,0))),NA()),""))</f>
        <v/>
      </c>
      <c r="AA45" s="10" t="str">
        <f aca="false">IF($A45="","",IF(ISNUMBER(Y45),Y45*Parametros!$B$19,""))</f>
        <v/>
      </c>
      <c r="AB45" s="10" t="n">
        <f aca="false">IF(OR($A45="",F45=""),"",IFERROR(INDEX(Confeccion!$B$6:$B$125,MATCH(F45,Confeccion!$A$6:$A$125,0)),""))</f>
        <v>2400</v>
      </c>
      <c r="AC45" s="10" t="n">
        <f aca="false">IF($A45="","",IFERROR(N(H45)*IF(G45="",0,INDEX(Avios!$C$6:$C$65,MATCH(G45,Avios!$A$6:$A$65,0)))+N(J45)*IF(I45="",0,INDEX(Avios!$C$6:$C$65,MATCH(I45,Avios!$A$6:$A$65,0))),""))</f>
        <v>0</v>
      </c>
      <c r="AD45" s="11" t="str">
        <f aca="false">IF($A45="","",IFERROR(Z45+AA45+AB45+AC45,""))</f>
        <v/>
      </c>
      <c r="AE45" s="10" t="str">
        <f aca="false">IF(ISNUMBER(AD45),AD45*Parametros!$B$12,"")</f>
        <v/>
      </c>
      <c r="AF45" s="29" t="str">
        <f aca="false">IF(AND(ISNUMBER(Q45),K45&lt;&gt;""),IFERROR(1/(Q45*INDEX(Telas!$G$6:$G$105,MATCH(K45,Telas!$A$6:$A$105,0))),""),"")</f>
        <v/>
      </c>
      <c r="AG45" s="0" t="str">
        <f aca="false">IF($A45="","",IF(ISNUMBER(AD45),IF(AND(N(Y45)&gt;0,N(Parametros!$B$19)=0),"Lista, pero sin costo de impresión (Parametros)","Lista"),IF(Q45="","Consumo tela principal (Despiece o Mediciones). ","")&amp;IF(COUNTIFS(Mediciones!$C$6:$C$305,$A45,Mediciones!$K$6:$K$305,"")&gt;0,"Pesar 1 m de la tela medida (Telas, kg por metro). ","")&amp;IF(T45="","Consumo Tela 2. ","")&amp;IF(W45="","Consumo Tela 3. ","")&amp;IF(K45="","Elegir tela principal. ",IF(ISERROR(INDEX(Telas!$I$6:$I$105,MATCH(K45,Telas!$A$6:$A$105,0))*1),"Precio o peso por metro de "&amp;K45&amp;". ",""))&amp;IF(AND(N(T45)&gt;0,L45=""),"Elegir Tela 2. ",IF(AND(N(T45)&gt;0,ISERROR(INDEX(Telas!$I$6:$I$105,MATCH(L45,Telas!$A$6:$A$105,0))*1)),"Precio o peso por metro de "&amp;L45&amp;". ",""))&amp;IF(Y45="","Metros impresos. ","")&amp;IF(F45="","Tipo de confección. ",IF(AB45="","Precio de confección. ",""))))</f>
        <v>Consumo tela principal (Despiece o Mediciones). Elegir tela principal. Metros impresos. </v>
      </c>
      <c r="AH45" s="27" t="s">
        <v>95</v>
      </c>
    </row>
    <row r="46" customFormat="false" ht="15" hidden="false" customHeight="false" outlineLevel="0" collapsed="false">
      <c r="A46" s="27" t="s">
        <v>168</v>
      </c>
      <c r="B46" s="27" t="s">
        <v>169</v>
      </c>
      <c r="C46" s="27" t="s">
        <v>147</v>
      </c>
      <c r="D46" s="27" t="s">
        <v>92</v>
      </c>
      <c r="E46" s="27" t="s">
        <v>93</v>
      </c>
      <c r="F46" s="27" t="s">
        <v>170</v>
      </c>
      <c r="G46" s="8"/>
      <c r="H46" s="27"/>
      <c r="I46" s="8"/>
      <c r="J46" s="27"/>
      <c r="K46" s="8"/>
      <c r="L46" s="8"/>
      <c r="M46" s="8"/>
      <c r="N46" s="8"/>
      <c r="O46" s="9" t="str">
        <f aca="false">IF($A46="","",IF(COUNTIFS(Despiece!$A$6:$A$705,$A46,Despiece!$D$6:$D$705,"Tela principal",Despiece!$F$6:$F$705,"&gt;0")=0,"",SUMIFS(Despiece!$F$6:$F$705,Despiece!$A$6:$A$705,$A46,Despiece!$D$6:$D$705,"Tela principal")))</f>
        <v/>
      </c>
      <c r="P46" s="9" t="str">
        <f aca="false">IF($A46="","",IFERROR(AVERAGEIFS(Mediciones!$K$6:$K$305,Mediciones!$C$6:$C$305,$A46,Mediciones!$D$6:$D$305,"Tela principal"),""))</f>
        <v/>
      </c>
      <c r="Q46" s="28" t="str">
        <f aca="false">IF($A46="","",IF(N(IF($N46="Despiece",IF(ISNUMBER(O46),O46*(1+Parametros!$B$22),IF(COUNTIFS(Despiece!$A$6:$A$705,$A46,Despiece!$D$6:$D$705,"Tela principal")&gt;0,"",0)),IF($N46="Medición real",IF(ISNUMBER(P46),P46,IF(COUNTIFS(Mediciones!$C$6:$C$305,$A46,Mediciones!$D$6:$D$305,"Tela principal")&gt;0,"",0)),IF(ISNUMBER(P46),P46,IF(ISNUMBER(O46),O46*(1+Parametros!$B$22),IF(OR(COUNTIFS(Despiece!$A$6:$A$705,$A46,Despiece!$D$6:$D$705,"Tela principal")&gt;0,COUNTIFS(Mediciones!$C$6:$C$305,$A46,Mediciones!$D$6:$D$305,"Tela principal")&gt;0),"",0))))))=0,"",IF($N46="Despiece",IF(ISNUMBER(O46),O46*(1+Parametros!$B$22),IF(COUNTIFS(Despiece!$A$6:$A$705,$A46,Despiece!$D$6:$D$705,"Tela principal")&gt;0,"",0)),IF($N46="Medición real",IF(ISNUMBER(P46),P46,IF(COUNTIFS(Mediciones!$C$6:$C$305,$A46,Mediciones!$D$6:$D$305,"Tela principal")&gt;0,"",0)),IF(ISNUMBER(P46),P46,IF(ISNUMBER(O46),O46*(1+Parametros!$B$22),IF(OR(COUNTIFS(Despiece!$A$6:$A$705,$A46,Despiece!$D$6:$D$705,"Tela principal")&gt;0,COUNTIFS(Mediciones!$C$6:$C$305,$A46,Mediciones!$D$6:$D$305,"Tela principal")&gt;0),"",0)))))))</f>
        <v/>
      </c>
      <c r="R46" s="9" t="str">
        <f aca="false">IF($A46="","",IF(COUNTIFS(Despiece!$A$6:$A$705,$A46,Despiece!$D$6:$D$705,"Tela 2",Despiece!$F$6:$F$705,"&gt;0")=0,"",SUMIFS(Despiece!$F$6:$F$705,Despiece!$A$6:$A$705,$A46,Despiece!$D$6:$D$705,"Tela 2")))</f>
        <v/>
      </c>
      <c r="S46" s="9" t="str">
        <f aca="false">IF($A46="","",IFERROR(AVERAGEIFS(Mediciones!$K$6:$K$305,Mediciones!$C$6:$C$305,$A46,Mediciones!$D$6:$D$305,"Tela 2"),""))</f>
        <v/>
      </c>
      <c r="T46" s="28" t="str">
        <f aca="false">IF($A46="","",IF($N46="Despiece",IF(ISNUMBER(R46),R46*(1+Parametros!$B$22),IF(COUNTIFS(Despiece!$A$6:$A$705,$A46,Despiece!$D$6:$D$705,"Tela 2")&gt;0,"",0)),IF($N46="Medición real",IF(ISNUMBER(S46),S46,IF(COUNTIFS(Mediciones!$C$6:$C$305,$A46,Mediciones!$D$6:$D$305,"Tela 2")&gt;0,"",0)),IF(ISNUMBER(S46),S46,IF(ISNUMBER(R46),R46*(1+Parametros!$B$22),IF(OR(COUNTIFS(Despiece!$A$6:$A$705,$A46,Despiece!$D$6:$D$705,"Tela 2")&gt;0,COUNTIFS(Mediciones!$C$6:$C$305,$A46,Mediciones!$D$6:$D$305,"Tela 2")&gt;0),"",0))))))</f>
        <v/>
      </c>
      <c r="U46" s="9" t="str">
        <f aca="false">IF($A46="","",IF(COUNTIFS(Despiece!$A$6:$A$705,$A46,Despiece!$D$6:$D$705,"Tela 3",Despiece!$F$6:$F$705,"&gt;0")=0,"",SUMIFS(Despiece!$F$6:$F$705,Despiece!$A$6:$A$705,$A46,Despiece!$D$6:$D$705,"Tela 3")))</f>
        <v/>
      </c>
      <c r="V46" s="9" t="str">
        <f aca="false">IF($A46="","",IFERROR(AVERAGEIFS(Mediciones!$K$6:$K$305,Mediciones!$C$6:$C$305,$A46,Mediciones!$D$6:$D$305,"Tela 3"),""))</f>
        <v/>
      </c>
      <c r="W46" s="28" t="n">
        <f aca="false">IF($A46="","",IF($N46="Despiece",IF(ISNUMBER(U46),U46*(1+Parametros!$B$22),IF(COUNTIFS(Despiece!$A$6:$A$705,$A46,Despiece!$D$6:$D$705,"Tela 3")&gt;0,"",0)),IF($N46="Medición real",IF(ISNUMBER(V46),V46,IF(COUNTIFS(Mediciones!$C$6:$C$305,$A46,Mediciones!$D$6:$D$305,"Tela 3")&gt;0,"",0)),IF(ISNUMBER(V46),V46,IF(ISNUMBER(U46),U46*(1+Parametros!$B$22),IF(OR(COUNTIFS(Despiece!$A$6:$A$705,$A46,Despiece!$D$6:$D$705,"Tela 3")&gt;0,COUNTIFS(Mediciones!$C$6:$C$305,$A46,Mediciones!$D$6:$D$305,"Tela 3")&gt;0),"",0))))))</f>
        <v>0</v>
      </c>
      <c r="X46" s="27"/>
      <c r="Y46" s="9" t="str">
        <f aca="false">IF($A46="","",IF(ISNUMBER(X46),X46,IF(COUNTIFS(Despiece!$A$6:$A$705,$A46,Despiece!$E$6:$E$705,"Sublimada",Despiece!$F$6:$F$705,"&gt;0")&gt;0,SUMIFS(Despiece!$F$6:$F$705,Despiece!$A$6:$A$705,$A46,Despiece!$E$6:$E$705,"Sublimada")*(1+Parametros!$B$22),IF(COUNTIFS(Despiece!$A$6:$A$705,$A46,Despiece!$E$6:$E$705,"Sublimada")=0,0,""))))</f>
        <v/>
      </c>
      <c r="Z46" s="10" t="str">
        <f aca="false">IF($A46="","",IFERROR(IF(ISNUMBER(Q46),IF(Q46=0,0,Q46*INDEX(Telas!$I$6:$I$105,MATCH(K46,Telas!$A$6:$A$105,0))),NA())+IF(ISNUMBER(T46),IF(T46=0,0,T46*INDEX(Telas!$I$6:$I$105,MATCH(L46,Telas!$A$6:$A$105,0))),NA())+IF(ISNUMBER(W46),IF(W46=0,0,W46*INDEX(Telas!$I$6:$I$105,MATCH(IF(M46="",K46,M46),Telas!$A$6:$A$105,0))),NA()),""))</f>
        <v/>
      </c>
      <c r="AA46" s="10" t="str">
        <f aca="false">IF($A46="","",IF(ISNUMBER(Y46),Y46*Parametros!$B$19,""))</f>
        <v/>
      </c>
      <c r="AB46" s="10" t="n">
        <f aca="false">IF(OR($A46="",F46=""),"",IFERROR(INDEX(Confeccion!$B$6:$B$125,MATCH(F46,Confeccion!$A$6:$A$125,0)),""))</f>
        <v>2000</v>
      </c>
      <c r="AC46" s="10" t="n">
        <f aca="false">IF($A46="","",IFERROR(N(H46)*IF(G46="",0,INDEX(Avios!$C$6:$C$65,MATCH(G46,Avios!$A$6:$A$65,0)))+N(J46)*IF(I46="",0,INDEX(Avios!$C$6:$C$65,MATCH(I46,Avios!$A$6:$A$65,0))),""))</f>
        <v>0</v>
      </c>
      <c r="AD46" s="11" t="str">
        <f aca="false">IF($A46="","",IFERROR(Z46+AA46+AB46+AC46,""))</f>
        <v/>
      </c>
      <c r="AE46" s="10" t="str">
        <f aca="false">IF(ISNUMBER(AD46),AD46*Parametros!$B$12,"")</f>
        <v/>
      </c>
      <c r="AF46" s="29" t="str">
        <f aca="false">IF(AND(ISNUMBER(Q46),K46&lt;&gt;""),IFERROR(1/(Q46*INDEX(Telas!$G$6:$G$105,MATCH(K46,Telas!$A$6:$A$105,0))),""),"")</f>
        <v/>
      </c>
      <c r="AG46" s="0" t="str">
        <f aca="false">IF($A46="","",IF(ISNUMBER(AD46),IF(AND(N(Y46)&gt;0,N(Parametros!$B$19)=0),"Lista, pero sin costo de impresión (Parametros)","Lista"),IF(Q46="","Consumo tela principal (Despiece o Mediciones). ","")&amp;IF(COUNTIFS(Mediciones!$C$6:$C$305,$A46,Mediciones!$K$6:$K$305,"")&gt;0,"Pesar 1 m de la tela medida (Telas, kg por metro). ","")&amp;IF(T46="","Consumo Tela 2. ","")&amp;IF(W46="","Consumo Tela 3. ","")&amp;IF(K46="","Elegir tela principal. ",IF(ISERROR(INDEX(Telas!$I$6:$I$105,MATCH(K46,Telas!$A$6:$A$105,0))*1),"Precio o peso por metro de "&amp;K46&amp;". ",""))&amp;IF(AND(N(T46)&gt;0,L46=""),"Elegir Tela 2. ",IF(AND(N(T46)&gt;0,ISERROR(INDEX(Telas!$I$6:$I$105,MATCH(L46,Telas!$A$6:$A$105,0))*1)),"Precio o peso por metro de "&amp;L46&amp;". ",""))&amp;IF(Y46="","Metros impresos. ","")&amp;IF(F46="","Tipo de confección. ",IF(AB46="","Precio de confección. ",""))))</f>
        <v>Consumo tela principal (Despiece o Mediciones). Consumo Tela 2. Elegir tela principal. Metros impresos. </v>
      </c>
      <c r="AH46" s="27" t="s">
        <v>95</v>
      </c>
    </row>
    <row r="47" customFormat="false" ht="15" hidden="false" customHeight="false" outlineLevel="0" collapsed="false">
      <c r="A47" s="27" t="s">
        <v>171</v>
      </c>
      <c r="B47" s="27" t="s">
        <v>169</v>
      </c>
      <c r="C47" s="27" t="s">
        <v>147</v>
      </c>
      <c r="D47" s="27" t="s">
        <v>92</v>
      </c>
      <c r="E47" s="27" t="s">
        <v>97</v>
      </c>
      <c r="F47" s="27" t="s">
        <v>170</v>
      </c>
      <c r="G47" s="8"/>
      <c r="H47" s="27"/>
      <c r="I47" s="8"/>
      <c r="J47" s="27"/>
      <c r="K47" s="8"/>
      <c r="L47" s="8"/>
      <c r="M47" s="8"/>
      <c r="N47" s="8"/>
      <c r="O47" s="9" t="str">
        <f aca="false">IF($A47="","",IF(COUNTIFS(Despiece!$A$6:$A$705,$A47,Despiece!$D$6:$D$705,"Tela principal",Despiece!$F$6:$F$705,"&gt;0")=0,"",SUMIFS(Despiece!$F$6:$F$705,Despiece!$A$6:$A$705,$A47,Despiece!$D$6:$D$705,"Tela principal")))</f>
        <v/>
      </c>
      <c r="P47" s="9" t="str">
        <f aca="false">IF($A47="","",IFERROR(AVERAGEIFS(Mediciones!$K$6:$K$305,Mediciones!$C$6:$C$305,$A47,Mediciones!$D$6:$D$305,"Tela principal"),""))</f>
        <v/>
      </c>
      <c r="Q47" s="28" t="str">
        <f aca="false">IF($A47="","",IF(N(IF($N47="Despiece",IF(ISNUMBER(O47),O47*(1+Parametros!$B$22),IF(COUNTIFS(Despiece!$A$6:$A$705,$A47,Despiece!$D$6:$D$705,"Tela principal")&gt;0,"",0)),IF($N47="Medición real",IF(ISNUMBER(P47),P47,IF(COUNTIFS(Mediciones!$C$6:$C$305,$A47,Mediciones!$D$6:$D$305,"Tela principal")&gt;0,"",0)),IF(ISNUMBER(P47),P47,IF(ISNUMBER(O47),O47*(1+Parametros!$B$22),IF(OR(COUNTIFS(Despiece!$A$6:$A$705,$A47,Despiece!$D$6:$D$705,"Tela principal")&gt;0,COUNTIFS(Mediciones!$C$6:$C$305,$A47,Mediciones!$D$6:$D$305,"Tela principal")&gt;0),"",0))))))=0,"",IF($N47="Despiece",IF(ISNUMBER(O47),O47*(1+Parametros!$B$22),IF(COUNTIFS(Despiece!$A$6:$A$705,$A47,Despiece!$D$6:$D$705,"Tela principal")&gt;0,"",0)),IF($N47="Medición real",IF(ISNUMBER(P47),P47,IF(COUNTIFS(Mediciones!$C$6:$C$305,$A47,Mediciones!$D$6:$D$305,"Tela principal")&gt;0,"",0)),IF(ISNUMBER(P47),P47,IF(ISNUMBER(O47),O47*(1+Parametros!$B$22),IF(OR(COUNTIFS(Despiece!$A$6:$A$705,$A47,Despiece!$D$6:$D$705,"Tela principal")&gt;0,COUNTIFS(Mediciones!$C$6:$C$305,$A47,Mediciones!$D$6:$D$305,"Tela principal")&gt;0),"",0)))))))</f>
        <v/>
      </c>
      <c r="R47" s="9" t="str">
        <f aca="false">IF($A47="","",IF(COUNTIFS(Despiece!$A$6:$A$705,$A47,Despiece!$D$6:$D$705,"Tela 2",Despiece!$F$6:$F$705,"&gt;0")=0,"",SUMIFS(Despiece!$F$6:$F$705,Despiece!$A$6:$A$705,$A47,Despiece!$D$6:$D$705,"Tela 2")))</f>
        <v/>
      </c>
      <c r="S47" s="9" t="str">
        <f aca="false">IF($A47="","",IFERROR(AVERAGEIFS(Mediciones!$K$6:$K$305,Mediciones!$C$6:$C$305,$A47,Mediciones!$D$6:$D$305,"Tela 2"),""))</f>
        <v/>
      </c>
      <c r="T47" s="28" t="str">
        <f aca="false">IF($A47="","",IF($N47="Despiece",IF(ISNUMBER(R47),R47*(1+Parametros!$B$22),IF(COUNTIFS(Despiece!$A$6:$A$705,$A47,Despiece!$D$6:$D$705,"Tela 2")&gt;0,"",0)),IF($N47="Medición real",IF(ISNUMBER(S47),S47,IF(COUNTIFS(Mediciones!$C$6:$C$305,$A47,Mediciones!$D$6:$D$305,"Tela 2")&gt;0,"",0)),IF(ISNUMBER(S47),S47,IF(ISNUMBER(R47),R47*(1+Parametros!$B$22),IF(OR(COUNTIFS(Despiece!$A$6:$A$705,$A47,Despiece!$D$6:$D$705,"Tela 2")&gt;0,COUNTIFS(Mediciones!$C$6:$C$305,$A47,Mediciones!$D$6:$D$305,"Tela 2")&gt;0),"",0))))))</f>
        <v/>
      </c>
      <c r="U47" s="9" t="str">
        <f aca="false">IF($A47="","",IF(COUNTIFS(Despiece!$A$6:$A$705,$A47,Despiece!$D$6:$D$705,"Tela 3",Despiece!$F$6:$F$705,"&gt;0")=0,"",SUMIFS(Despiece!$F$6:$F$705,Despiece!$A$6:$A$705,$A47,Despiece!$D$6:$D$705,"Tela 3")))</f>
        <v/>
      </c>
      <c r="V47" s="9" t="str">
        <f aca="false">IF($A47="","",IFERROR(AVERAGEIFS(Mediciones!$K$6:$K$305,Mediciones!$C$6:$C$305,$A47,Mediciones!$D$6:$D$305,"Tela 3"),""))</f>
        <v/>
      </c>
      <c r="W47" s="28" t="n">
        <f aca="false">IF($A47="","",IF($N47="Despiece",IF(ISNUMBER(U47),U47*(1+Parametros!$B$22),IF(COUNTIFS(Despiece!$A$6:$A$705,$A47,Despiece!$D$6:$D$705,"Tela 3")&gt;0,"",0)),IF($N47="Medición real",IF(ISNUMBER(V47),V47,IF(COUNTIFS(Mediciones!$C$6:$C$305,$A47,Mediciones!$D$6:$D$305,"Tela 3")&gt;0,"",0)),IF(ISNUMBER(V47),V47,IF(ISNUMBER(U47),U47*(1+Parametros!$B$22),IF(OR(COUNTIFS(Despiece!$A$6:$A$705,$A47,Despiece!$D$6:$D$705,"Tela 3")&gt;0,COUNTIFS(Mediciones!$C$6:$C$305,$A47,Mediciones!$D$6:$D$305,"Tela 3")&gt;0),"",0))))))</f>
        <v>0</v>
      </c>
      <c r="X47" s="27"/>
      <c r="Y47" s="9" t="str">
        <f aca="false">IF($A47="","",IF(ISNUMBER(X47),X47,IF(COUNTIFS(Despiece!$A$6:$A$705,$A47,Despiece!$E$6:$E$705,"Sublimada",Despiece!$F$6:$F$705,"&gt;0")&gt;0,SUMIFS(Despiece!$F$6:$F$705,Despiece!$A$6:$A$705,$A47,Despiece!$E$6:$E$705,"Sublimada")*(1+Parametros!$B$22),IF(COUNTIFS(Despiece!$A$6:$A$705,$A47,Despiece!$E$6:$E$705,"Sublimada")=0,0,""))))</f>
        <v/>
      </c>
      <c r="Z47" s="10" t="str">
        <f aca="false">IF($A47="","",IFERROR(IF(ISNUMBER(Q47),IF(Q47=0,0,Q47*INDEX(Telas!$I$6:$I$105,MATCH(K47,Telas!$A$6:$A$105,0))),NA())+IF(ISNUMBER(T47),IF(T47=0,0,T47*INDEX(Telas!$I$6:$I$105,MATCH(L47,Telas!$A$6:$A$105,0))),NA())+IF(ISNUMBER(W47),IF(W47=0,0,W47*INDEX(Telas!$I$6:$I$105,MATCH(IF(M47="",K47,M47),Telas!$A$6:$A$105,0))),NA()),""))</f>
        <v/>
      </c>
      <c r="AA47" s="10" t="str">
        <f aca="false">IF($A47="","",IF(ISNUMBER(Y47),Y47*Parametros!$B$19,""))</f>
        <v/>
      </c>
      <c r="AB47" s="10" t="n">
        <f aca="false">IF(OR($A47="",F47=""),"",IFERROR(INDEX(Confeccion!$B$6:$B$125,MATCH(F47,Confeccion!$A$6:$A$125,0)),""))</f>
        <v>2000</v>
      </c>
      <c r="AC47" s="10" t="n">
        <f aca="false">IF($A47="","",IFERROR(N(H47)*IF(G47="",0,INDEX(Avios!$C$6:$C$65,MATCH(G47,Avios!$A$6:$A$65,0)))+N(J47)*IF(I47="",0,INDEX(Avios!$C$6:$C$65,MATCH(I47,Avios!$A$6:$A$65,0))),""))</f>
        <v>0</v>
      </c>
      <c r="AD47" s="11" t="str">
        <f aca="false">IF($A47="","",IFERROR(Z47+AA47+AB47+AC47,""))</f>
        <v/>
      </c>
      <c r="AE47" s="10" t="str">
        <f aca="false">IF(ISNUMBER(AD47),AD47*Parametros!$B$12,"")</f>
        <v/>
      </c>
      <c r="AF47" s="29" t="str">
        <f aca="false">IF(AND(ISNUMBER(Q47),K47&lt;&gt;""),IFERROR(1/(Q47*INDEX(Telas!$G$6:$G$105,MATCH(K47,Telas!$A$6:$A$105,0))),""),"")</f>
        <v/>
      </c>
      <c r="AG47" s="0" t="str">
        <f aca="false">IF($A47="","",IF(ISNUMBER(AD47),IF(AND(N(Y47)&gt;0,N(Parametros!$B$19)=0),"Lista, pero sin costo de impresión (Parametros)","Lista"),IF(Q47="","Consumo tela principal (Despiece o Mediciones). ","")&amp;IF(COUNTIFS(Mediciones!$C$6:$C$305,$A47,Mediciones!$K$6:$K$305,"")&gt;0,"Pesar 1 m de la tela medida (Telas, kg por metro). ","")&amp;IF(T47="","Consumo Tela 2. ","")&amp;IF(W47="","Consumo Tela 3. ","")&amp;IF(K47="","Elegir tela principal. ",IF(ISERROR(INDEX(Telas!$I$6:$I$105,MATCH(K47,Telas!$A$6:$A$105,0))*1),"Precio o peso por metro de "&amp;K47&amp;". ",""))&amp;IF(AND(N(T47)&gt;0,L47=""),"Elegir Tela 2. ",IF(AND(N(T47)&gt;0,ISERROR(INDEX(Telas!$I$6:$I$105,MATCH(L47,Telas!$A$6:$A$105,0))*1)),"Precio o peso por metro de "&amp;L47&amp;". ",""))&amp;IF(Y47="","Metros impresos. ","")&amp;IF(F47="","Tipo de confección. ",IF(AB47="","Precio de confección. ",""))))</f>
        <v>Consumo tela principal (Despiece o Mediciones). Consumo Tela 2. Elegir tela principal. Metros impresos. </v>
      </c>
      <c r="AH47" s="27" t="s">
        <v>95</v>
      </c>
    </row>
    <row r="48" customFormat="false" ht="15" hidden="false" customHeight="false" outlineLevel="0" collapsed="false">
      <c r="A48" s="27" t="s">
        <v>172</v>
      </c>
      <c r="B48" s="27" t="s">
        <v>173</v>
      </c>
      <c r="C48" s="27" t="s">
        <v>147</v>
      </c>
      <c r="D48" s="27" t="s">
        <v>92</v>
      </c>
      <c r="E48" s="27" t="s">
        <v>93</v>
      </c>
      <c r="F48" s="27" t="s">
        <v>170</v>
      </c>
      <c r="G48" s="8"/>
      <c r="H48" s="27"/>
      <c r="I48" s="8"/>
      <c r="J48" s="27"/>
      <c r="K48" s="8"/>
      <c r="L48" s="8"/>
      <c r="M48" s="8"/>
      <c r="N48" s="8"/>
      <c r="O48" s="9" t="str">
        <f aca="false">IF($A48="","",IF(COUNTIFS(Despiece!$A$6:$A$705,$A48,Despiece!$D$6:$D$705,"Tela principal",Despiece!$F$6:$F$705,"&gt;0")=0,"",SUMIFS(Despiece!$F$6:$F$705,Despiece!$A$6:$A$705,$A48,Despiece!$D$6:$D$705,"Tela principal")))</f>
        <v/>
      </c>
      <c r="P48" s="9" t="str">
        <f aca="false">IF($A48="","",IFERROR(AVERAGEIFS(Mediciones!$K$6:$K$305,Mediciones!$C$6:$C$305,$A48,Mediciones!$D$6:$D$305,"Tela principal"),""))</f>
        <v/>
      </c>
      <c r="Q48" s="28" t="str">
        <f aca="false">IF($A48="","",IF(N(IF($N48="Despiece",IF(ISNUMBER(O48),O48*(1+Parametros!$B$22),IF(COUNTIFS(Despiece!$A$6:$A$705,$A48,Despiece!$D$6:$D$705,"Tela principal")&gt;0,"",0)),IF($N48="Medición real",IF(ISNUMBER(P48),P48,IF(COUNTIFS(Mediciones!$C$6:$C$305,$A48,Mediciones!$D$6:$D$305,"Tela principal")&gt;0,"",0)),IF(ISNUMBER(P48),P48,IF(ISNUMBER(O48),O48*(1+Parametros!$B$22),IF(OR(COUNTIFS(Despiece!$A$6:$A$705,$A48,Despiece!$D$6:$D$705,"Tela principal")&gt;0,COUNTIFS(Mediciones!$C$6:$C$305,$A48,Mediciones!$D$6:$D$305,"Tela principal")&gt;0),"",0))))))=0,"",IF($N48="Despiece",IF(ISNUMBER(O48),O48*(1+Parametros!$B$22),IF(COUNTIFS(Despiece!$A$6:$A$705,$A48,Despiece!$D$6:$D$705,"Tela principal")&gt;0,"",0)),IF($N48="Medición real",IF(ISNUMBER(P48),P48,IF(COUNTIFS(Mediciones!$C$6:$C$305,$A48,Mediciones!$D$6:$D$305,"Tela principal")&gt;0,"",0)),IF(ISNUMBER(P48),P48,IF(ISNUMBER(O48),O48*(1+Parametros!$B$22),IF(OR(COUNTIFS(Despiece!$A$6:$A$705,$A48,Despiece!$D$6:$D$705,"Tela principal")&gt;0,COUNTIFS(Mediciones!$C$6:$C$305,$A48,Mediciones!$D$6:$D$305,"Tela principal")&gt;0),"",0)))))))</f>
        <v/>
      </c>
      <c r="R48" s="9" t="str">
        <f aca="false">IF($A48="","",IF(COUNTIFS(Despiece!$A$6:$A$705,$A48,Despiece!$D$6:$D$705,"Tela 2",Despiece!$F$6:$F$705,"&gt;0")=0,"",SUMIFS(Despiece!$F$6:$F$705,Despiece!$A$6:$A$705,$A48,Despiece!$D$6:$D$705,"Tela 2")))</f>
        <v/>
      </c>
      <c r="S48" s="9" t="str">
        <f aca="false">IF($A48="","",IFERROR(AVERAGEIFS(Mediciones!$K$6:$K$305,Mediciones!$C$6:$C$305,$A48,Mediciones!$D$6:$D$305,"Tela 2"),""))</f>
        <v/>
      </c>
      <c r="T48" s="28" t="str">
        <f aca="false">IF($A48="","",IF($N48="Despiece",IF(ISNUMBER(R48),R48*(1+Parametros!$B$22),IF(COUNTIFS(Despiece!$A$6:$A$705,$A48,Despiece!$D$6:$D$705,"Tela 2")&gt;0,"",0)),IF($N48="Medición real",IF(ISNUMBER(S48),S48,IF(COUNTIFS(Mediciones!$C$6:$C$305,$A48,Mediciones!$D$6:$D$305,"Tela 2")&gt;0,"",0)),IF(ISNUMBER(S48),S48,IF(ISNUMBER(R48),R48*(1+Parametros!$B$22),IF(OR(COUNTIFS(Despiece!$A$6:$A$705,$A48,Despiece!$D$6:$D$705,"Tela 2")&gt;0,COUNTIFS(Mediciones!$C$6:$C$305,$A48,Mediciones!$D$6:$D$305,"Tela 2")&gt;0),"",0))))))</f>
        <v/>
      </c>
      <c r="U48" s="9" t="str">
        <f aca="false">IF($A48="","",IF(COUNTIFS(Despiece!$A$6:$A$705,$A48,Despiece!$D$6:$D$705,"Tela 3",Despiece!$F$6:$F$705,"&gt;0")=0,"",SUMIFS(Despiece!$F$6:$F$705,Despiece!$A$6:$A$705,$A48,Despiece!$D$6:$D$705,"Tela 3")))</f>
        <v/>
      </c>
      <c r="V48" s="9" t="str">
        <f aca="false">IF($A48="","",IFERROR(AVERAGEIFS(Mediciones!$K$6:$K$305,Mediciones!$C$6:$C$305,$A48,Mediciones!$D$6:$D$305,"Tela 3"),""))</f>
        <v/>
      </c>
      <c r="W48" s="28" t="n">
        <f aca="false">IF($A48="","",IF($N48="Despiece",IF(ISNUMBER(U48),U48*(1+Parametros!$B$22),IF(COUNTIFS(Despiece!$A$6:$A$705,$A48,Despiece!$D$6:$D$705,"Tela 3")&gt;0,"",0)),IF($N48="Medición real",IF(ISNUMBER(V48),V48,IF(COUNTIFS(Mediciones!$C$6:$C$305,$A48,Mediciones!$D$6:$D$305,"Tela 3")&gt;0,"",0)),IF(ISNUMBER(V48),V48,IF(ISNUMBER(U48),U48*(1+Parametros!$B$22),IF(OR(COUNTIFS(Despiece!$A$6:$A$705,$A48,Despiece!$D$6:$D$705,"Tela 3")&gt;0,COUNTIFS(Mediciones!$C$6:$C$305,$A48,Mediciones!$D$6:$D$305,"Tela 3")&gt;0),"",0))))))</f>
        <v>0</v>
      </c>
      <c r="X48" s="27"/>
      <c r="Y48" s="9" t="str">
        <f aca="false">IF($A48="","",IF(ISNUMBER(X48),X48,IF(COUNTIFS(Despiece!$A$6:$A$705,$A48,Despiece!$E$6:$E$705,"Sublimada",Despiece!$F$6:$F$705,"&gt;0")&gt;0,SUMIFS(Despiece!$F$6:$F$705,Despiece!$A$6:$A$705,$A48,Despiece!$E$6:$E$705,"Sublimada")*(1+Parametros!$B$22),IF(COUNTIFS(Despiece!$A$6:$A$705,$A48,Despiece!$E$6:$E$705,"Sublimada")=0,0,""))))</f>
        <v/>
      </c>
      <c r="Z48" s="10" t="str">
        <f aca="false">IF($A48="","",IFERROR(IF(ISNUMBER(Q48),IF(Q48=0,0,Q48*INDEX(Telas!$I$6:$I$105,MATCH(K48,Telas!$A$6:$A$105,0))),NA())+IF(ISNUMBER(T48),IF(T48=0,0,T48*INDEX(Telas!$I$6:$I$105,MATCH(L48,Telas!$A$6:$A$105,0))),NA())+IF(ISNUMBER(W48),IF(W48=0,0,W48*INDEX(Telas!$I$6:$I$105,MATCH(IF(M48="",K48,M48),Telas!$A$6:$A$105,0))),NA()),""))</f>
        <v/>
      </c>
      <c r="AA48" s="10" t="str">
        <f aca="false">IF($A48="","",IF(ISNUMBER(Y48),Y48*Parametros!$B$19,""))</f>
        <v/>
      </c>
      <c r="AB48" s="10" t="n">
        <f aca="false">IF(OR($A48="",F48=""),"",IFERROR(INDEX(Confeccion!$B$6:$B$125,MATCH(F48,Confeccion!$A$6:$A$125,0)),""))</f>
        <v>2000</v>
      </c>
      <c r="AC48" s="10" t="n">
        <f aca="false">IF($A48="","",IFERROR(N(H48)*IF(G48="",0,INDEX(Avios!$C$6:$C$65,MATCH(G48,Avios!$A$6:$A$65,0)))+N(J48)*IF(I48="",0,INDEX(Avios!$C$6:$C$65,MATCH(I48,Avios!$A$6:$A$65,0))),""))</f>
        <v>0</v>
      </c>
      <c r="AD48" s="11" t="str">
        <f aca="false">IF($A48="","",IFERROR(Z48+AA48+AB48+AC48,""))</f>
        <v/>
      </c>
      <c r="AE48" s="10" t="str">
        <f aca="false">IF(ISNUMBER(AD48),AD48*Parametros!$B$12,"")</f>
        <v/>
      </c>
      <c r="AF48" s="29" t="str">
        <f aca="false">IF(AND(ISNUMBER(Q48),K48&lt;&gt;""),IFERROR(1/(Q48*INDEX(Telas!$G$6:$G$105,MATCH(K48,Telas!$A$6:$A$105,0))),""),"")</f>
        <v/>
      </c>
      <c r="AG48" s="0" t="str">
        <f aca="false">IF($A48="","",IF(ISNUMBER(AD48),IF(AND(N(Y48)&gt;0,N(Parametros!$B$19)=0),"Lista, pero sin costo de impresión (Parametros)","Lista"),IF(Q48="","Consumo tela principal (Despiece o Mediciones). ","")&amp;IF(COUNTIFS(Mediciones!$C$6:$C$305,$A48,Mediciones!$K$6:$K$305,"")&gt;0,"Pesar 1 m de la tela medida (Telas, kg por metro). ","")&amp;IF(T48="","Consumo Tela 2. ","")&amp;IF(W48="","Consumo Tela 3. ","")&amp;IF(K48="","Elegir tela principal. ",IF(ISERROR(INDEX(Telas!$I$6:$I$105,MATCH(K48,Telas!$A$6:$A$105,0))*1),"Precio o peso por metro de "&amp;K48&amp;". ",""))&amp;IF(AND(N(T48)&gt;0,L48=""),"Elegir Tela 2. ",IF(AND(N(T48)&gt;0,ISERROR(INDEX(Telas!$I$6:$I$105,MATCH(L48,Telas!$A$6:$A$105,0))*1)),"Precio o peso por metro de "&amp;L48&amp;". ",""))&amp;IF(Y48="","Metros impresos. ","")&amp;IF(F48="","Tipo de confección. ",IF(AB48="","Precio de confección. ",""))))</f>
        <v>Consumo tela principal (Despiece o Mediciones). Consumo Tela 2. Elegir tela principal. Metros impresos. </v>
      </c>
      <c r="AH48" s="27" t="s">
        <v>95</v>
      </c>
    </row>
    <row r="49" customFormat="false" ht="15" hidden="false" customHeight="false" outlineLevel="0" collapsed="false">
      <c r="A49" s="27" t="s">
        <v>174</v>
      </c>
      <c r="B49" s="27" t="s">
        <v>173</v>
      </c>
      <c r="C49" s="27" t="s">
        <v>147</v>
      </c>
      <c r="D49" s="27" t="s">
        <v>92</v>
      </c>
      <c r="E49" s="27" t="s">
        <v>97</v>
      </c>
      <c r="F49" s="27" t="s">
        <v>170</v>
      </c>
      <c r="G49" s="8"/>
      <c r="H49" s="27"/>
      <c r="I49" s="8"/>
      <c r="J49" s="27"/>
      <c r="K49" s="8"/>
      <c r="L49" s="8"/>
      <c r="M49" s="8"/>
      <c r="N49" s="8"/>
      <c r="O49" s="9" t="str">
        <f aca="false">IF($A49="","",IF(COUNTIFS(Despiece!$A$6:$A$705,$A49,Despiece!$D$6:$D$705,"Tela principal",Despiece!$F$6:$F$705,"&gt;0")=0,"",SUMIFS(Despiece!$F$6:$F$705,Despiece!$A$6:$A$705,$A49,Despiece!$D$6:$D$705,"Tela principal")))</f>
        <v/>
      </c>
      <c r="P49" s="9" t="str">
        <f aca="false">IF($A49="","",IFERROR(AVERAGEIFS(Mediciones!$K$6:$K$305,Mediciones!$C$6:$C$305,$A49,Mediciones!$D$6:$D$305,"Tela principal"),""))</f>
        <v/>
      </c>
      <c r="Q49" s="28" t="str">
        <f aca="false">IF($A49="","",IF(N(IF($N49="Despiece",IF(ISNUMBER(O49),O49*(1+Parametros!$B$22),IF(COUNTIFS(Despiece!$A$6:$A$705,$A49,Despiece!$D$6:$D$705,"Tela principal")&gt;0,"",0)),IF($N49="Medición real",IF(ISNUMBER(P49),P49,IF(COUNTIFS(Mediciones!$C$6:$C$305,$A49,Mediciones!$D$6:$D$305,"Tela principal")&gt;0,"",0)),IF(ISNUMBER(P49),P49,IF(ISNUMBER(O49),O49*(1+Parametros!$B$22),IF(OR(COUNTIFS(Despiece!$A$6:$A$705,$A49,Despiece!$D$6:$D$705,"Tela principal")&gt;0,COUNTIFS(Mediciones!$C$6:$C$305,$A49,Mediciones!$D$6:$D$305,"Tela principal")&gt;0),"",0))))))=0,"",IF($N49="Despiece",IF(ISNUMBER(O49),O49*(1+Parametros!$B$22),IF(COUNTIFS(Despiece!$A$6:$A$705,$A49,Despiece!$D$6:$D$705,"Tela principal")&gt;0,"",0)),IF($N49="Medición real",IF(ISNUMBER(P49),P49,IF(COUNTIFS(Mediciones!$C$6:$C$305,$A49,Mediciones!$D$6:$D$305,"Tela principal")&gt;0,"",0)),IF(ISNUMBER(P49),P49,IF(ISNUMBER(O49),O49*(1+Parametros!$B$22),IF(OR(COUNTIFS(Despiece!$A$6:$A$705,$A49,Despiece!$D$6:$D$705,"Tela principal")&gt;0,COUNTIFS(Mediciones!$C$6:$C$305,$A49,Mediciones!$D$6:$D$305,"Tela principal")&gt;0),"",0)))))))</f>
        <v/>
      </c>
      <c r="R49" s="9" t="str">
        <f aca="false">IF($A49="","",IF(COUNTIFS(Despiece!$A$6:$A$705,$A49,Despiece!$D$6:$D$705,"Tela 2",Despiece!$F$6:$F$705,"&gt;0")=0,"",SUMIFS(Despiece!$F$6:$F$705,Despiece!$A$6:$A$705,$A49,Despiece!$D$6:$D$705,"Tela 2")))</f>
        <v/>
      </c>
      <c r="S49" s="9" t="str">
        <f aca="false">IF($A49="","",IFERROR(AVERAGEIFS(Mediciones!$K$6:$K$305,Mediciones!$C$6:$C$305,$A49,Mediciones!$D$6:$D$305,"Tela 2"),""))</f>
        <v/>
      </c>
      <c r="T49" s="28" t="str">
        <f aca="false">IF($A49="","",IF($N49="Despiece",IF(ISNUMBER(R49),R49*(1+Parametros!$B$22),IF(COUNTIFS(Despiece!$A$6:$A$705,$A49,Despiece!$D$6:$D$705,"Tela 2")&gt;0,"",0)),IF($N49="Medición real",IF(ISNUMBER(S49),S49,IF(COUNTIFS(Mediciones!$C$6:$C$305,$A49,Mediciones!$D$6:$D$305,"Tela 2")&gt;0,"",0)),IF(ISNUMBER(S49),S49,IF(ISNUMBER(R49),R49*(1+Parametros!$B$22),IF(OR(COUNTIFS(Despiece!$A$6:$A$705,$A49,Despiece!$D$6:$D$705,"Tela 2")&gt;0,COUNTIFS(Mediciones!$C$6:$C$305,$A49,Mediciones!$D$6:$D$305,"Tela 2")&gt;0),"",0))))))</f>
        <v/>
      </c>
      <c r="U49" s="9" t="str">
        <f aca="false">IF($A49="","",IF(COUNTIFS(Despiece!$A$6:$A$705,$A49,Despiece!$D$6:$D$705,"Tela 3",Despiece!$F$6:$F$705,"&gt;0")=0,"",SUMIFS(Despiece!$F$6:$F$705,Despiece!$A$6:$A$705,$A49,Despiece!$D$6:$D$705,"Tela 3")))</f>
        <v/>
      </c>
      <c r="V49" s="9" t="str">
        <f aca="false">IF($A49="","",IFERROR(AVERAGEIFS(Mediciones!$K$6:$K$305,Mediciones!$C$6:$C$305,$A49,Mediciones!$D$6:$D$305,"Tela 3"),""))</f>
        <v/>
      </c>
      <c r="W49" s="28" t="n">
        <f aca="false">IF($A49="","",IF($N49="Despiece",IF(ISNUMBER(U49),U49*(1+Parametros!$B$22),IF(COUNTIFS(Despiece!$A$6:$A$705,$A49,Despiece!$D$6:$D$705,"Tela 3")&gt;0,"",0)),IF($N49="Medición real",IF(ISNUMBER(V49),V49,IF(COUNTIFS(Mediciones!$C$6:$C$305,$A49,Mediciones!$D$6:$D$305,"Tela 3")&gt;0,"",0)),IF(ISNUMBER(V49),V49,IF(ISNUMBER(U49),U49*(1+Parametros!$B$22),IF(OR(COUNTIFS(Despiece!$A$6:$A$705,$A49,Despiece!$D$6:$D$705,"Tela 3")&gt;0,COUNTIFS(Mediciones!$C$6:$C$305,$A49,Mediciones!$D$6:$D$305,"Tela 3")&gt;0),"",0))))))</f>
        <v>0</v>
      </c>
      <c r="X49" s="27"/>
      <c r="Y49" s="9" t="str">
        <f aca="false">IF($A49="","",IF(ISNUMBER(X49),X49,IF(COUNTIFS(Despiece!$A$6:$A$705,$A49,Despiece!$E$6:$E$705,"Sublimada",Despiece!$F$6:$F$705,"&gt;0")&gt;0,SUMIFS(Despiece!$F$6:$F$705,Despiece!$A$6:$A$705,$A49,Despiece!$E$6:$E$705,"Sublimada")*(1+Parametros!$B$22),IF(COUNTIFS(Despiece!$A$6:$A$705,$A49,Despiece!$E$6:$E$705,"Sublimada")=0,0,""))))</f>
        <v/>
      </c>
      <c r="Z49" s="10" t="str">
        <f aca="false">IF($A49="","",IFERROR(IF(ISNUMBER(Q49),IF(Q49=0,0,Q49*INDEX(Telas!$I$6:$I$105,MATCH(K49,Telas!$A$6:$A$105,0))),NA())+IF(ISNUMBER(T49),IF(T49=0,0,T49*INDEX(Telas!$I$6:$I$105,MATCH(L49,Telas!$A$6:$A$105,0))),NA())+IF(ISNUMBER(W49),IF(W49=0,0,W49*INDEX(Telas!$I$6:$I$105,MATCH(IF(M49="",K49,M49),Telas!$A$6:$A$105,0))),NA()),""))</f>
        <v/>
      </c>
      <c r="AA49" s="10" t="str">
        <f aca="false">IF($A49="","",IF(ISNUMBER(Y49),Y49*Parametros!$B$19,""))</f>
        <v/>
      </c>
      <c r="AB49" s="10" t="n">
        <f aca="false">IF(OR($A49="",F49=""),"",IFERROR(INDEX(Confeccion!$B$6:$B$125,MATCH(F49,Confeccion!$A$6:$A$125,0)),""))</f>
        <v>2000</v>
      </c>
      <c r="AC49" s="10" t="n">
        <f aca="false">IF($A49="","",IFERROR(N(H49)*IF(G49="",0,INDEX(Avios!$C$6:$C$65,MATCH(G49,Avios!$A$6:$A$65,0)))+N(J49)*IF(I49="",0,INDEX(Avios!$C$6:$C$65,MATCH(I49,Avios!$A$6:$A$65,0))),""))</f>
        <v>0</v>
      </c>
      <c r="AD49" s="11" t="str">
        <f aca="false">IF($A49="","",IFERROR(Z49+AA49+AB49+AC49,""))</f>
        <v/>
      </c>
      <c r="AE49" s="10" t="str">
        <f aca="false">IF(ISNUMBER(AD49),AD49*Parametros!$B$12,"")</f>
        <v/>
      </c>
      <c r="AF49" s="29" t="str">
        <f aca="false">IF(AND(ISNUMBER(Q49),K49&lt;&gt;""),IFERROR(1/(Q49*INDEX(Telas!$G$6:$G$105,MATCH(K49,Telas!$A$6:$A$105,0))),""),"")</f>
        <v/>
      </c>
      <c r="AG49" s="0" t="str">
        <f aca="false">IF($A49="","",IF(ISNUMBER(AD49),IF(AND(N(Y49)&gt;0,N(Parametros!$B$19)=0),"Lista, pero sin costo de impresión (Parametros)","Lista"),IF(Q49="","Consumo tela principal (Despiece o Mediciones). ","")&amp;IF(COUNTIFS(Mediciones!$C$6:$C$305,$A49,Mediciones!$K$6:$K$305,"")&gt;0,"Pesar 1 m de la tela medida (Telas, kg por metro). ","")&amp;IF(T49="","Consumo Tela 2. ","")&amp;IF(W49="","Consumo Tela 3. ","")&amp;IF(K49="","Elegir tela principal. ",IF(ISERROR(INDEX(Telas!$I$6:$I$105,MATCH(K49,Telas!$A$6:$A$105,0))*1),"Precio o peso por metro de "&amp;K49&amp;". ",""))&amp;IF(AND(N(T49)&gt;0,L49=""),"Elegir Tela 2. ",IF(AND(N(T49)&gt;0,ISERROR(INDEX(Telas!$I$6:$I$105,MATCH(L49,Telas!$A$6:$A$105,0))*1)),"Precio o peso por metro de "&amp;L49&amp;". ",""))&amp;IF(Y49="","Metros impresos. ","")&amp;IF(F49="","Tipo de confección. ",IF(AB49="","Precio de confección. ",""))))</f>
        <v>Consumo tela principal (Despiece o Mediciones). Consumo Tela 2. Elegir tela principal. Metros impresos. </v>
      </c>
      <c r="AH49" s="27" t="s">
        <v>95</v>
      </c>
    </row>
    <row r="50" customFormat="false" ht="15" hidden="false" customHeight="false" outlineLevel="0" collapsed="false">
      <c r="A50" s="27" t="s">
        <v>175</v>
      </c>
      <c r="B50" s="27" t="s">
        <v>147</v>
      </c>
      <c r="C50" s="27" t="s">
        <v>147</v>
      </c>
      <c r="D50" s="27" t="s">
        <v>176</v>
      </c>
      <c r="E50" s="27" t="s">
        <v>93</v>
      </c>
      <c r="F50" s="27" t="s">
        <v>177</v>
      </c>
      <c r="G50" s="8"/>
      <c r="H50" s="27"/>
      <c r="I50" s="8"/>
      <c r="J50" s="27"/>
      <c r="K50" s="8"/>
      <c r="L50" s="8"/>
      <c r="M50" s="8"/>
      <c r="N50" s="8"/>
      <c r="O50" s="9" t="str">
        <f aca="false">IF($A50="","",IF(COUNTIFS(Despiece!$A$6:$A$705,$A50,Despiece!$D$6:$D$705,"Tela principal",Despiece!$F$6:$F$705,"&gt;0")=0,"",SUMIFS(Despiece!$F$6:$F$705,Despiece!$A$6:$A$705,$A50,Despiece!$D$6:$D$705,"Tela principal")))</f>
        <v/>
      </c>
      <c r="P50" s="9" t="str">
        <f aca="false">IF($A50="","",IFERROR(AVERAGEIFS(Mediciones!$K$6:$K$305,Mediciones!$C$6:$C$305,$A50,Mediciones!$D$6:$D$305,"Tela principal"),""))</f>
        <v/>
      </c>
      <c r="Q50" s="28" t="str">
        <f aca="false">IF($A50="","",IF(N(IF($N50="Despiece",IF(ISNUMBER(O50),O50*(1+Parametros!$B$22),IF(COUNTIFS(Despiece!$A$6:$A$705,$A50,Despiece!$D$6:$D$705,"Tela principal")&gt;0,"",0)),IF($N50="Medición real",IF(ISNUMBER(P50),P50,IF(COUNTIFS(Mediciones!$C$6:$C$305,$A50,Mediciones!$D$6:$D$305,"Tela principal")&gt;0,"",0)),IF(ISNUMBER(P50),P50,IF(ISNUMBER(O50),O50*(1+Parametros!$B$22),IF(OR(COUNTIFS(Despiece!$A$6:$A$705,$A50,Despiece!$D$6:$D$705,"Tela principal")&gt;0,COUNTIFS(Mediciones!$C$6:$C$305,$A50,Mediciones!$D$6:$D$305,"Tela principal")&gt;0),"",0))))))=0,"",IF($N50="Despiece",IF(ISNUMBER(O50),O50*(1+Parametros!$B$22),IF(COUNTIFS(Despiece!$A$6:$A$705,$A50,Despiece!$D$6:$D$705,"Tela principal")&gt;0,"",0)),IF($N50="Medición real",IF(ISNUMBER(P50),P50,IF(COUNTIFS(Mediciones!$C$6:$C$305,$A50,Mediciones!$D$6:$D$305,"Tela principal")&gt;0,"",0)),IF(ISNUMBER(P50),P50,IF(ISNUMBER(O50),O50*(1+Parametros!$B$22),IF(OR(COUNTIFS(Despiece!$A$6:$A$705,$A50,Despiece!$D$6:$D$705,"Tela principal")&gt;0,COUNTIFS(Mediciones!$C$6:$C$305,$A50,Mediciones!$D$6:$D$305,"Tela principal")&gt;0),"",0)))))))</f>
        <v/>
      </c>
      <c r="R50" s="9" t="str">
        <f aca="false">IF($A50="","",IF(COUNTIFS(Despiece!$A$6:$A$705,$A50,Despiece!$D$6:$D$705,"Tela 2",Despiece!$F$6:$F$705,"&gt;0")=0,"",SUMIFS(Despiece!$F$6:$F$705,Despiece!$A$6:$A$705,$A50,Despiece!$D$6:$D$705,"Tela 2")))</f>
        <v/>
      </c>
      <c r="S50" s="9" t="str">
        <f aca="false">IF($A50="","",IFERROR(AVERAGEIFS(Mediciones!$K$6:$K$305,Mediciones!$C$6:$C$305,$A50,Mediciones!$D$6:$D$305,"Tela 2"),""))</f>
        <v/>
      </c>
      <c r="T50" s="28" t="n">
        <f aca="false">IF($A50="","",IF($N50="Despiece",IF(ISNUMBER(R50),R50*(1+Parametros!$B$22),IF(COUNTIFS(Despiece!$A$6:$A$705,$A50,Despiece!$D$6:$D$705,"Tela 2")&gt;0,"",0)),IF($N50="Medición real",IF(ISNUMBER(S50),S50,IF(COUNTIFS(Mediciones!$C$6:$C$305,$A50,Mediciones!$D$6:$D$305,"Tela 2")&gt;0,"",0)),IF(ISNUMBER(S50),S50,IF(ISNUMBER(R50),R50*(1+Parametros!$B$22),IF(OR(COUNTIFS(Despiece!$A$6:$A$705,$A50,Despiece!$D$6:$D$705,"Tela 2")&gt;0,COUNTIFS(Mediciones!$C$6:$C$305,$A50,Mediciones!$D$6:$D$305,"Tela 2")&gt;0),"",0))))))</f>
        <v>0</v>
      </c>
      <c r="U50" s="9" t="str">
        <f aca="false">IF($A50="","",IF(COUNTIFS(Despiece!$A$6:$A$705,$A50,Despiece!$D$6:$D$705,"Tela 3",Despiece!$F$6:$F$705,"&gt;0")=0,"",SUMIFS(Despiece!$F$6:$F$705,Despiece!$A$6:$A$705,$A50,Despiece!$D$6:$D$705,"Tela 3")))</f>
        <v/>
      </c>
      <c r="V50" s="9" t="str">
        <f aca="false">IF($A50="","",IFERROR(AVERAGEIFS(Mediciones!$K$6:$K$305,Mediciones!$C$6:$C$305,$A50,Mediciones!$D$6:$D$305,"Tela 3"),""))</f>
        <v/>
      </c>
      <c r="W50" s="28" t="n">
        <f aca="false">IF($A50="","",IF($N50="Despiece",IF(ISNUMBER(U50),U50*(1+Parametros!$B$22),IF(COUNTIFS(Despiece!$A$6:$A$705,$A50,Despiece!$D$6:$D$705,"Tela 3")&gt;0,"",0)),IF($N50="Medición real",IF(ISNUMBER(V50),V50,IF(COUNTIFS(Mediciones!$C$6:$C$305,$A50,Mediciones!$D$6:$D$305,"Tela 3")&gt;0,"",0)),IF(ISNUMBER(V50),V50,IF(ISNUMBER(U50),U50*(1+Parametros!$B$22),IF(OR(COUNTIFS(Despiece!$A$6:$A$705,$A50,Despiece!$D$6:$D$705,"Tela 3")&gt;0,COUNTIFS(Mediciones!$C$6:$C$305,$A50,Mediciones!$D$6:$D$305,"Tela 3")&gt;0),"",0))))))</f>
        <v>0</v>
      </c>
      <c r="X50" s="27"/>
      <c r="Y50" s="9" t="str">
        <f aca="false">IF($A50="","",IF(ISNUMBER(X50),X50,IF(COUNTIFS(Despiece!$A$6:$A$705,$A50,Despiece!$E$6:$E$705,"Sublimada",Despiece!$F$6:$F$705,"&gt;0")&gt;0,SUMIFS(Despiece!$F$6:$F$705,Despiece!$A$6:$A$705,$A50,Despiece!$E$6:$E$705,"Sublimada")*(1+Parametros!$B$22),IF(COUNTIFS(Despiece!$A$6:$A$705,$A50,Despiece!$E$6:$E$705,"Sublimada")=0,0,""))))</f>
        <v/>
      </c>
      <c r="Z50" s="10" t="str">
        <f aca="false">IF($A50="","",IFERROR(IF(ISNUMBER(Q50),IF(Q50=0,0,Q50*INDEX(Telas!$I$6:$I$105,MATCH(K50,Telas!$A$6:$A$105,0))),NA())+IF(ISNUMBER(T50),IF(T50=0,0,T50*INDEX(Telas!$I$6:$I$105,MATCH(L50,Telas!$A$6:$A$105,0))),NA())+IF(ISNUMBER(W50),IF(W50=0,0,W50*INDEX(Telas!$I$6:$I$105,MATCH(IF(M50="",K50,M50),Telas!$A$6:$A$105,0))),NA()),""))</f>
        <v/>
      </c>
      <c r="AA50" s="10" t="str">
        <f aca="false">IF($A50="","",IF(ISNUMBER(Y50),Y50*Parametros!$B$19,""))</f>
        <v/>
      </c>
      <c r="AB50" s="10" t="n">
        <f aca="false">IF(OR($A50="",F50=""),"",IFERROR(INDEX(Confeccion!$B$6:$B$125,MATCH(F50,Confeccion!$A$6:$A$125,0)),""))</f>
        <v>1900</v>
      </c>
      <c r="AC50" s="10" t="n">
        <f aca="false">IF($A50="","",IFERROR(N(H50)*IF(G50="",0,INDEX(Avios!$C$6:$C$65,MATCH(G50,Avios!$A$6:$A$65,0)))+N(J50)*IF(I50="",0,INDEX(Avios!$C$6:$C$65,MATCH(I50,Avios!$A$6:$A$65,0))),""))</f>
        <v>0</v>
      </c>
      <c r="AD50" s="11" t="str">
        <f aca="false">IF($A50="","",IFERROR(Z50+AA50+AB50+AC50,""))</f>
        <v/>
      </c>
      <c r="AE50" s="10" t="str">
        <f aca="false">IF(ISNUMBER(AD50),AD50*Parametros!$B$12,"")</f>
        <v/>
      </c>
      <c r="AF50" s="29" t="str">
        <f aca="false">IF(AND(ISNUMBER(Q50),K50&lt;&gt;""),IFERROR(1/(Q50*INDEX(Telas!$G$6:$G$105,MATCH(K50,Telas!$A$6:$A$105,0))),""),"")</f>
        <v/>
      </c>
      <c r="AG50" s="0" t="str">
        <f aca="false">IF($A50="","",IF(ISNUMBER(AD50),IF(AND(N(Y50)&gt;0,N(Parametros!$B$19)=0),"Lista, pero sin costo de impresión (Parametros)","Lista"),IF(Q50="","Consumo tela principal (Despiece o Mediciones). ","")&amp;IF(COUNTIFS(Mediciones!$C$6:$C$305,$A50,Mediciones!$K$6:$K$305,"")&gt;0,"Pesar 1 m de la tela medida (Telas, kg por metro). ","")&amp;IF(T50="","Consumo Tela 2. ","")&amp;IF(W50="","Consumo Tela 3. ","")&amp;IF(K50="","Elegir tela principal. ",IF(ISERROR(INDEX(Telas!$I$6:$I$105,MATCH(K50,Telas!$A$6:$A$105,0))*1),"Precio o peso por metro de "&amp;K50&amp;". ",""))&amp;IF(AND(N(T50)&gt;0,L50=""),"Elegir Tela 2. ",IF(AND(N(T50)&gt;0,ISERROR(INDEX(Telas!$I$6:$I$105,MATCH(L50,Telas!$A$6:$A$105,0))*1)),"Precio o peso por metro de "&amp;L50&amp;". ",""))&amp;IF(Y50="","Metros impresos. ","")&amp;IF(F50="","Tipo de confección. ",IF(AB50="","Precio de confección. ",""))))</f>
        <v>Consumo tela principal (Despiece o Mediciones). Elegir tela principal. Metros impresos. </v>
      </c>
      <c r="AH50" s="27" t="s">
        <v>95</v>
      </c>
    </row>
    <row r="51" customFormat="false" ht="15" hidden="false" customHeight="false" outlineLevel="0" collapsed="false">
      <c r="A51" s="27" t="s">
        <v>178</v>
      </c>
      <c r="B51" s="27" t="s">
        <v>147</v>
      </c>
      <c r="C51" s="27" t="s">
        <v>147</v>
      </c>
      <c r="D51" s="27" t="s">
        <v>176</v>
      </c>
      <c r="E51" s="27" t="s">
        <v>97</v>
      </c>
      <c r="F51" s="27" t="s">
        <v>177</v>
      </c>
      <c r="G51" s="8"/>
      <c r="H51" s="27"/>
      <c r="I51" s="8"/>
      <c r="J51" s="27"/>
      <c r="K51" s="8" t="s">
        <v>150</v>
      </c>
      <c r="L51" s="8"/>
      <c r="M51" s="8"/>
      <c r="N51" s="8"/>
      <c r="O51" s="9" t="str">
        <f aca="false">IF($A51="","",IF(COUNTIFS(Despiece!$A$6:$A$705,$A51,Despiece!$D$6:$D$705,"Tela principal",Despiece!$F$6:$F$705,"&gt;0")=0,"",SUMIFS(Despiece!$F$6:$F$705,Despiece!$A$6:$A$705,$A51,Despiece!$D$6:$D$705,"Tela principal")))</f>
        <v/>
      </c>
      <c r="P51" s="9" t="str">
        <f aca="false">IF($A51="","",IFERROR(AVERAGEIFS(Mediciones!$K$6:$K$305,Mediciones!$C$6:$C$305,$A51,Mediciones!$D$6:$D$305,"Tela principal"),""))</f>
        <v/>
      </c>
      <c r="Q51" s="28" t="str">
        <f aca="false">IF($A51="","",IF(N(IF($N51="Despiece",IF(ISNUMBER(O51),O51*(1+Parametros!$B$22),IF(COUNTIFS(Despiece!$A$6:$A$705,$A51,Despiece!$D$6:$D$705,"Tela principal")&gt;0,"",0)),IF($N51="Medición real",IF(ISNUMBER(P51),P51,IF(COUNTIFS(Mediciones!$C$6:$C$305,$A51,Mediciones!$D$6:$D$305,"Tela principal")&gt;0,"",0)),IF(ISNUMBER(P51),P51,IF(ISNUMBER(O51),O51*(1+Parametros!$B$22),IF(OR(COUNTIFS(Despiece!$A$6:$A$705,$A51,Despiece!$D$6:$D$705,"Tela principal")&gt;0,COUNTIFS(Mediciones!$C$6:$C$305,$A51,Mediciones!$D$6:$D$305,"Tela principal")&gt;0),"",0))))))=0,"",IF($N51="Despiece",IF(ISNUMBER(O51),O51*(1+Parametros!$B$22),IF(COUNTIFS(Despiece!$A$6:$A$705,$A51,Despiece!$D$6:$D$705,"Tela principal")&gt;0,"",0)),IF($N51="Medición real",IF(ISNUMBER(P51),P51,IF(COUNTIFS(Mediciones!$C$6:$C$305,$A51,Mediciones!$D$6:$D$305,"Tela principal")&gt;0,"",0)),IF(ISNUMBER(P51),P51,IF(ISNUMBER(O51),O51*(1+Parametros!$B$22),IF(OR(COUNTIFS(Despiece!$A$6:$A$705,$A51,Despiece!$D$6:$D$705,"Tela principal")&gt;0,COUNTIFS(Mediciones!$C$6:$C$305,$A51,Mediciones!$D$6:$D$305,"Tela principal")&gt;0),"",0)))))))</f>
        <v/>
      </c>
      <c r="R51" s="9" t="str">
        <f aca="false">IF($A51="","",IF(COUNTIFS(Despiece!$A$6:$A$705,$A51,Despiece!$D$6:$D$705,"Tela 2",Despiece!$F$6:$F$705,"&gt;0")=0,"",SUMIFS(Despiece!$F$6:$F$705,Despiece!$A$6:$A$705,$A51,Despiece!$D$6:$D$705,"Tela 2")))</f>
        <v/>
      </c>
      <c r="S51" s="9" t="str">
        <f aca="false">IF($A51="","",IFERROR(AVERAGEIFS(Mediciones!$K$6:$K$305,Mediciones!$C$6:$C$305,$A51,Mediciones!$D$6:$D$305,"Tela 2"),""))</f>
        <v/>
      </c>
      <c r="T51" s="28" t="n">
        <f aca="false">IF($A51="","",IF($N51="Despiece",IF(ISNUMBER(R51),R51*(1+Parametros!$B$22),IF(COUNTIFS(Despiece!$A$6:$A$705,$A51,Despiece!$D$6:$D$705,"Tela 2")&gt;0,"",0)),IF($N51="Medición real",IF(ISNUMBER(S51),S51,IF(COUNTIFS(Mediciones!$C$6:$C$305,$A51,Mediciones!$D$6:$D$305,"Tela 2")&gt;0,"",0)),IF(ISNUMBER(S51),S51,IF(ISNUMBER(R51),R51*(1+Parametros!$B$22),IF(OR(COUNTIFS(Despiece!$A$6:$A$705,$A51,Despiece!$D$6:$D$705,"Tela 2")&gt;0,COUNTIFS(Mediciones!$C$6:$C$305,$A51,Mediciones!$D$6:$D$305,"Tela 2")&gt;0),"",0))))))</f>
        <v>0</v>
      </c>
      <c r="U51" s="9" t="str">
        <f aca="false">IF($A51="","",IF(COUNTIFS(Despiece!$A$6:$A$705,$A51,Despiece!$D$6:$D$705,"Tela 3",Despiece!$F$6:$F$705,"&gt;0")=0,"",SUMIFS(Despiece!$F$6:$F$705,Despiece!$A$6:$A$705,$A51,Despiece!$D$6:$D$705,"Tela 3")))</f>
        <v/>
      </c>
      <c r="V51" s="9" t="str">
        <f aca="false">IF($A51="","",IFERROR(AVERAGEIFS(Mediciones!$K$6:$K$305,Mediciones!$C$6:$C$305,$A51,Mediciones!$D$6:$D$305,"Tela 3"),""))</f>
        <v/>
      </c>
      <c r="W51" s="28" t="n">
        <f aca="false">IF($A51="","",IF($N51="Despiece",IF(ISNUMBER(U51),U51*(1+Parametros!$B$22),IF(COUNTIFS(Despiece!$A$6:$A$705,$A51,Despiece!$D$6:$D$705,"Tela 3")&gt;0,"",0)),IF($N51="Medición real",IF(ISNUMBER(V51),V51,IF(COUNTIFS(Mediciones!$C$6:$C$305,$A51,Mediciones!$D$6:$D$305,"Tela 3")&gt;0,"",0)),IF(ISNUMBER(V51),V51,IF(ISNUMBER(U51),U51*(1+Parametros!$B$22),IF(OR(COUNTIFS(Despiece!$A$6:$A$705,$A51,Despiece!$D$6:$D$705,"Tela 3")&gt;0,COUNTIFS(Mediciones!$C$6:$C$305,$A51,Mediciones!$D$6:$D$305,"Tela 3")&gt;0),"",0))))))</f>
        <v>0</v>
      </c>
      <c r="X51" s="27"/>
      <c r="Y51" s="9" t="str">
        <f aca="false">IF($A51="","",IF(ISNUMBER(X51),X51,IF(COUNTIFS(Despiece!$A$6:$A$705,$A51,Despiece!$E$6:$E$705,"Sublimada",Despiece!$F$6:$F$705,"&gt;0")&gt;0,SUMIFS(Despiece!$F$6:$F$705,Despiece!$A$6:$A$705,$A51,Despiece!$E$6:$E$705,"Sublimada")*(1+Parametros!$B$22),IF(COUNTIFS(Despiece!$A$6:$A$705,$A51,Despiece!$E$6:$E$705,"Sublimada")=0,0,""))))</f>
        <v/>
      </c>
      <c r="Z51" s="10" t="str">
        <f aca="false">IF($A51="","",IFERROR(IF(ISNUMBER(Q51),IF(Q51=0,0,Q51*INDEX(Telas!$I$6:$I$105,MATCH(K51,Telas!$A$6:$A$105,0))),NA())+IF(ISNUMBER(T51),IF(T51=0,0,T51*INDEX(Telas!$I$6:$I$105,MATCH(L51,Telas!$A$6:$A$105,0))),NA())+IF(ISNUMBER(W51),IF(W51=0,0,W51*INDEX(Telas!$I$6:$I$105,MATCH(IF(M51="",K51,M51),Telas!$A$6:$A$105,0))),NA()),""))</f>
        <v/>
      </c>
      <c r="AA51" s="10" t="str">
        <f aca="false">IF($A51="","",IF(ISNUMBER(Y51),Y51*Parametros!$B$19,""))</f>
        <v/>
      </c>
      <c r="AB51" s="10" t="n">
        <f aca="false">IF(OR($A51="",F51=""),"",IFERROR(INDEX(Confeccion!$B$6:$B$125,MATCH(F51,Confeccion!$A$6:$A$125,0)),""))</f>
        <v>1900</v>
      </c>
      <c r="AC51" s="10" t="n">
        <f aca="false">IF($A51="","",IFERROR(N(H51)*IF(G51="",0,INDEX(Avios!$C$6:$C$65,MATCH(G51,Avios!$A$6:$A$65,0)))+N(J51)*IF(I51="",0,INDEX(Avios!$C$6:$C$65,MATCH(I51,Avios!$A$6:$A$65,0))),""))</f>
        <v>0</v>
      </c>
      <c r="AD51" s="11" t="str">
        <f aca="false">IF($A51="","",IFERROR(Z51+AA51+AB51+AC51,""))</f>
        <v/>
      </c>
      <c r="AE51" s="10" t="str">
        <f aca="false">IF(ISNUMBER(AD51),AD51*Parametros!$B$12,"")</f>
        <v/>
      </c>
      <c r="AF51" s="29" t="str">
        <f aca="false">IF(AND(ISNUMBER(Q51),K51&lt;&gt;""),IFERROR(1/(Q51*INDEX(Telas!$G$6:$G$105,MATCH(K51,Telas!$A$6:$A$105,0))),""),"")</f>
        <v/>
      </c>
      <c r="AG51" s="0" t="str">
        <f aca="false">IF($A51="","",IF(ISNUMBER(AD51),IF(AND(N(Y51)&gt;0,N(Parametros!$B$19)=0),"Lista, pero sin costo de impresión (Parametros)","Lista"),IF(Q51="","Consumo tela principal (Despiece o Mediciones). ","")&amp;IF(COUNTIFS(Mediciones!$C$6:$C$305,$A51,Mediciones!$K$6:$K$305,"")&gt;0,"Pesar 1 m de la tela medida (Telas, kg por metro). ","")&amp;IF(T51="","Consumo Tela 2. ","")&amp;IF(W51="","Consumo Tela 3. ","")&amp;IF(K51="","Elegir tela principal. ",IF(ISERROR(INDEX(Telas!$I$6:$I$105,MATCH(K51,Telas!$A$6:$A$105,0))*1),"Precio o peso por metro de "&amp;K51&amp;". ",""))&amp;IF(AND(N(T51)&gt;0,L51=""),"Elegir Tela 2. ",IF(AND(N(T51)&gt;0,ISERROR(INDEX(Telas!$I$6:$I$105,MATCH(L51,Telas!$A$6:$A$105,0))*1)),"Precio o peso por metro de "&amp;L51&amp;". ",""))&amp;IF(Y51="","Metros impresos. ","")&amp;IF(F51="","Tipo de confección. ",IF(AB51="","Precio de confección. ",""))))</f>
        <v>Consumo tela principal (Despiece o Mediciones). Pesar 1 m de la tela medida (Telas, kg por metro). Precio o peso por metro de QUICKDRY. Metros impresos. </v>
      </c>
      <c r="AH51" s="27" t="s">
        <v>179</v>
      </c>
    </row>
    <row r="52" customFormat="false" ht="15" hidden="false" customHeight="false" outlineLevel="0" collapsed="false">
      <c r="A52" s="27" t="s">
        <v>180</v>
      </c>
      <c r="B52" s="27" t="s">
        <v>181</v>
      </c>
      <c r="C52" s="27" t="s">
        <v>147</v>
      </c>
      <c r="D52" s="27" t="s">
        <v>176</v>
      </c>
      <c r="E52" s="27" t="s">
        <v>100</v>
      </c>
      <c r="F52" s="27" t="s">
        <v>177</v>
      </c>
      <c r="G52" s="8"/>
      <c r="H52" s="27"/>
      <c r="I52" s="8"/>
      <c r="J52" s="27"/>
      <c r="K52" s="8"/>
      <c r="L52" s="8"/>
      <c r="M52" s="8"/>
      <c r="N52" s="8"/>
      <c r="O52" s="9" t="str">
        <f aca="false">IF($A52="","",IF(COUNTIFS(Despiece!$A$6:$A$705,$A52,Despiece!$D$6:$D$705,"Tela principal",Despiece!$F$6:$F$705,"&gt;0")=0,"",SUMIFS(Despiece!$F$6:$F$705,Despiece!$A$6:$A$705,$A52,Despiece!$D$6:$D$705,"Tela principal")))</f>
        <v/>
      </c>
      <c r="P52" s="9" t="str">
        <f aca="false">IF($A52="","",IFERROR(AVERAGEIFS(Mediciones!$K$6:$K$305,Mediciones!$C$6:$C$305,$A52,Mediciones!$D$6:$D$305,"Tela principal"),""))</f>
        <v/>
      </c>
      <c r="Q52" s="28" t="str">
        <f aca="false">IF($A52="","",IF(N(IF($N52="Despiece",IF(ISNUMBER(O52),O52*(1+Parametros!$B$22),IF(COUNTIFS(Despiece!$A$6:$A$705,$A52,Despiece!$D$6:$D$705,"Tela principal")&gt;0,"",0)),IF($N52="Medición real",IF(ISNUMBER(P52),P52,IF(COUNTIFS(Mediciones!$C$6:$C$305,$A52,Mediciones!$D$6:$D$305,"Tela principal")&gt;0,"",0)),IF(ISNUMBER(P52),P52,IF(ISNUMBER(O52),O52*(1+Parametros!$B$22),IF(OR(COUNTIFS(Despiece!$A$6:$A$705,$A52,Despiece!$D$6:$D$705,"Tela principal")&gt;0,COUNTIFS(Mediciones!$C$6:$C$305,$A52,Mediciones!$D$6:$D$305,"Tela principal")&gt;0),"",0))))))=0,"",IF($N52="Despiece",IF(ISNUMBER(O52),O52*(1+Parametros!$B$22),IF(COUNTIFS(Despiece!$A$6:$A$705,$A52,Despiece!$D$6:$D$705,"Tela principal")&gt;0,"",0)),IF($N52="Medición real",IF(ISNUMBER(P52),P52,IF(COUNTIFS(Mediciones!$C$6:$C$305,$A52,Mediciones!$D$6:$D$305,"Tela principal")&gt;0,"",0)),IF(ISNUMBER(P52),P52,IF(ISNUMBER(O52),O52*(1+Parametros!$B$22),IF(OR(COUNTIFS(Despiece!$A$6:$A$705,$A52,Despiece!$D$6:$D$705,"Tela principal")&gt;0,COUNTIFS(Mediciones!$C$6:$C$305,$A52,Mediciones!$D$6:$D$305,"Tela principal")&gt;0),"",0)))))))</f>
        <v/>
      </c>
      <c r="R52" s="9" t="str">
        <f aca="false">IF($A52="","",IF(COUNTIFS(Despiece!$A$6:$A$705,$A52,Despiece!$D$6:$D$705,"Tela 2",Despiece!$F$6:$F$705,"&gt;0")=0,"",SUMIFS(Despiece!$F$6:$F$705,Despiece!$A$6:$A$705,$A52,Despiece!$D$6:$D$705,"Tela 2")))</f>
        <v/>
      </c>
      <c r="S52" s="9" t="str">
        <f aca="false">IF($A52="","",IFERROR(AVERAGEIFS(Mediciones!$K$6:$K$305,Mediciones!$C$6:$C$305,$A52,Mediciones!$D$6:$D$305,"Tela 2"),""))</f>
        <v/>
      </c>
      <c r="T52" s="28" t="n">
        <f aca="false">IF($A52="","",IF($N52="Despiece",IF(ISNUMBER(R52),R52*(1+Parametros!$B$22),IF(COUNTIFS(Despiece!$A$6:$A$705,$A52,Despiece!$D$6:$D$705,"Tela 2")&gt;0,"",0)),IF($N52="Medición real",IF(ISNUMBER(S52),S52,IF(COUNTIFS(Mediciones!$C$6:$C$305,$A52,Mediciones!$D$6:$D$305,"Tela 2")&gt;0,"",0)),IF(ISNUMBER(S52),S52,IF(ISNUMBER(R52),R52*(1+Parametros!$B$22),IF(OR(COUNTIFS(Despiece!$A$6:$A$705,$A52,Despiece!$D$6:$D$705,"Tela 2")&gt;0,COUNTIFS(Mediciones!$C$6:$C$305,$A52,Mediciones!$D$6:$D$305,"Tela 2")&gt;0),"",0))))))</f>
        <v>0</v>
      </c>
      <c r="U52" s="9" t="str">
        <f aca="false">IF($A52="","",IF(COUNTIFS(Despiece!$A$6:$A$705,$A52,Despiece!$D$6:$D$705,"Tela 3",Despiece!$F$6:$F$705,"&gt;0")=0,"",SUMIFS(Despiece!$F$6:$F$705,Despiece!$A$6:$A$705,$A52,Despiece!$D$6:$D$705,"Tela 3")))</f>
        <v/>
      </c>
      <c r="V52" s="9" t="str">
        <f aca="false">IF($A52="","",IFERROR(AVERAGEIFS(Mediciones!$K$6:$K$305,Mediciones!$C$6:$C$305,$A52,Mediciones!$D$6:$D$305,"Tela 3"),""))</f>
        <v/>
      </c>
      <c r="W52" s="28" t="n">
        <f aca="false">IF($A52="","",IF($N52="Despiece",IF(ISNUMBER(U52),U52*(1+Parametros!$B$22),IF(COUNTIFS(Despiece!$A$6:$A$705,$A52,Despiece!$D$6:$D$705,"Tela 3")&gt;0,"",0)),IF($N52="Medición real",IF(ISNUMBER(V52),V52,IF(COUNTIFS(Mediciones!$C$6:$C$305,$A52,Mediciones!$D$6:$D$305,"Tela 3")&gt;0,"",0)),IF(ISNUMBER(V52),V52,IF(ISNUMBER(U52),U52*(1+Parametros!$B$22),IF(OR(COUNTIFS(Despiece!$A$6:$A$705,$A52,Despiece!$D$6:$D$705,"Tela 3")&gt;0,COUNTIFS(Mediciones!$C$6:$C$305,$A52,Mediciones!$D$6:$D$305,"Tela 3")&gt;0),"",0))))))</f>
        <v>0</v>
      </c>
      <c r="X52" s="27"/>
      <c r="Y52" s="9" t="str">
        <f aca="false">IF($A52="","",IF(ISNUMBER(X52),X52,IF(COUNTIFS(Despiece!$A$6:$A$705,$A52,Despiece!$E$6:$E$705,"Sublimada",Despiece!$F$6:$F$705,"&gt;0")&gt;0,SUMIFS(Despiece!$F$6:$F$705,Despiece!$A$6:$A$705,$A52,Despiece!$E$6:$E$705,"Sublimada")*(1+Parametros!$B$22),IF(COUNTIFS(Despiece!$A$6:$A$705,$A52,Despiece!$E$6:$E$705,"Sublimada")=0,0,""))))</f>
        <v/>
      </c>
      <c r="Z52" s="10" t="str">
        <f aca="false">IF($A52="","",IFERROR(IF(ISNUMBER(Q52),IF(Q52=0,0,Q52*INDEX(Telas!$I$6:$I$105,MATCH(K52,Telas!$A$6:$A$105,0))),NA())+IF(ISNUMBER(T52),IF(T52=0,0,T52*INDEX(Telas!$I$6:$I$105,MATCH(L52,Telas!$A$6:$A$105,0))),NA())+IF(ISNUMBER(W52),IF(W52=0,0,W52*INDEX(Telas!$I$6:$I$105,MATCH(IF(M52="",K52,M52),Telas!$A$6:$A$105,0))),NA()),""))</f>
        <v/>
      </c>
      <c r="AA52" s="10" t="str">
        <f aca="false">IF($A52="","",IF(ISNUMBER(Y52),Y52*Parametros!$B$19,""))</f>
        <v/>
      </c>
      <c r="AB52" s="10" t="n">
        <f aca="false">IF(OR($A52="",F52=""),"",IFERROR(INDEX(Confeccion!$B$6:$B$125,MATCH(F52,Confeccion!$A$6:$A$125,0)),""))</f>
        <v>1900</v>
      </c>
      <c r="AC52" s="10" t="n">
        <f aca="false">IF($A52="","",IFERROR(N(H52)*IF(G52="",0,INDEX(Avios!$C$6:$C$65,MATCH(G52,Avios!$A$6:$A$65,0)))+N(J52)*IF(I52="",0,INDEX(Avios!$C$6:$C$65,MATCH(I52,Avios!$A$6:$A$65,0))),""))</f>
        <v>0</v>
      </c>
      <c r="AD52" s="11" t="str">
        <f aca="false">IF($A52="","",IFERROR(Z52+AA52+AB52+AC52,""))</f>
        <v/>
      </c>
      <c r="AE52" s="10" t="str">
        <f aca="false">IF(ISNUMBER(AD52),AD52*Parametros!$B$12,"")</f>
        <v/>
      </c>
      <c r="AF52" s="29" t="str">
        <f aca="false">IF(AND(ISNUMBER(Q52),K52&lt;&gt;""),IFERROR(1/(Q52*INDEX(Telas!$G$6:$G$105,MATCH(K52,Telas!$A$6:$A$105,0))),""),"")</f>
        <v/>
      </c>
      <c r="AG52" s="0" t="str">
        <f aca="false">IF($A52="","",IF(ISNUMBER(AD52),IF(AND(N(Y52)&gt;0,N(Parametros!$B$19)=0),"Lista, pero sin costo de impresión (Parametros)","Lista"),IF(Q52="","Consumo tela principal (Despiece o Mediciones). ","")&amp;IF(COUNTIFS(Mediciones!$C$6:$C$305,$A52,Mediciones!$K$6:$K$305,"")&gt;0,"Pesar 1 m de la tela medida (Telas, kg por metro). ","")&amp;IF(T52="","Consumo Tela 2. ","")&amp;IF(W52="","Consumo Tela 3. ","")&amp;IF(K52="","Elegir tela principal. ",IF(ISERROR(INDEX(Telas!$I$6:$I$105,MATCH(K52,Telas!$A$6:$A$105,0))*1),"Precio o peso por metro de "&amp;K52&amp;". ",""))&amp;IF(AND(N(T52)&gt;0,L52=""),"Elegir Tela 2. ",IF(AND(N(T52)&gt;0,ISERROR(INDEX(Telas!$I$6:$I$105,MATCH(L52,Telas!$A$6:$A$105,0))*1)),"Precio o peso por metro de "&amp;L52&amp;". ",""))&amp;IF(Y52="","Metros impresos. ","")&amp;IF(F52="","Tipo de confección. ",IF(AB52="","Precio de confección. ",""))))</f>
        <v>Consumo tela principal (Despiece o Mediciones). Elegir tela principal. Metros impresos. </v>
      </c>
      <c r="AH52" s="27" t="s">
        <v>95</v>
      </c>
    </row>
    <row r="53" customFormat="false" ht="15" hidden="false" customHeight="false" outlineLevel="0" collapsed="false">
      <c r="A53" s="27" t="s">
        <v>182</v>
      </c>
      <c r="B53" s="27" t="s">
        <v>181</v>
      </c>
      <c r="C53" s="27" t="s">
        <v>147</v>
      </c>
      <c r="D53" s="27" t="s">
        <v>176</v>
      </c>
      <c r="E53" s="27" t="s">
        <v>102</v>
      </c>
      <c r="F53" s="27" t="s">
        <v>177</v>
      </c>
      <c r="G53" s="8"/>
      <c r="H53" s="27"/>
      <c r="I53" s="8"/>
      <c r="J53" s="27"/>
      <c r="K53" s="8"/>
      <c r="L53" s="8"/>
      <c r="M53" s="8"/>
      <c r="N53" s="8"/>
      <c r="O53" s="9" t="str">
        <f aca="false">IF($A53="","",IF(COUNTIFS(Despiece!$A$6:$A$705,$A53,Despiece!$D$6:$D$705,"Tela principal",Despiece!$F$6:$F$705,"&gt;0")=0,"",SUMIFS(Despiece!$F$6:$F$705,Despiece!$A$6:$A$705,$A53,Despiece!$D$6:$D$705,"Tela principal")))</f>
        <v/>
      </c>
      <c r="P53" s="9" t="str">
        <f aca="false">IF($A53="","",IFERROR(AVERAGEIFS(Mediciones!$K$6:$K$305,Mediciones!$C$6:$C$305,$A53,Mediciones!$D$6:$D$305,"Tela principal"),""))</f>
        <v/>
      </c>
      <c r="Q53" s="28" t="str">
        <f aca="false">IF($A53="","",IF(N(IF($N53="Despiece",IF(ISNUMBER(O53),O53*(1+Parametros!$B$22),IF(COUNTIFS(Despiece!$A$6:$A$705,$A53,Despiece!$D$6:$D$705,"Tela principal")&gt;0,"",0)),IF($N53="Medición real",IF(ISNUMBER(P53),P53,IF(COUNTIFS(Mediciones!$C$6:$C$305,$A53,Mediciones!$D$6:$D$305,"Tela principal")&gt;0,"",0)),IF(ISNUMBER(P53),P53,IF(ISNUMBER(O53),O53*(1+Parametros!$B$22),IF(OR(COUNTIFS(Despiece!$A$6:$A$705,$A53,Despiece!$D$6:$D$705,"Tela principal")&gt;0,COUNTIFS(Mediciones!$C$6:$C$305,$A53,Mediciones!$D$6:$D$305,"Tela principal")&gt;0),"",0))))))=0,"",IF($N53="Despiece",IF(ISNUMBER(O53),O53*(1+Parametros!$B$22),IF(COUNTIFS(Despiece!$A$6:$A$705,$A53,Despiece!$D$6:$D$705,"Tela principal")&gt;0,"",0)),IF($N53="Medición real",IF(ISNUMBER(P53),P53,IF(COUNTIFS(Mediciones!$C$6:$C$305,$A53,Mediciones!$D$6:$D$305,"Tela principal")&gt;0,"",0)),IF(ISNUMBER(P53),P53,IF(ISNUMBER(O53),O53*(1+Parametros!$B$22),IF(OR(COUNTIFS(Despiece!$A$6:$A$705,$A53,Despiece!$D$6:$D$705,"Tela principal")&gt;0,COUNTIFS(Mediciones!$C$6:$C$305,$A53,Mediciones!$D$6:$D$305,"Tela principal")&gt;0),"",0)))))))</f>
        <v/>
      </c>
      <c r="R53" s="9" t="str">
        <f aca="false">IF($A53="","",IF(COUNTIFS(Despiece!$A$6:$A$705,$A53,Despiece!$D$6:$D$705,"Tela 2",Despiece!$F$6:$F$705,"&gt;0")=0,"",SUMIFS(Despiece!$F$6:$F$705,Despiece!$A$6:$A$705,$A53,Despiece!$D$6:$D$705,"Tela 2")))</f>
        <v/>
      </c>
      <c r="S53" s="9" t="str">
        <f aca="false">IF($A53="","",IFERROR(AVERAGEIFS(Mediciones!$K$6:$K$305,Mediciones!$C$6:$C$305,$A53,Mediciones!$D$6:$D$305,"Tela 2"),""))</f>
        <v/>
      </c>
      <c r="T53" s="28" t="n">
        <f aca="false">IF($A53="","",IF($N53="Despiece",IF(ISNUMBER(R53),R53*(1+Parametros!$B$22),IF(COUNTIFS(Despiece!$A$6:$A$705,$A53,Despiece!$D$6:$D$705,"Tela 2")&gt;0,"",0)),IF($N53="Medición real",IF(ISNUMBER(S53),S53,IF(COUNTIFS(Mediciones!$C$6:$C$305,$A53,Mediciones!$D$6:$D$305,"Tela 2")&gt;0,"",0)),IF(ISNUMBER(S53),S53,IF(ISNUMBER(R53),R53*(1+Parametros!$B$22),IF(OR(COUNTIFS(Despiece!$A$6:$A$705,$A53,Despiece!$D$6:$D$705,"Tela 2")&gt;0,COUNTIFS(Mediciones!$C$6:$C$305,$A53,Mediciones!$D$6:$D$305,"Tela 2")&gt;0),"",0))))))</f>
        <v>0</v>
      </c>
      <c r="U53" s="9" t="str">
        <f aca="false">IF($A53="","",IF(COUNTIFS(Despiece!$A$6:$A$705,$A53,Despiece!$D$6:$D$705,"Tela 3",Despiece!$F$6:$F$705,"&gt;0")=0,"",SUMIFS(Despiece!$F$6:$F$705,Despiece!$A$6:$A$705,$A53,Despiece!$D$6:$D$705,"Tela 3")))</f>
        <v/>
      </c>
      <c r="V53" s="9" t="str">
        <f aca="false">IF($A53="","",IFERROR(AVERAGEIFS(Mediciones!$K$6:$K$305,Mediciones!$C$6:$C$305,$A53,Mediciones!$D$6:$D$305,"Tela 3"),""))</f>
        <v/>
      </c>
      <c r="W53" s="28" t="n">
        <f aca="false">IF($A53="","",IF($N53="Despiece",IF(ISNUMBER(U53),U53*(1+Parametros!$B$22),IF(COUNTIFS(Despiece!$A$6:$A$705,$A53,Despiece!$D$6:$D$705,"Tela 3")&gt;0,"",0)),IF($N53="Medición real",IF(ISNUMBER(V53),V53,IF(COUNTIFS(Mediciones!$C$6:$C$305,$A53,Mediciones!$D$6:$D$305,"Tela 3")&gt;0,"",0)),IF(ISNUMBER(V53),V53,IF(ISNUMBER(U53),U53*(1+Parametros!$B$22),IF(OR(COUNTIFS(Despiece!$A$6:$A$705,$A53,Despiece!$D$6:$D$705,"Tela 3")&gt;0,COUNTIFS(Mediciones!$C$6:$C$305,$A53,Mediciones!$D$6:$D$305,"Tela 3")&gt;0),"",0))))))</f>
        <v>0</v>
      </c>
      <c r="X53" s="27"/>
      <c r="Y53" s="9" t="str">
        <f aca="false">IF($A53="","",IF(ISNUMBER(X53),X53,IF(COUNTIFS(Despiece!$A$6:$A$705,$A53,Despiece!$E$6:$E$705,"Sublimada",Despiece!$F$6:$F$705,"&gt;0")&gt;0,SUMIFS(Despiece!$F$6:$F$705,Despiece!$A$6:$A$705,$A53,Despiece!$E$6:$E$705,"Sublimada")*(1+Parametros!$B$22),IF(COUNTIFS(Despiece!$A$6:$A$705,$A53,Despiece!$E$6:$E$705,"Sublimada")=0,0,""))))</f>
        <v/>
      </c>
      <c r="Z53" s="10" t="str">
        <f aca="false">IF($A53="","",IFERROR(IF(ISNUMBER(Q53),IF(Q53=0,0,Q53*INDEX(Telas!$I$6:$I$105,MATCH(K53,Telas!$A$6:$A$105,0))),NA())+IF(ISNUMBER(T53),IF(T53=0,0,T53*INDEX(Telas!$I$6:$I$105,MATCH(L53,Telas!$A$6:$A$105,0))),NA())+IF(ISNUMBER(W53),IF(W53=0,0,W53*INDEX(Telas!$I$6:$I$105,MATCH(IF(M53="",K53,M53),Telas!$A$6:$A$105,0))),NA()),""))</f>
        <v/>
      </c>
      <c r="AA53" s="10" t="str">
        <f aca="false">IF($A53="","",IF(ISNUMBER(Y53),Y53*Parametros!$B$19,""))</f>
        <v/>
      </c>
      <c r="AB53" s="10" t="n">
        <f aca="false">IF(OR($A53="",F53=""),"",IFERROR(INDEX(Confeccion!$B$6:$B$125,MATCH(F53,Confeccion!$A$6:$A$125,0)),""))</f>
        <v>1900</v>
      </c>
      <c r="AC53" s="10" t="n">
        <f aca="false">IF($A53="","",IFERROR(N(H53)*IF(G53="",0,INDEX(Avios!$C$6:$C$65,MATCH(G53,Avios!$A$6:$A$65,0)))+N(J53)*IF(I53="",0,INDEX(Avios!$C$6:$C$65,MATCH(I53,Avios!$A$6:$A$65,0))),""))</f>
        <v>0</v>
      </c>
      <c r="AD53" s="11" t="str">
        <f aca="false">IF($A53="","",IFERROR(Z53+AA53+AB53+AC53,""))</f>
        <v/>
      </c>
      <c r="AE53" s="10" t="str">
        <f aca="false">IF(ISNUMBER(AD53),AD53*Parametros!$B$12,"")</f>
        <v/>
      </c>
      <c r="AF53" s="29" t="str">
        <f aca="false">IF(AND(ISNUMBER(Q53),K53&lt;&gt;""),IFERROR(1/(Q53*INDEX(Telas!$G$6:$G$105,MATCH(K53,Telas!$A$6:$A$105,0))),""),"")</f>
        <v/>
      </c>
      <c r="AG53" s="0" t="str">
        <f aca="false">IF($A53="","",IF(ISNUMBER(AD53),IF(AND(N(Y53)&gt;0,N(Parametros!$B$19)=0),"Lista, pero sin costo de impresión (Parametros)","Lista"),IF(Q53="","Consumo tela principal (Despiece o Mediciones). ","")&amp;IF(COUNTIFS(Mediciones!$C$6:$C$305,$A53,Mediciones!$K$6:$K$305,"")&gt;0,"Pesar 1 m de la tela medida (Telas, kg por metro). ","")&amp;IF(T53="","Consumo Tela 2. ","")&amp;IF(W53="","Consumo Tela 3. ","")&amp;IF(K53="","Elegir tela principal. ",IF(ISERROR(INDEX(Telas!$I$6:$I$105,MATCH(K53,Telas!$A$6:$A$105,0))*1),"Precio o peso por metro de "&amp;K53&amp;". ",""))&amp;IF(AND(N(T53)&gt;0,L53=""),"Elegir Tela 2. ",IF(AND(N(T53)&gt;0,ISERROR(INDEX(Telas!$I$6:$I$105,MATCH(L53,Telas!$A$6:$A$105,0))*1)),"Precio o peso por metro de "&amp;L53&amp;". ",""))&amp;IF(Y53="","Metros impresos. ","")&amp;IF(F53="","Tipo de confección. ",IF(AB53="","Precio de confección. ",""))))</f>
        <v>Consumo tela principal (Despiece o Mediciones). Elegir tela principal. Metros impresos. </v>
      </c>
      <c r="AH53" s="27" t="s">
        <v>95</v>
      </c>
    </row>
    <row r="54" customFormat="false" ht="15" hidden="false" customHeight="false" outlineLevel="0" collapsed="false">
      <c r="A54" s="27" t="s">
        <v>183</v>
      </c>
      <c r="B54" s="27" t="s">
        <v>184</v>
      </c>
      <c r="C54" s="27" t="s">
        <v>147</v>
      </c>
      <c r="D54" s="27" t="s">
        <v>176</v>
      </c>
      <c r="E54" s="27" t="s">
        <v>93</v>
      </c>
      <c r="F54" s="27" t="s">
        <v>185</v>
      </c>
      <c r="G54" s="8"/>
      <c r="H54" s="27"/>
      <c r="I54" s="8"/>
      <c r="J54" s="27"/>
      <c r="K54" s="8"/>
      <c r="L54" s="8"/>
      <c r="M54" s="8"/>
      <c r="N54" s="8"/>
      <c r="O54" s="9" t="str">
        <f aca="false">IF($A54="","",IF(COUNTIFS(Despiece!$A$6:$A$705,$A54,Despiece!$D$6:$D$705,"Tela principal",Despiece!$F$6:$F$705,"&gt;0")=0,"",SUMIFS(Despiece!$F$6:$F$705,Despiece!$A$6:$A$705,$A54,Despiece!$D$6:$D$705,"Tela principal")))</f>
        <v/>
      </c>
      <c r="P54" s="9" t="str">
        <f aca="false">IF($A54="","",IFERROR(AVERAGEIFS(Mediciones!$K$6:$K$305,Mediciones!$C$6:$C$305,$A54,Mediciones!$D$6:$D$305,"Tela principal"),""))</f>
        <v/>
      </c>
      <c r="Q54" s="28" t="str">
        <f aca="false">IF($A54="","",IF(N(IF($N54="Despiece",IF(ISNUMBER(O54),O54*(1+Parametros!$B$22),IF(COUNTIFS(Despiece!$A$6:$A$705,$A54,Despiece!$D$6:$D$705,"Tela principal")&gt;0,"",0)),IF($N54="Medición real",IF(ISNUMBER(P54),P54,IF(COUNTIFS(Mediciones!$C$6:$C$305,$A54,Mediciones!$D$6:$D$305,"Tela principal")&gt;0,"",0)),IF(ISNUMBER(P54),P54,IF(ISNUMBER(O54),O54*(1+Parametros!$B$22),IF(OR(COUNTIFS(Despiece!$A$6:$A$705,$A54,Despiece!$D$6:$D$705,"Tela principal")&gt;0,COUNTIFS(Mediciones!$C$6:$C$305,$A54,Mediciones!$D$6:$D$305,"Tela principal")&gt;0),"",0))))))=0,"",IF($N54="Despiece",IF(ISNUMBER(O54),O54*(1+Parametros!$B$22),IF(COUNTIFS(Despiece!$A$6:$A$705,$A54,Despiece!$D$6:$D$705,"Tela principal")&gt;0,"",0)),IF($N54="Medición real",IF(ISNUMBER(P54),P54,IF(COUNTIFS(Mediciones!$C$6:$C$305,$A54,Mediciones!$D$6:$D$305,"Tela principal")&gt;0,"",0)),IF(ISNUMBER(P54),P54,IF(ISNUMBER(O54),O54*(1+Parametros!$B$22),IF(OR(COUNTIFS(Despiece!$A$6:$A$705,$A54,Despiece!$D$6:$D$705,"Tela principal")&gt;0,COUNTIFS(Mediciones!$C$6:$C$305,$A54,Mediciones!$D$6:$D$305,"Tela principal")&gt;0),"",0)))))))</f>
        <v/>
      </c>
      <c r="R54" s="9" t="str">
        <f aca="false">IF($A54="","",IF(COUNTIFS(Despiece!$A$6:$A$705,$A54,Despiece!$D$6:$D$705,"Tela 2",Despiece!$F$6:$F$705,"&gt;0")=0,"",SUMIFS(Despiece!$F$6:$F$705,Despiece!$A$6:$A$705,$A54,Despiece!$D$6:$D$705,"Tela 2")))</f>
        <v/>
      </c>
      <c r="S54" s="9" t="str">
        <f aca="false">IF($A54="","",IFERROR(AVERAGEIFS(Mediciones!$K$6:$K$305,Mediciones!$C$6:$C$305,$A54,Mediciones!$D$6:$D$305,"Tela 2"),""))</f>
        <v/>
      </c>
      <c r="T54" s="28" t="n">
        <f aca="false">IF($A54="","",IF($N54="Despiece",IF(ISNUMBER(R54),R54*(1+Parametros!$B$22),IF(COUNTIFS(Despiece!$A$6:$A$705,$A54,Despiece!$D$6:$D$705,"Tela 2")&gt;0,"",0)),IF($N54="Medición real",IF(ISNUMBER(S54),S54,IF(COUNTIFS(Mediciones!$C$6:$C$305,$A54,Mediciones!$D$6:$D$305,"Tela 2")&gt;0,"",0)),IF(ISNUMBER(S54),S54,IF(ISNUMBER(R54),R54*(1+Parametros!$B$22),IF(OR(COUNTIFS(Despiece!$A$6:$A$705,$A54,Despiece!$D$6:$D$705,"Tela 2")&gt;0,COUNTIFS(Mediciones!$C$6:$C$305,$A54,Mediciones!$D$6:$D$305,"Tela 2")&gt;0),"",0))))))</f>
        <v>0</v>
      </c>
      <c r="U54" s="9" t="str">
        <f aca="false">IF($A54="","",IF(COUNTIFS(Despiece!$A$6:$A$705,$A54,Despiece!$D$6:$D$705,"Tela 3",Despiece!$F$6:$F$705,"&gt;0")=0,"",SUMIFS(Despiece!$F$6:$F$705,Despiece!$A$6:$A$705,$A54,Despiece!$D$6:$D$705,"Tela 3")))</f>
        <v/>
      </c>
      <c r="V54" s="9" t="str">
        <f aca="false">IF($A54="","",IFERROR(AVERAGEIFS(Mediciones!$K$6:$K$305,Mediciones!$C$6:$C$305,$A54,Mediciones!$D$6:$D$305,"Tela 3"),""))</f>
        <v/>
      </c>
      <c r="W54" s="28" t="n">
        <f aca="false">IF($A54="","",IF($N54="Despiece",IF(ISNUMBER(U54),U54*(1+Parametros!$B$22),IF(COUNTIFS(Despiece!$A$6:$A$705,$A54,Despiece!$D$6:$D$705,"Tela 3")&gt;0,"",0)),IF($N54="Medición real",IF(ISNUMBER(V54),V54,IF(COUNTIFS(Mediciones!$C$6:$C$305,$A54,Mediciones!$D$6:$D$305,"Tela 3")&gt;0,"",0)),IF(ISNUMBER(V54),V54,IF(ISNUMBER(U54),U54*(1+Parametros!$B$22),IF(OR(COUNTIFS(Despiece!$A$6:$A$705,$A54,Despiece!$D$6:$D$705,"Tela 3")&gt;0,COUNTIFS(Mediciones!$C$6:$C$305,$A54,Mediciones!$D$6:$D$305,"Tela 3")&gt;0),"",0))))))</f>
        <v>0</v>
      </c>
      <c r="X54" s="27"/>
      <c r="Y54" s="9" t="str">
        <f aca="false">IF($A54="","",IF(ISNUMBER(X54),X54,IF(COUNTIFS(Despiece!$A$6:$A$705,$A54,Despiece!$E$6:$E$705,"Sublimada",Despiece!$F$6:$F$705,"&gt;0")&gt;0,SUMIFS(Despiece!$F$6:$F$705,Despiece!$A$6:$A$705,$A54,Despiece!$E$6:$E$705,"Sublimada")*(1+Parametros!$B$22),IF(COUNTIFS(Despiece!$A$6:$A$705,$A54,Despiece!$E$6:$E$705,"Sublimada")=0,0,""))))</f>
        <v/>
      </c>
      <c r="Z54" s="10" t="str">
        <f aca="false">IF($A54="","",IFERROR(IF(ISNUMBER(Q54),IF(Q54=0,0,Q54*INDEX(Telas!$I$6:$I$105,MATCH(K54,Telas!$A$6:$A$105,0))),NA())+IF(ISNUMBER(T54),IF(T54=0,0,T54*INDEX(Telas!$I$6:$I$105,MATCH(L54,Telas!$A$6:$A$105,0))),NA())+IF(ISNUMBER(W54),IF(W54=0,0,W54*INDEX(Telas!$I$6:$I$105,MATCH(IF(M54="",K54,M54),Telas!$A$6:$A$105,0))),NA()),""))</f>
        <v/>
      </c>
      <c r="AA54" s="10" t="str">
        <f aca="false">IF($A54="","",IF(ISNUMBER(Y54),Y54*Parametros!$B$19,""))</f>
        <v/>
      </c>
      <c r="AB54" s="10" t="n">
        <f aca="false">IF(OR($A54="",F54=""),"",IFERROR(INDEX(Confeccion!$B$6:$B$125,MATCH(F54,Confeccion!$A$6:$A$125,0)),""))</f>
        <v>2400</v>
      </c>
      <c r="AC54" s="10" t="n">
        <f aca="false">IF($A54="","",IFERROR(N(H54)*IF(G54="",0,INDEX(Avios!$C$6:$C$65,MATCH(G54,Avios!$A$6:$A$65,0)))+N(J54)*IF(I54="",0,INDEX(Avios!$C$6:$C$65,MATCH(I54,Avios!$A$6:$A$65,0))),""))</f>
        <v>0</v>
      </c>
      <c r="AD54" s="11" t="str">
        <f aca="false">IF($A54="","",IFERROR(Z54+AA54+AB54+AC54,""))</f>
        <v/>
      </c>
      <c r="AE54" s="10" t="str">
        <f aca="false">IF(ISNUMBER(AD54),AD54*Parametros!$B$12,"")</f>
        <v/>
      </c>
      <c r="AF54" s="29" t="str">
        <f aca="false">IF(AND(ISNUMBER(Q54),K54&lt;&gt;""),IFERROR(1/(Q54*INDEX(Telas!$G$6:$G$105,MATCH(K54,Telas!$A$6:$A$105,0))),""),"")</f>
        <v/>
      </c>
      <c r="AG54" s="0" t="str">
        <f aca="false">IF($A54="","",IF(ISNUMBER(AD54),IF(AND(N(Y54)&gt;0,N(Parametros!$B$19)=0),"Lista, pero sin costo de impresión (Parametros)","Lista"),IF(Q54="","Consumo tela principal (Despiece o Mediciones). ","")&amp;IF(COUNTIFS(Mediciones!$C$6:$C$305,$A54,Mediciones!$K$6:$K$305,"")&gt;0,"Pesar 1 m de la tela medida (Telas, kg por metro). ","")&amp;IF(T54="","Consumo Tela 2. ","")&amp;IF(W54="","Consumo Tela 3. ","")&amp;IF(K54="","Elegir tela principal. ",IF(ISERROR(INDEX(Telas!$I$6:$I$105,MATCH(K54,Telas!$A$6:$A$105,0))*1),"Precio o peso por metro de "&amp;K54&amp;". ",""))&amp;IF(AND(N(T54)&gt;0,L54=""),"Elegir Tela 2. ",IF(AND(N(T54)&gt;0,ISERROR(INDEX(Telas!$I$6:$I$105,MATCH(L54,Telas!$A$6:$A$105,0))*1)),"Precio o peso por metro de "&amp;L54&amp;". ",""))&amp;IF(Y54="","Metros impresos. ","")&amp;IF(F54="","Tipo de confección. ",IF(AB54="","Precio de confección. ",""))))</f>
        <v>Consumo tela principal (Despiece o Mediciones). Elegir tela principal. Metros impresos. </v>
      </c>
      <c r="AH54" s="27" t="s">
        <v>95</v>
      </c>
    </row>
    <row r="55" customFormat="false" ht="15" hidden="false" customHeight="false" outlineLevel="0" collapsed="false">
      <c r="A55" s="27" t="s">
        <v>186</v>
      </c>
      <c r="B55" s="27" t="s">
        <v>184</v>
      </c>
      <c r="C55" s="27" t="s">
        <v>147</v>
      </c>
      <c r="D55" s="27" t="s">
        <v>176</v>
      </c>
      <c r="E55" s="27" t="s">
        <v>97</v>
      </c>
      <c r="F55" s="27" t="s">
        <v>185</v>
      </c>
      <c r="G55" s="8"/>
      <c r="H55" s="27"/>
      <c r="I55" s="8"/>
      <c r="J55" s="27"/>
      <c r="K55" s="8"/>
      <c r="L55" s="8"/>
      <c r="M55" s="8"/>
      <c r="N55" s="8"/>
      <c r="O55" s="9" t="str">
        <f aca="false">IF($A55="","",IF(COUNTIFS(Despiece!$A$6:$A$705,$A55,Despiece!$D$6:$D$705,"Tela principal",Despiece!$F$6:$F$705,"&gt;0")=0,"",SUMIFS(Despiece!$F$6:$F$705,Despiece!$A$6:$A$705,$A55,Despiece!$D$6:$D$705,"Tela principal")))</f>
        <v/>
      </c>
      <c r="P55" s="9" t="str">
        <f aca="false">IF($A55="","",IFERROR(AVERAGEIFS(Mediciones!$K$6:$K$305,Mediciones!$C$6:$C$305,$A55,Mediciones!$D$6:$D$305,"Tela principal"),""))</f>
        <v/>
      </c>
      <c r="Q55" s="28" t="str">
        <f aca="false">IF($A55="","",IF(N(IF($N55="Despiece",IF(ISNUMBER(O55),O55*(1+Parametros!$B$22),IF(COUNTIFS(Despiece!$A$6:$A$705,$A55,Despiece!$D$6:$D$705,"Tela principal")&gt;0,"",0)),IF($N55="Medición real",IF(ISNUMBER(P55),P55,IF(COUNTIFS(Mediciones!$C$6:$C$305,$A55,Mediciones!$D$6:$D$305,"Tela principal")&gt;0,"",0)),IF(ISNUMBER(P55),P55,IF(ISNUMBER(O55),O55*(1+Parametros!$B$22),IF(OR(COUNTIFS(Despiece!$A$6:$A$705,$A55,Despiece!$D$6:$D$705,"Tela principal")&gt;0,COUNTIFS(Mediciones!$C$6:$C$305,$A55,Mediciones!$D$6:$D$305,"Tela principal")&gt;0),"",0))))))=0,"",IF($N55="Despiece",IF(ISNUMBER(O55),O55*(1+Parametros!$B$22),IF(COUNTIFS(Despiece!$A$6:$A$705,$A55,Despiece!$D$6:$D$705,"Tela principal")&gt;0,"",0)),IF($N55="Medición real",IF(ISNUMBER(P55),P55,IF(COUNTIFS(Mediciones!$C$6:$C$305,$A55,Mediciones!$D$6:$D$305,"Tela principal")&gt;0,"",0)),IF(ISNUMBER(P55),P55,IF(ISNUMBER(O55),O55*(1+Parametros!$B$22),IF(OR(COUNTIFS(Despiece!$A$6:$A$705,$A55,Despiece!$D$6:$D$705,"Tela principal")&gt;0,COUNTIFS(Mediciones!$C$6:$C$305,$A55,Mediciones!$D$6:$D$305,"Tela principal")&gt;0),"",0)))))))</f>
        <v/>
      </c>
      <c r="R55" s="9" t="str">
        <f aca="false">IF($A55="","",IF(COUNTIFS(Despiece!$A$6:$A$705,$A55,Despiece!$D$6:$D$705,"Tela 2",Despiece!$F$6:$F$705,"&gt;0")=0,"",SUMIFS(Despiece!$F$6:$F$705,Despiece!$A$6:$A$705,$A55,Despiece!$D$6:$D$705,"Tela 2")))</f>
        <v/>
      </c>
      <c r="S55" s="9" t="str">
        <f aca="false">IF($A55="","",IFERROR(AVERAGEIFS(Mediciones!$K$6:$K$305,Mediciones!$C$6:$C$305,$A55,Mediciones!$D$6:$D$305,"Tela 2"),""))</f>
        <v/>
      </c>
      <c r="T55" s="28" t="n">
        <f aca="false">IF($A55="","",IF($N55="Despiece",IF(ISNUMBER(R55),R55*(1+Parametros!$B$22),IF(COUNTIFS(Despiece!$A$6:$A$705,$A55,Despiece!$D$6:$D$705,"Tela 2")&gt;0,"",0)),IF($N55="Medición real",IF(ISNUMBER(S55),S55,IF(COUNTIFS(Mediciones!$C$6:$C$305,$A55,Mediciones!$D$6:$D$305,"Tela 2")&gt;0,"",0)),IF(ISNUMBER(S55),S55,IF(ISNUMBER(R55),R55*(1+Parametros!$B$22),IF(OR(COUNTIFS(Despiece!$A$6:$A$705,$A55,Despiece!$D$6:$D$705,"Tela 2")&gt;0,COUNTIFS(Mediciones!$C$6:$C$305,$A55,Mediciones!$D$6:$D$305,"Tela 2")&gt;0),"",0))))))</f>
        <v>0</v>
      </c>
      <c r="U55" s="9" t="str">
        <f aca="false">IF($A55="","",IF(COUNTIFS(Despiece!$A$6:$A$705,$A55,Despiece!$D$6:$D$705,"Tela 3",Despiece!$F$6:$F$705,"&gt;0")=0,"",SUMIFS(Despiece!$F$6:$F$705,Despiece!$A$6:$A$705,$A55,Despiece!$D$6:$D$705,"Tela 3")))</f>
        <v/>
      </c>
      <c r="V55" s="9" t="str">
        <f aca="false">IF($A55="","",IFERROR(AVERAGEIFS(Mediciones!$K$6:$K$305,Mediciones!$C$6:$C$305,$A55,Mediciones!$D$6:$D$305,"Tela 3"),""))</f>
        <v/>
      </c>
      <c r="W55" s="28" t="n">
        <f aca="false">IF($A55="","",IF($N55="Despiece",IF(ISNUMBER(U55),U55*(1+Parametros!$B$22),IF(COUNTIFS(Despiece!$A$6:$A$705,$A55,Despiece!$D$6:$D$705,"Tela 3")&gt;0,"",0)),IF($N55="Medición real",IF(ISNUMBER(V55),V55,IF(COUNTIFS(Mediciones!$C$6:$C$305,$A55,Mediciones!$D$6:$D$305,"Tela 3")&gt;0,"",0)),IF(ISNUMBER(V55),V55,IF(ISNUMBER(U55),U55*(1+Parametros!$B$22),IF(OR(COUNTIFS(Despiece!$A$6:$A$705,$A55,Despiece!$D$6:$D$705,"Tela 3")&gt;0,COUNTIFS(Mediciones!$C$6:$C$305,$A55,Mediciones!$D$6:$D$305,"Tela 3")&gt;0),"",0))))))</f>
        <v>0</v>
      </c>
      <c r="X55" s="27"/>
      <c r="Y55" s="9" t="str">
        <f aca="false">IF($A55="","",IF(ISNUMBER(X55),X55,IF(COUNTIFS(Despiece!$A$6:$A$705,$A55,Despiece!$E$6:$E$705,"Sublimada",Despiece!$F$6:$F$705,"&gt;0")&gt;0,SUMIFS(Despiece!$F$6:$F$705,Despiece!$A$6:$A$705,$A55,Despiece!$E$6:$E$705,"Sublimada")*(1+Parametros!$B$22),IF(COUNTIFS(Despiece!$A$6:$A$705,$A55,Despiece!$E$6:$E$705,"Sublimada")=0,0,""))))</f>
        <v/>
      </c>
      <c r="Z55" s="10" t="str">
        <f aca="false">IF($A55="","",IFERROR(IF(ISNUMBER(Q55),IF(Q55=0,0,Q55*INDEX(Telas!$I$6:$I$105,MATCH(K55,Telas!$A$6:$A$105,0))),NA())+IF(ISNUMBER(T55),IF(T55=0,0,T55*INDEX(Telas!$I$6:$I$105,MATCH(L55,Telas!$A$6:$A$105,0))),NA())+IF(ISNUMBER(W55),IF(W55=0,0,W55*INDEX(Telas!$I$6:$I$105,MATCH(IF(M55="",K55,M55),Telas!$A$6:$A$105,0))),NA()),""))</f>
        <v/>
      </c>
      <c r="AA55" s="10" t="str">
        <f aca="false">IF($A55="","",IF(ISNUMBER(Y55),Y55*Parametros!$B$19,""))</f>
        <v/>
      </c>
      <c r="AB55" s="10" t="n">
        <f aca="false">IF(OR($A55="",F55=""),"",IFERROR(INDEX(Confeccion!$B$6:$B$125,MATCH(F55,Confeccion!$A$6:$A$125,0)),""))</f>
        <v>2400</v>
      </c>
      <c r="AC55" s="10" t="n">
        <f aca="false">IF($A55="","",IFERROR(N(H55)*IF(G55="",0,INDEX(Avios!$C$6:$C$65,MATCH(G55,Avios!$A$6:$A$65,0)))+N(J55)*IF(I55="",0,INDEX(Avios!$C$6:$C$65,MATCH(I55,Avios!$A$6:$A$65,0))),""))</f>
        <v>0</v>
      </c>
      <c r="AD55" s="11" t="str">
        <f aca="false">IF($A55="","",IFERROR(Z55+AA55+AB55+AC55,""))</f>
        <v/>
      </c>
      <c r="AE55" s="10" t="str">
        <f aca="false">IF(ISNUMBER(AD55),AD55*Parametros!$B$12,"")</f>
        <v/>
      </c>
      <c r="AF55" s="29" t="str">
        <f aca="false">IF(AND(ISNUMBER(Q55),K55&lt;&gt;""),IFERROR(1/(Q55*INDEX(Telas!$G$6:$G$105,MATCH(K55,Telas!$A$6:$A$105,0))),""),"")</f>
        <v/>
      </c>
      <c r="AG55" s="0" t="str">
        <f aca="false">IF($A55="","",IF(ISNUMBER(AD55),IF(AND(N(Y55)&gt;0,N(Parametros!$B$19)=0),"Lista, pero sin costo de impresión (Parametros)","Lista"),IF(Q55="","Consumo tela principal (Despiece o Mediciones). ","")&amp;IF(COUNTIFS(Mediciones!$C$6:$C$305,$A55,Mediciones!$K$6:$K$305,"")&gt;0,"Pesar 1 m de la tela medida (Telas, kg por metro). ","")&amp;IF(T55="","Consumo Tela 2. ","")&amp;IF(W55="","Consumo Tela 3. ","")&amp;IF(K55="","Elegir tela principal. ",IF(ISERROR(INDEX(Telas!$I$6:$I$105,MATCH(K55,Telas!$A$6:$A$105,0))*1),"Precio o peso por metro de "&amp;K55&amp;". ",""))&amp;IF(AND(N(T55)&gt;0,L55=""),"Elegir Tela 2. ",IF(AND(N(T55)&gt;0,ISERROR(INDEX(Telas!$I$6:$I$105,MATCH(L55,Telas!$A$6:$A$105,0))*1)),"Precio o peso por metro de "&amp;L55&amp;". ",""))&amp;IF(Y55="","Metros impresos. ","")&amp;IF(F55="","Tipo de confección. ",IF(AB55="","Precio de confección. ",""))))</f>
        <v>Consumo tela principal (Despiece o Mediciones). Elegir tela principal. Metros impresos. </v>
      </c>
      <c r="AH55" s="27" t="s">
        <v>95</v>
      </c>
    </row>
    <row r="56" customFormat="false" ht="15" hidden="false" customHeight="false" outlineLevel="0" collapsed="false">
      <c r="A56" s="27" t="s">
        <v>187</v>
      </c>
      <c r="B56" s="27" t="s">
        <v>188</v>
      </c>
      <c r="C56" s="27" t="s">
        <v>147</v>
      </c>
      <c r="D56" s="27" t="s">
        <v>176</v>
      </c>
      <c r="E56" s="27" t="s">
        <v>100</v>
      </c>
      <c r="F56" s="27" t="s">
        <v>185</v>
      </c>
      <c r="G56" s="8"/>
      <c r="H56" s="27"/>
      <c r="I56" s="8"/>
      <c r="J56" s="27"/>
      <c r="K56" s="8"/>
      <c r="L56" s="8"/>
      <c r="M56" s="8"/>
      <c r="N56" s="8"/>
      <c r="O56" s="9" t="str">
        <f aca="false">IF($A56="","",IF(COUNTIFS(Despiece!$A$6:$A$705,$A56,Despiece!$D$6:$D$705,"Tela principal",Despiece!$F$6:$F$705,"&gt;0")=0,"",SUMIFS(Despiece!$F$6:$F$705,Despiece!$A$6:$A$705,$A56,Despiece!$D$6:$D$705,"Tela principal")))</f>
        <v/>
      </c>
      <c r="P56" s="9" t="str">
        <f aca="false">IF($A56="","",IFERROR(AVERAGEIFS(Mediciones!$K$6:$K$305,Mediciones!$C$6:$C$305,$A56,Mediciones!$D$6:$D$305,"Tela principal"),""))</f>
        <v/>
      </c>
      <c r="Q56" s="28" t="str">
        <f aca="false">IF($A56="","",IF(N(IF($N56="Despiece",IF(ISNUMBER(O56),O56*(1+Parametros!$B$22),IF(COUNTIFS(Despiece!$A$6:$A$705,$A56,Despiece!$D$6:$D$705,"Tela principal")&gt;0,"",0)),IF($N56="Medición real",IF(ISNUMBER(P56),P56,IF(COUNTIFS(Mediciones!$C$6:$C$305,$A56,Mediciones!$D$6:$D$305,"Tela principal")&gt;0,"",0)),IF(ISNUMBER(P56),P56,IF(ISNUMBER(O56),O56*(1+Parametros!$B$22),IF(OR(COUNTIFS(Despiece!$A$6:$A$705,$A56,Despiece!$D$6:$D$705,"Tela principal")&gt;0,COUNTIFS(Mediciones!$C$6:$C$305,$A56,Mediciones!$D$6:$D$305,"Tela principal")&gt;0),"",0))))))=0,"",IF($N56="Despiece",IF(ISNUMBER(O56),O56*(1+Parametros!$B$22),IF(COUNTIFS(Despiece!$A$6:$A$705,$A56,Despiece!$D$6:$D$705,"Tela principal")&gt;0,"",0)),IF($N56="Medición real",IF(ISNUMBER(P56),P56,IF(COUNTIFS(Mediciones!$C$6:$C$305,$A56,Mediciones!$D$6:$D$305,"Tela principal")&gt;0,"",0)),IF(ISNUMBER(P56),P56,IF(ISNUMBER(O56),O56*(1+Parametros!$B$22),IF(OR(COUNTIFS(Despiece!$A$6:$A$705,$A56,Despiece!$D$6:$D$705,"Tela principal")&gt;0,COUNTIFS(Mediciones!$C$6:$C$305,$A56,Mediciones!$D$6:$D$305,"Tela principal")&gt;0),"",0)))))))</f>
        <v/>
      </c>
      <c r="R56" s="9" t="str">
        <f aca="false">IF($A56="","",IF(COUNTIFS(Despiece!$A$6:$A$705,$A56,Despiece!$D$6:$D$705,"Tela 2",Despiece!$F$6:$F$705,"&gt;0")=0,"",SUMIFS(Despiece!$F$6:$F$705,Despiece!$A$6:$A$705,$A56,Despiece!$D$6:$D$705,"Tela 2")))</f>
        <v/>
      </c>
      <c r="S56" s="9" t="str">
        <f aca="false">IF($A56="","",IFERROR(AVERAGEIFS(Mediciones!$K$6:$K$305,Mediciones!$C$6:$C$305,$A56,Mediciones!$D$6:$D$305,"Tela 2"),""))</f>
        <v/>
      </c>
      <c r="T56" s="28" t="n">
        <f aca="false">IF($A56="","",IF($N56="Despiece",IF(ISNUMBER(R56),R56*(1+Parametros!$B$22),IF(COUNTIFS(Despiece!$A$6:$A$705,$A56,Despiece!$D$6:$D$705,"Tela 2")&gt;0,"",0)),IF($N56="Medición real",IF(ISNUMBER(S56),S56,IF(COUNTIFS(Mediciones!$C$6:$C$305,$A56,Mediciones!$D$6:$D$305,"Tela 2")&gt;0,"",0)),IF(ISNUMBER(S56),S56,IF(ISNUMBER(R56),R56*(1+Parametros!$B$22),IF(OR(COUNTIFS(Despiece!$A$6:$A$705,$A56,Despiece!$D$6:$D$705,"Tela 2")&gt;0,COUNTIFS(Mediciones!$C$6:$C$305,$A56,Mediciones!$D$6:$D$305,"Tela 2")&gt;0),"",0))))))</f>
        <v>0</v>
      </c>
      <c r="U56" s="9" t="str">
        <f aca="false">IF($A56="","",IF(COUNTIFS(Despiece!$A$6:$A$705,$A56,Despiece!$D$6:$D$705,"Tela 3",Despiece!$F$6:$F$705,"&gt;0")=0,"",SUMIFS(Despiece!$F$6:$F$705,Despiece!$A$6:$A$705,$A56,Despiece!$D$6:$D$705,"Tela 3")))</f>
        <v/>
      </c>
      <c r="V56" s="9" t="str">
        <f aca="false">IF($A56="","",IFERROR(AVERAGEIFS(Mediciones!$K$6:$K$305,Mediciones!$C$6:$C$305,$A56,Mediciones!$D$6:$D$305,"Tela 3"),""))</f>
        <v/>
      </c>
      <c r="W56" s="28" t="n">
        <f aca="false">IF($A56="","",IF($N56="Despiece",IF(ISNUMBER(U56),U56*(1+Parametros!$B$22),IF(COUNTIFS(Despiece!$A$6:$A$705,$A56,Despiece!$D$6:$D$705,"Tela 3")&gt;0,"",0)),IF($N56="Medición real",IF(ISNUMBER(V56),V56,IF(COUNTIFS(Mediciones!$C$6:$C$305,$A56,Mediciones!$D$6:$D$305,"Tela 3")&gt;0,"",0)),IF(ISNUMBER(V56),V56,IF(ISNUMBER(U56),U56*(1+Parametros!$B$22),IF(OR(COUNTIFS(Despiece!$A$6:$A$705,$A56,Despiece!$D$6:$D$705,"Tela 3")&gt;0,COUNTIFS(Mediciones!$C$6:$C$305,$A56,Mediciones!$D$6:$D$305,"Tela 3")&gt;0),"",0))))))</f>
        <v>0</v>
      </c>
      <c r="X56" s="27"/>
      <c r="Y56" s="9" t="str">
        <f aca="false">IF($A56="","",IF(ISNUMBER(X56),X56,IF(COUNTIFS(Despiece!$A$6:$A$705,$A56,Despiece!$E$6:$E$705,"Sublimada",Despiece!$F$6:$F$705,"&gt;0")&gt;0,SUMIFS(Despiece!$F$6:$F$705,Despiece!$A$6:$A$705,$A56,Despiece!$E$6:$E$705,"Sublimada")*(1+Parametros!$B$22),IF(COUNTIFS(Despiece!$A$6:$A$705,$A56,Despiece!$E$6:$E$705,"Sublimada")=0,0,""))))</f>
        <v/>
      </c>
      <c r="Z56" s="10" t="str">
        <f aca="false">IF($A56="","",IFERROR(IF(ISNUMBER(Q56),IF(Q56=0,0,Q56*INDEX(Telas!$I$6:$I$105,MATCH(K56,Telas!$A$6:$A$105,0))),NA())+IF(ISNUMBER(T56),IF(T56=0,0,T56*INDEX(Telas!$I$6:$I$105,MATCH(L56,Telas!$A$6:$A$105,0))),NA())+IF(ISNUMBER(W56),IF(W56=0,0,W56*INDEX(Telas!$I$6:$I$105,MATCH(IF(M56="",K56,M56),Telas!$A$6:$A$105,0))),NA()),""))</f>
        <v/>
      </c>
      <c r="AA56" s="10" t="str">
        <f aca="false">IF($A56="","",IF(ISNUMBER(Y56),Y56*Parametros!$B$19,""))</f>
        <v/>
      </c>
      <c r="AB56" s="10" t="n">
        <f aca="false">IF(OR($A56="",F56=""),"",IFERROR(INDEX(Confeccion!$B$6:$B$125,MATCH(F56,Confeccion!$A$6:$A$125,0)),""))</f>
        <v>2400</v>
      </c>
      <c r="AC56" s="10" t="n">
        <f aca="false">IF($A56="","",IFERROR(N(H56)*IF(G56="",0,INDEX(Avios!$C$6:$C$65,MATCH(G56,Avios!$A$6:$A$65,0)))+N(J56)*IF(I56="",0,INDEX(Avios!$C$6:$C$65,MATCH(I56,Avios!$A$6:$A$65,0))),""))</f>
        <v>0</v>
      </c>
      <c r="AD56" s="11" t="str">
        <f aca="false">IF($A56="","",IFERROR(Z56+AA56+AB56+AC56,""))</f>
        <v/>
      </c>
      <c r="AE56" s="10" t="str">
        <f aca="false">IF(ISNUMBER(AD56),AD56*Parametros!$B$12,"")</f>
        <v/>
      </c>
      <c r="AF56" s="29" t="str">
        <f aca="false">IF(AND(ISNUMBER(Q56),K56&lt;&gt;""),IFERROR(1/(Q56*INDEX(Telas!$G$6:$G$105,MATCH(K56,Telas!$A$6:$A$105,0))),""),"")</f>
        <v/>
      </c>
      <c r="AG56" s="0" t="str">
        <f aca="false">IF($A56="","",IF(ISNUMBER(AD56),IF(AND(N(Y56)&gt;0,N(Parametros!$B$19)=0),"Lista, pero sin costo de impresión (Parametros)","Lista"),IF(Q56="","Consumo tela principal (Despiece o Mediciones). ","")&amp;IF(COUNTIFS(Mediciones!$C$6:$C$305,$A56,Mediciones!$K$6:$K$305,"")&gt;0,"Pesar 1 m de la tela medida (Telas, kg por metro). ","")&amp;IF(T56="","Consumo Tela 2. ","")&amp;IF(W56="","Consumo Tela 3. ","")&amp;IF(K56="","Elegir tela principal. ",IF(ISERROR(INDEX(Telas!$I$6:$I$105,MATCH(K56,Telas!$A$6:$A$105,0))*1),"Precio o peso por metro de "&amp;K56&amp;". ",""))&amp;IF(AND(N(T56)&gt;0,L56=""),"Elegir Tela 2. ",IF(AND(N(T56)&gt;0,ISERROR(INDEX(Telas!$I$6:$I$105,MATCH(L56,Telas!$A$6:$A$105,0))*1)),"Precio o peso por metro de "&amp;L56&amp;". ",""))&amp;IF(Y56="","Metros impresos. ","")&amp;IF(F56="","Tipo de confección. ",IF(AB56="","Precio de confección. ",""))))</f>
        <v>Consumo tela principal (Despiece o Mediciones). Elegir tela principal. Metros impresos. </v>
      </c>
      <c r="AH56" s="27" t="s">
        <v>95</v>
      </c>
    </row>
    <row r="57" customFormat="false" ht="15" hidden="false" customHeight="false" outlineLevel="0" collapsed="false">
      <c r="A57" s="27" t="s">
        <v>189</v>
      </c>
      <c r="B57" s="27" t="s">
        <v>188</v>
      </c>
      <c r="C57" s="27" t="s">
        <v>147</v>
      </c>
      <c r="D57" s="27" t="s">
        <v>176</v>
      </c>
      <c r="E57" s="27" t="s">
        <v>102</v>
      </c>
      <c r="F57" s="27" t="s">
        <v>185</v>
      </c>
      <c r="G57" s="8"/>
      <c r="H57" s="27"/>
      <c r="I57" s="8"/>
      <c r="J57" s="27"/>
      <c r="K57" s="8"/>
      <c r="L57" s="8"/>
      <c r="M57" s="8"/>
      <c r="N57" s="8"/>
      <c r="O57" s="9" t="str">
        <f aca="false">IF($A57="","",IF(COUNTIFS(Despiece!$A$6:$A$705,$A57,Despiece!$D$6:$D$705,"Tela principal",Despiece!$F$6:$F$705,"&gt;0")=0,"",SUMIFS(Despiece!$F$6:$F$705,Despiece!$A$6:$A$705,$A57,Despiece!$D$6:$D$705,"Tela principal")))</f>
        <v/>
      </c>
      <c r="P57" s="9" t="str">
        <f aca="false">IF($A57="","",IFERROR(AVERAGEIFS(Mediciones!$K$6:$K$305,Mediciones!$C$6:$C$305,$A57,Mediciones!$D$6:$D$305,"Tela principal"),""))</f>
        <v/>
      </c>
      <c r="Q57" s="28" t="str">
        <f aca="false">IF($A57="","",IF(N(IF($N57="Despiece",IF(ISNUMBER(O57),O57*(1+Parametros!$B$22),IF(COUNTIFS(Despiece!$A$6:$A$705,$A57,Despiece!$D$6:$D$705,"Tela principal")&gt;0,"",0)),IF($N57="Medición real",IF(ISNUMBER(P57),P57,IF(COUNTIFS(Mediciones!$C$6:$C$305,$A57,Mediciones!$D$6:$D$305,"Tela principal")&gt;0,"",0)),IF(ISNUMBER(P57),P57,IF(ISNUMBER(O57),O57*(1+Parametros!$B$22),IF(OR(COUNTIFS(Despiece!$A$6:$A$705,$A57,Despiece!$D$6:$D$705,"Tela principal")&gt;0,COUNTIFS(Mediciones!$C$6:$C$305,$A57,Mediciones!$D$6:$D$305,"Tela principal")&gt;0),"",0))))))=0,"",IF($N57="Despiece",IF(ISNUMBER(O57),O57*(1+Parametros!$B$22),IF(COUNTIFS(Despiece!$A$6:$A$705,$A57,Despiece!$D$6:$D$705,"Tela principal")&gt;0,"",0)),IF($N57="Medición real",IF(ISNUMBER(P57),P57,IF(COUNTIFS(Mediciones!$C$6:$C$305,$A57,Mediciones!$D$6:$D$305,"Tela principal")&gt;0,"",0)),IF(ISNUMBER(P57),P57,IF(ISNUMBER(O57),O57*(1+Parametros!$B$22),IF(OR(COUNTIFS(Despiece!$A$6:$A$705,$A57,Despiece!$D$6:$D$705,"Tela principal")&gt;0,COUNTIFS(Mediciones!$C$6:$C$305,$A57,Mediciones!$D$6:$D$305,"Tela principal")&gt;0),"",0)))))))</f>
        <v/>
      </c>
      <c r="R57" s="9" t="str">
        <f aca="false">IF($A57="","",IF(COUNTIFS(Despiece!$A$6:$A$705,$A57,Despiece!$D$6:$D$705,"Tela 2",Despiece!$F$6:$F$705,"&gt;0")=0,"",SUMIFS(Despiece!$F$6:$F$705,Despiece!$A$6:$A$705,$A57,Despiece!$D$6:$D$705,"Tela 2")))</f>
        <v/>
      </c>
      <c r="S57" s="9" t="str">
        <f aca="false">IF($A57="","",IFERROR(AVERAGEIFS(Mediciones!$K$6:$K$305,Mediciones!$C$6:$C$305,$A57,Mediciones!$D$6:$D$305,"Tela 2"),""))</f>
        <v/>
      </c>
      <c r="T57" s="28" t="n">
        <f aca="false">IF($A57="","",IF($N57="Despiece",IF(ISNUMBER(R57),R57*(1+Parametros!$B$22),IF(COUNTIFS(Despiece!$A$6:$A$705,$A57,Despiece!$D$6:$D$705,"Tela 2")&gt;0,"",0)),IF($N57="Medición real",IF(ISNUMBER(S57),S57,IF(COUNTIFS(Mediciones!$C$6:$C$305,$A57,Mediciones!$D$6:$D$305,"Tela 2")&gt;0,"",0)),IF(ISNUMBER(S57),S57,IF(ISNUMBER(R57),R57*(1+Parametros!$B$22),IF(OR(COUNTIFS(Despiece!$A$6:$A$705,$A57,Despiece!$D$6:$D$705,"Tela 2")&gt;0,COUNTIFS(Mediciones!$C$6:$C$305,$A57,Mediciones!$D$6:$D$305,"Tela 2")&gt;0),"",0))))))</f>
        <v>0</v>
      </c>
      <c r="U57" s="9" t="str">
        <f aca="false">IF($A57="","",IF(COUNTIFS(Despiece!$A$6:$A$705,$A57,Despiece!$D$6:$D$705,"Tela 3",Despiece!$F$6:$F$705,"&gt;0")=0,"",SUMIFS(Despiece!$F$6:$F$705,Despiece!$A$6:$A$705,$A57,Despiece!$D$6:$D$705,"Tela 3")))</f>
        <v/>
      </c>
      <c r="V57" s="9" t="str">
        <f aca="false">IF($A57="","",IFERROR(AVERAGEIFS(Mediciones!$K$6:$K$305,Mediciones!$C$6:$C$305,$A57,Mediciones!$D$6:$D$305,"Tela 3"),""))</f>
        <v/>
      </c>
      <c r="W57" s="28" t="n">
        <f aca="false">IF($A57="","",IF($N57="Despiece",IF(ISNUMBER(U57),U57*(1+Parametros!$B$22),IF(COUNTIFS(Despiece!$A$6:$A$705,$A57,Despiece!$D$6:$D$705,"Tela 3")&gt;0,"",0)),IF($N57="Medición real",IF(ISNUMBER(V57),V57,IF(COUNTIFS(Mediciones!$C$6:$C$305,$A57,Mediciones!$D$6:$D$305,"Tela 3")&gt;0,"",0)),IF(ISNUMBER(V57),V57,IF(ISNUMBER(U57),U57*(1+Parametros!$B$22),IF(OR(COUNTIFS(Despiece!$A$6:$A$705,$A57,Despiece!$D$6:$D$705,"Tela 3")&gt;0,COUNTIFS(Mediciones!$C$6:$C$305,$A57,Mediciones!$D$6:$D$305,"Tela 3")&gt;0),"",0))))))</f>
        <v>0</v>
      </c>
      <c r="X57" s="27"/>
      <c r="Y57" s="9" t="str">
        <f aca="false">IF($A57="","",IF(ISNUMBER(X57),X57,IF(COUNTIFS(Despiece!$A$6:$A$705,$A57,Despiece!$E$6:$E$705,"Sublimada",Despiece!$F$6:$F$705,"&gt;0")&gt;0,SUMIFS(Despiece!$F$6:$F$705,Despiece!$A$6:$A$705,$A57,Despiece!$E$6:$E$705,"Sublimada")*(1+Parametros!$B$22),IF(COUNTIFS(Despiece!$A$6:$A$705,$A57,Despiece!$E$6:$E$705,"Sublimada")=0,0,""))))</f>
        <v/>
      </c>
      <c r="Z57" s="10" t="str">
        <f aca="false">IF($A57="","",IFERROR(IF(ISNUMBER(Q57),IF(Q57=0,0,Q57*INDEX(Telas!$I$6:$I$105,MATCH(K57,Telas!$A$6:$A$105,0))),NA())+IF(ISNUMBER(T57),IF(T57=0,0,T57*INDEX(Telas!$I$6:$I$105,MATCH(L57,Telas!$A$6:$A$105,0))),NA())+IF(ISNUMBER(W57),IF(W57=0,0,W57*INDEX(Telas!$I$6:$I$105,MATCH(IF(M57="",K57,M57),Telas!$A$6:$A$105,0))),NA()),""))</f>
        <v/>
      </c>
      <c r="AA57" s="10" t="str">
        <f aca="false">IF($A57="","",IF(ISNUMBER(Y57),Y57*Parametros!$B$19,""))</f>
        <v/>
      </c>
      <c r="AB57" s="10" t="n">
        <f aca="false">IF(OR($A57="",F57=""),"",IFERROR(INDEX(Confeccion!$B$6:$B$125,MATCH(F57,Confeccion!$A$6:$A$125,0)),""))</f>
        <v>2400</v>
      </c>
      <c r="AC57" s="10" t="n">
        <f aca="false">IF($A57="","",IFERROR(N(H57)*IF(G57="",0,INDEX(Avios!$C$6:$C$65,MATCH(G57,Avios!$A$6:$A$65,0)))+N(J57)*IF(I57="",0,INDEX(Avios!$C$6:$C$65,MATCH(I57,Avios!$A$6:$A$65,0))),""))</f>
        <v>0</v>
      </c>
      <c r="AD57" s="11" t="str">
        <f aca="false">IF($A57="","",IFERROR(Z57+AA57+AB57+AC57,""))</f>
        <v/>
      </c>
      <c r="AE57" s="10" t="str">
        <f aca="false">IF(ISNUMBER(AD57),AD57*Parametros!$B$12,"")</f>
        <v/>
      </c>
      <c r="AF57" s="29" t="str">
        <f aca="false">IF(AND(ISNUMBER(Q57),K57&lt;&gt;""),IFERROR(1/(Q57*INDEX(Telas!$G$6:$G$105,MATCH(K57,Telas!$A$6:$A$105,0))),""),"")</f>
        <v/>
      </c>
      <c r="AG57" s="0" t="str">
        <f aca="false">IF($A57="","",IF(ISNUMBER(AD57),IF(AND(N(Y57)&gt;0,N(Parametros!$B$19)=0),"Lista, pero sin costo de impresión (Parametros)","Lista"),IF(Q57="","Consumo tela principal (Despiece o Mediciones). ","")&amp;IF(COUNTIFS(Mediciones!$C$6:$C$305,$A57,Mediciones!$K$6:$K$305,"")&gt;0,"Pesar 1 m de la tela medida (Telas, kg por metro). ","")&amp;IF(T57="","Consumo Tela 2. ","")&amp;IF(W57="","Consumo Tela 3. ","")&amp;IF(K57="","Elegir tela principal. ",IF(ISERROR(INDEX(Telas!$I$6:$I$105,MATCH(K57,Telas!$A$6:$A$105,0))*1),"Precio o peso por metro de "&amp;K57&amp;". ",""))&amp;IF(AND(N(T57)&gt;0,L57=""),"Elegir Tela 2. ",IF(AND(N(T57)&gt;0,ISERROR(INDEX(Telas!$I$6:$I$105,MATCH(L57,Telas!$A$6:$A$105,0))*1)),"Precio o peso por metro de "&amp;L57&amp;". ",""))&amp;IF(Y57="","Metros impresos. ","")&amp;IF(F57="","Tipo de confección. ",IF(AB57="","Precio de confección. ",""))))</f>
        <v>Consumo tela principal (Despiece o Mediciones). Elegir tela principal. Metros impresos. </v>
      </c>
      <c r="AH57" s="27" t="s">
        <v>95</v>
      </c>
    </row>
    <row r="58" customFormat="false" ht="15" hidden="false" customHeight="false" outlineLevel="0" collapsed="false">
      <c r="A58" s="27" t="s">
        <v>190</v>
      </c>
      <c r="B58" s="27" t="s">
        <v>191</v>
      </c>
      <c r="C58" s="27" t="s">
        <v>147</v>
      </c>
      <c r="D58" s="27" t="s">
        <v>176</v>
      </c>
      <c r="E58" s="27" t="s">
        <v>93</v>
      </c>
      <c r="F58" s="27" t="s">
        <v>192</v>
      </c>
      <c r="G58" s="8"/>
      <c r="H58" s="27"/>
      <c r="I58" s="8"/>
      <c r="J58" s="27"/>
      <c r="K58" s="8"/>
      <c r="L58" s="8"/>
      <c r="M58" s="8"/>
      <c r="N58" s="8"/>
      <c r="O58" s="9" t="str">
        <f aca="false">IF($A58="","",IF(COUNTIFS(Despiece!$A$6:$A$705,$A58,Despiece!$D$6:$D$705,"Tela principal",Despiece!$F$6:$F$705,"&gt;0")=0,"",SUMIFS(Despiece!$F$6:$F$705,Despiece!$A$6:$A$705,$A58,Despiece!$D$6:$D$705,"Tela principal")))</f>
        <v/>
      </c>
      <c r="P58" s="9" t="str">
        <f aca="false">IF($A58="","",IFERROR(AVERAGEIFS(Mediciones!$K$6:$K$305,Mediciones!$C$6:$C$305,$A58,Mediciones!$D$6:$D$305,"Tela principal"),""))</f>
        <v/>
      </c>
      <c r="Q58" s="28" t="str">
        <f aca="false">IF($A58="","",IF(N(IF($N58="Despiece",IF(ISNUMBER(O58),O58*(1+Parametros!$B$22),IF(COUNTIFS(Despiece!$A$6:$A$705,$A58,Despiece!$D$6:$D$705,"Tela principal")&gt;0,"",0)),IF($N58="Medición real",IF(ISNUMBER(P58),P58,IF(COUNTIFS(Mediciones!$C$6:$C$305,$A58,Mediciones!$D$6:$D$305,"Tela principal")&gt;0,"",0)),IF(ISNUMBER(P58),P58,IF(ISNUMBER(O58),O58*(1+Parametros!$B$22),IF(OR(COUNTIFS(Despiece!$A$6:$A$705,$A58,Despiece!$D$6:$D$705,"Tela principal")&gt;0,COUNTIFS(Mediciones!$C$6:$C$305,$A58,Mediciones!$D$6:$D$305,"Tela principal")&gt;0),"",0))))))=0,"",IF($N58="Despiece",IF(ISNUMBER(O58),O58*(1+Parametros!$B$22),IF(COUNTIFS(Despiece!$A$6:$A$705,$A58,Despiece!$D$6:$D$705,"Tela principal")&gt;0,"",0)),IF($N58="Medición real",IF(ISNUMBER(P58),P58,IF(COUNTIFS(Mediciones!$C$6:$C$305,$A58,Mediciones!$D$6:$D$305,"Tela principal")&gt;0,"",0)),IF(ISNUMBER(P58),P58,IF(ISNUMBER(O58),O58*(1+Parametros!$B$22),IF(OR(COUNTIFS(Despiece!$A$6:$A$705,$A58,Despiece!$D$6:$D$705,"Tela principal")&gt;0,COUNTIFS(Mediciones!$C$6:$C$305,$A58,Mediciones!$D$6:$D$305,"Tela principal")&gt;0),"",0)))))))</f>
        <v/>
      </c>
      <c r="R58" s="9" t="str">
        <f aca="false">IF($A58="","",IF(COUNTIFS(Despiece!$A$6:$A$705,$A58,Despiece!$D$6:$D$705,"Tela 2",Despiece!$F$6:$F$705,"&gt;0")=0,"",SUMIFS(Despiece!$F$6:$F$705,Despiece!$A$6:$A$705,$A58,Despiece!$D$6:$D$705,"Tela 2")))</f>
        <v/>
      </c>
      <c r="S58" s="9" t="str">
        <f aca="false">IF($A58="","",IFERROR(AVERAGEIFS(Mediciones!$K$6:$K$305,Mediciones!$C$6:$C$305,$A58,Mediciones!$D$6:$D$305,"Tela 2"),""))</f>
        <v/>
      </c>
      <c r="T58" s="28" t="str">
        <f aca="false">IF($A58="","",IF($N58="Despiece",IF(ISNUMBER(R58),R58*(1+Parametros!$B$22),IF(COUNTIFS(Despiece!$A$6:$A$705,$A58,Despiece!$D$6:$D$705,"Tela 2")&gt;0,"",0)),IF($N58="Medición real",IF(ISNUMBER(S58),S58,IF(COUNTIFS(Mediciones!$C$6:$C$305,$A58,Mediciones!$D$6:$D$305,"Tela 2")&gt;0,"",0)),IF(ISNUMBER(S58),S58,IF(ISNUMBER(R58),R58*(1+Parametros!$B$22),IF(OR(COUNTIFS(Despiece!$A$6:$A$705,$A58,Despiece!$D$6:$D$705,"Tela 2")&gt;0,COUNTIFS(Mediciones!$C$6:$C$305,$A58,Mediciones!$D$6:$D$305,"Tela 2")&gt;0),"",0))))))</f>
        <v/>
      </c>
      <c r="U58" s="9" t="str">
        <f aca="false">IF($A58="","",IF(COUNTIFS(Despiece!$A$6:$A$705,$A58,Despiece!$D$6:$D$705,"Tela 3",Despiece!$F$6:$F$705,"&gt;0")=0,"",SUMIFS(Despiece!$F$6:$F$705,Despiece!$A$6:$A$705,$A58,Despiece!$D$6:$D$705,"Tela 3")))</f>
        <v/>
      </c>
      <c r="V58" s="9" t="str">
        <f aca="false">IF($A58="","",IFERROR(AVERAGEIFS(Mediciones!$K$6:$K$305,Mediciones!$C$6:$C$305,$A58,Mediciones!$D$6:$D$305,"Tela 3"),""))</f>
        <v/>
      </c>
      <c r="W58" s="28" t="n">
        <f aca="false">IF($A58="","",IF($N58="Despiece",IF(ISNUMBER(U58),U58*(1+Parametros!$B$22),IF(COUNTIFS(Despiece!$A$6:$A$705,$A58,Despiece!$D$6:$D$705,"Tela 3")&gt;0,"",0)),IF($N58="Medición real",IF(ISNUMBER(V58),V58,IF(COUNTIFS(Mediciones!$C$6:$C$305,$A58,Mediciones!$D$6:$D$305,"Tela 3")&gt;0,"",0)),IF(ISNUMBER(V58),V58,IF(ISNUMBER(U58),U58*(1+Parametros!$B$22),IF(OR(COUNTIFS(Despiece!$A$6:$A$705,$A58,Despiece!$D$6:$D$705,"Tela 3")&gt;0,COUNTIFS(Mediciones!$C$6:$C$305,$A58,Mediciones!$D$6:$D$305,"Tela 3")&gt;0),"",0))))))</f>
        <v>0</v>
      </c>
      <c r="X58" s="27"/>
      <c r="Y58" s="9" t="str">
        <f aca="false">IF($A58="","",IF(ISNUMBER(X58),X58,IF(COUNTIFS(Despiece!$A$6:$A$705,$A58,Despiece!$E$6:$E$705,"Sublimada",Despiece!$F$6:$F$705,"&gt;0")&gt;0,SUMIFS(Despiece!$F$6:$F$705,Despiece!$A$6:$A$705,$A58,Despiece!$E$6:$E$705,"Sublimada")*(1+Parametros!$B$22),IF(COUNTIFS(Despiece!$A$6:$A$705,$A58,Despiece!$E$6:$E$705,"Sublimada")=0,0,""))))</f>
        <v/>
      </c>
      <c r="Z58" s="10" t="str">
        <f aca="false">IF($A58="","",IFERROR(IF(ISNUMBER(Q58),IF(Q58=0,0,Q58*INDEX(Telas!$I$6:$I$105,MATCH(K58,Telas!$A$6:$A$105,0))),NA())+IF(ISNUMBER(T58),IF(T58=0,0,T58*INDEX(Telas!$I$6:$I$105,MATCH(L58,Telas!$A$6:$A$105,0))),NA())+IF(ISNUMBER(W58),IF(W58=0,0,W58*INDEX(Telas!$I$6:$I$105,MATCH(IF(M58="",K58,M58),Telas!$A$6:$A$105,0))),NA()),""))</f>
        <v/>
      </c>
      <c r="AA58" s="10" t="str">
        <f aca="false">IF($A58="","",IF(ISNUMBER(Y58),Y58*Parametros!$B$19,""))</f>
        <v/>
      </c>
      <c r="AB58" s="10" t="n">
        <f aca="false">IF(OR($A58="",F58=""),"",IFERROR(INDEX(Confeccion!$B$6:$B$125,MATCH(F58,Confeccion!$A$6:$A$125,0)),""))</f>
        <v>2200</v>
      </c>
      <c r="AC58" s="10" t="n">
        <f aca="false">IF($A58="","",IFERROR(N(H58)*IF(G58="",0,INDEX(Avios!$C$6:$C$65,MATCH(G58,Avios!$A$6:$A$65,0)))+N(J58)*IF(I58="",0,INDEX(Avios!$C$6:$C$65,MATCH(I58,Avios!$A$6:$A$65,0))),""))</f>
        <v>0</v>
      </c>
      <c r="AD58" s="11" t="str">
        <f aca="false">IF($A58="","",IFERROR(Z58+AA58+AB58+AC58,""))</f>
        <v/>
      </c>
      <c r="AE58" s="10" t="str">
        <f aca="false">IF(ISNUMBER(AD58),AD58*Parametros!$B$12,"")</f>
        <v/>
      </c>
      <c r="AF58" s="29" t="str">
        <f aca="false">IF(AND(ISNUMBER(Q58),K58&lt;&gt;""),IFERROR(1/(Q58*INDEX(Telas!$G$6:$G$105,MATCH(K58,Telas!$A$6:$A$105,0))),""),"")</f>
        <v/>
      </c>
      <c r="AG58" s="0" t="str">
        <f aca="false">IF($A58="","",IF(ISNUMBER(AD58),IF(AND(N(Y58)&gt;0,N(Parametros!$B$19)=0),"Lista, pero sin costo de impresión (Parametros)","Lista"),IF(Q58="","Consumo tela principal (Despiece o Mediciones). ","")&amp;IF(COUNTIFS(Mediciones!$C$6:$C$305,$A58,Mediciones!$K$6:$K$305,"")&gt;0,"Pesar 1 m de la tela medida (Telas, kg por metro). ","")&amp;IF(T58="","Consumo Tela 2. ","")&amp;IF(W58="","Consumo Tela 3. ","")&amp;IF(K58="","Elegir tela principal. ",IF(ISERROR(INDEX(Telas!$I$6:$I$105,MATCH(K58,Telas!$A$6:$A$105,0))*1),"Precio o peso por metro de "&amp;K58&amp;". ",""))&amp;IF(AND(N(T58)&gt;0,L58=""),"Elegir Tela 2. ",IF(AND(N(T58)&gt;0,ISERROR(INDEX(Telas!$I$6:$I$105,MATCH(L58,Telas!$A$6:$A$105,0))*1)),"Precio o peso por metro de "&amp;L58&amp;". ",""))&amp;IF(Y58="","Metros impresos. ","")&amp;IF(F58="","Tipo de confección. ",IF(AB58="","Precio de confección. ",""))))</f>
        <v>Consumo tela principal (Despiece o Mediciones). Consumo Tela 2. Elegir tela principal. Metros impresos. </v>
      </c>
      <c r="AH58" s="27" t="s">
        <v>95</v>
      </c>
    </row>
    <row r="59" customFormat="false" ht="15" hidden="false" customHeight="false" outlineLevel="0" collapsed="false">
      <c r="A59" s="27" t="s">
        <v>193</v>
      </c>
      <c r="B59" s="27" t="s">
        <v>191</v>
      </c>
      <c r="C59" s="27" t="s">
        <v>147</v>
      </c>
      <c r="D59" s="27" t="s">
        <v>176</v>
      </c>
      <c r="E59" s="27" t="s">
        <v>97</v>
      </c>
      <c r="F59" s="27" t="s">
        <v>192</v>
      </c>
      <c r="G59" s="8"/>
      <c r="H59" s="27"/>
      <c r="I59" s="8"/>
      <c r="J59" s="27"/>
      <c r="K59" s="8"/>
      <c r="L59" s="8"/>
      <c r="M59" s="8"/>
      <c r="N59" s="8"/>
      <c r="O59" s="9" t="str">
        <f aca="false">IF($A59="","",IF(COUNTIFS(Despiece!$A$6:$A$705,$A59,Despiece!$D$6:$D$705,"Tela principal",Despiece!$F$6:$F$705,"&gt;0")=0,"",SUMIFS(Despiece!$F$6:$F$705,Despiece!$A$6:$A$705,$A59,Despiece!$D$6:$D$705,"Tela principal")))</f>
        <v/>
      </c>
      <c r="P59" s="9" t="str">
        <f aca="false">IF($A59="","",IFERROR(AVERAGEIFS(Mediciones!$K$6:$K$305,Mediciones!$C$6:$C$305,$A59,Mediciones!$D$6:$D$305,"Tela principal"),""))</f>
        <v/>
      </c>
      <c r="Q59" s="28" t="str">
        <f aca="false">IF($A59="","",IF(N(IF($N59="Despiece",IF(ISNUMBER(O59),O59*(1+Parametros!$B$22),IF(COUNTIFS(Despiece!$A$6:$A$705,$A59,Despiece!$D$6:$D$705,"Tela principal")&gt;0,"",0)),IF($N59="Medición real",IF(ISNUMBER(P59),P59,IF(COUNTIFS(Mediciones!$C$6:$C$305,$A59,Mediciones!$D$6:$D$305,"Tela principal")&gt;0,"",0)),IF(ISNUMBER(P59),P59,IF(ISNUMBER(O59),O59*(1+Parametros!$B$22),IF(OR(COUNTIFS(Despiece!$A$6:$A$705,$A59,Despiece!$D$6:$D$705,"Tela principal")&gt;0,COUNTIFS(Mediciones!$C$6:$C$305,$A59,Mediciones!$D$6:$D$305,"Tela principal")&gt;0),"",0))))))=0,"",IF($N59="Despiece",IF(ISNUMBER(O59),O59*(1+Parametros!$B$22),IF(COUNTIFS(Despiece!$A$6:$A$705,$A59,Despiece!$D$6:$D$705,"Tela principal")&gt;0,"",0)),IF($N59="Medición real",IF(ISNUMBER(P59),P59,IF(COUNTIFS(Mediciones!$C$6:$C$305,$A59,Mediciones!$D$6:$D$305,"Tela principal")&gt;0,"",0)),IF(ISNUMBER(P59),P59,IF(ISNUMBER(O59),O59*(1+Parametros!$B$22),IF(OR(COUNTIFS(Despiece!$A$6:$A$705,$A59,Despiece!$D$6:$D$705,"Tela principal")&gt;0,COUNTIFS(Mediciones!$C$6:$C$305,$A59,Mediciones!$D$6:$D$305,"Tela principal")&gt;0),"",0)))))))</f>
        <v/>
      </c>
      <c r="R59" s="9" t="str">
        <f aca="false">IF($A59="","",IF(COUNTIFS(Despiece!$A$6:$A$705,$A59,Despiece!$D$6:$D$705,"Tela 2",Despiece!$F$6:$F$705,"&gt;0")=0,"",SUMIFS(Despiece!$F$6:$F$705,Despiece!$A$6:$A$705,$A59,Despiece!$D$6:$D$705,"Tela 2")))</f>
        <v/>
      </c>
      <c r="S59" s="9" t="str">
        <f aca="false">IF($A59="","",IFERROR(AVERAGEIFS(Mediciones!$K$6:$K$305,Mediciones!$C$6:$C$305,$A59,Mediciones!$D$6:$D$305,"Tela 2"),""))</f>
        <v/>
      </c>
      <c r="T59" s="28" t="str">
        <f aca="false">IF($A59="","",IF($N59="Despiece",IF(ISNUMBER(R59),R59*(1+Parametros!$B$22),IF(COUNTIFS(Despiece!$A$6:$A$705,$A59,Despiece!$D$6:$D$705,"Tela 2")&gt;0,"",0)),IF($N59="Medición real",IF(ISNUMBER(S59),S59,IF(COUNTIFS(Mediciones!$C$6:$C$305,$A59,Mediciones!$D$6:$D$305,"Tela 2")&gt;0,"",0)),IF(ISNUMBER(S59),S59,IF(ISNUMBER(R59),R59*(1+Parametros!$B$22),IF(OR(COUNTIFS(Despiece!$A$6:$A$705,$A59,Despiece!$D$6:$D$705,"Tela 2")&gt;0,COUNTIFS(Mediciones!$C$6:$C$305,$A59,Mediciones!$D$6:$D$305,"Tela 2")&gt;0),"",0))))))</f>
        <v/>
      </c>
      <c r="U59" s="9" t="str">
        <f aca="false">IF($A59="","",IF(COUNTIFS(Despiece!$A$6:$A$705,$A59,Despiece!$D$6:$D$705,"Tela 3",Despiece!$F$6:$F$705,"&gt;0")=0,"",SUMIFS(Despiece!$F$6:$F$705,Despiece!$A$6:$A$705,$A59,Despiece!$D$6:$D$705,"Tela 3")))</f>
        <v/>
      </c>
      <c r="V59" s="9" t="str">
        <f aca="false">IF($A59="","",IFERROR(AVERAGEIFS(Mediciones!$K$6:$K$305,Mediciones!$C$6:$C$305,$A59,Mediciones!$D$6:$D$305,"Tela 3"),""))</f>
        <v/>
      </c>
      <c r="W59" s="28" t="n">
        <f aca="false">IF($A59="","",IF($N59="Despiece",IF(ISNUMBER(U59),U59*(1+Parametros!$B$22),IF(COUNTIFS(Despiece!$A$6:$A$705,$A59,Despiece!$D$6:$D$705,"Tela 3")&gt;0,"",0)),IF($N59="Medición real",IF(ISNUMBER(V59),V59,IF(COUNTIFS(Mediciones!$C$6:$C$305,$A59,Mediciones!$D$6:$D$305,"Tela 3")&gt;0,"",0)),IF(ISNUMBER(V59),V59,IF(ISNUMBER(U59),U59*(1+Parametros!$B$22),IF(OR(COUNTIFS(Despiece!$A$6:$A$705,$A59,Despiece!$D$6:$D$705,"Tela 3")&gt;0,COUNTIFS(Mediciones!$C$6:$C$305,$A59,Mediciones!$D$6:$D$305,"Tela 3")&gt;0),"",0))))))</f>
        <v>0</v>
      </c>
      <c r="X59" s="27"/>
      <c r="Y59" s="9" t="str">
        <f aca="false">IF($A59="","",IF(ISNUMBER(X59),X59,IF(COUNTIFS(Despiece!$A$6:$A$705,$A59,Despiece!$E$6:$E$705,"Sublimada",Despiece!$F$6:$F$705,"&gt;0")&gt;0,SUMIFS(Despiece!$F$6:$F$705,Despiece!$A$6:$A$705,$A59,Despiece!$E$6:$E$705,"Sublimada")*(1+Parametros!$B$22),IF(COUNTIFS(Despiece!$A$6:$A$705,$A59,Despiece!$E$6:$E$705,"Sublimada")=0,0,""))))</f>
        <v/>
      </c>
      <c r="Z59" s="10" t="str">
        <f aca="false">IF($A59="","",IFERROR(IF(ISNUMBER(Q59),IF(Q59=0,0,Q59*INDEX(Telas!$I$6:$I$105,MATCH(K59,Telas!$A$6:$A$105,0))),NA())+IF(ISNUMBER(T59),IF(T59=0,0,T59*INDEX(Telas!$I$6:$I$105,MATCH(L59,Telas!$A$6:$A$105,0))),NA())+IF(ISNUMBER(W59),IF(W59=0,0,W59*INDEX(Telas!$I$6:$I$105,MATCH(IF(M59="",K59,M59),Telas!$A$6:$A$105,0))),NA()),""))</f>
        <v/>
      </c>
      <c r="AA59" s="10" t="str">
        <f aca="false">IF($A59="","",IF(ISNUMBER(Y59),Y59*Parametros!$B$19,""))</f>
        <v/>
      </c>
      <c r="AB59" s="10" t="n">
        <f aca="false">IF(OR($A59="",F59=""),"",IFERROR(INDEX(Confeccion!$B$6:$B$125,MATCH(F59,Confeccion!$A$6:$A$125,0)),""))</f>
        <v>2200</v>
      </c>
      <c r="AC59" s="10" t="n">
        <f aca="false">IF($A59="","",IFERROR(N(H59)*IF(G59="",0,INDEX(Avios!$C$6:$C$65,MATCH(G59,Avios!$A$6:$A$65,0)))+N(J59)*IF(I59="",0,INDEX(Avios!$C$6:$C$65,MATCH(I59,Avios!$A$6:$A$65,0))),""))</f>
        <v>0</v>
      </c>
      <c r="AD59" s="11" t="str">
        <f aca="false">IF($A59="","",IFERROR(Z59+AA59+AB59+AC59,""))</f>
        <v/>
      </c>
      <c r="AE59" s="10" t="str">
        <f aca="false">IF(ISNUMBER(AD59),AD59*Parametros!$B$12,"")</f>
        <v/>
      </c>
      <c r="AF59" s="29" t="str">
        <f aca="false">IF(AND(ISNUMBER(Q59),K59&lt;&gt;""),IFERROR(1/(Q59*INDEX(Telas!$G$6:$G$105,MATCH(K59,Telas!$A$6:$A$105,0))),""),"")</f>
        <v/>
      </c>
      <c r="AG59" s="0" t="str">
        <f aca="false">IF($A59="","",IF(ISNUMBER(AD59),IF(AND(N(Y59)&gt;0,N(Parametros!$B$19)=0),"Lista, pero sin costo de impresión (Parametros)","Lista"),IF(Q59="","Consumo tela principal (Despiece o Mediciones). ","")&amp;IF(COUNTIFS(Mediciones!$C$6:$C$305,$A59,Mediciones!$K$6:$K$305,"")&gt;0,"Pesar 1 m de la tela medida (Telas, kg por metro). ","")&amp;IF(T59="","Consumo Tela 2. ","")&amp;IF(W59="","Consumo Tela 3. ","")&amp;IF(K59="","Elegir tela principal. ",IF(ISERROR(INDEX(Telas!$I$6:$I$105,MATCH(K59,Telas!$A$6:$A$105,0))*1),"Precio o peso por metro de "&amp;K59&amp;". ",""))&amp;IF(AND(N(T59)&gt;0,L59=""),"Elegir Tela 2. ",IF(AND(N(T59)&gt;0,ISERROR(INDEX(Telas!$I$6:$I$105,MATCH(L59,Telas!$A$6:$A$105,0))*1)),"Precio o peso por metro de "&amp;L59&amp;". ",""))&amp;IF(Y59="","Metros impresos. ","")&amp;IF(F59="","Tipo de confección. ",IF(AB59="","Precio de confección. ",""))))</f>
        <v>Consumo tela principal (Despiece o Mediciones). Consumo Tela 2. Elegir tela principal. Metros impresos. </v>
      </c>
      <c r="AH59" s="27" t="s">
        <v>95</v>
      </c>
    </row>
    <row r="60" customFormat="false" ht="15" hidden="false" customHeight="false" outlineLevel="0" collapsed="false">
      <c r="A60" s="27" t="s">
        <v>194</v>
      </c>
      <c r="B60" s="27" t="s">
        <v>195</v>
      </c>
      <c r="C60" s="27" t="s">
        <v>91</v>
      </c>
      <c r="D60" s="27" t="s">
        <v>176</v>
      </c>
      <c r="E60" s="27" t="s">
        <v>97</v>
      </c>
      <c r="F60" s="27" t="s">
        <v>196</v>
      </c>
      <c r="G60" s="8"/>
      <c r="H60" s="27"/>
      <c r="I60" s="8"/>
      <c r="J60" s="27"/>
      <c r="K60" s="8" t="s">
        <v>103</v>
      </c>
      <c r="L60" s="8"/>
      <c r="M60" s="8"/>
      <c r="N60" s="8"/>
      <c r="O60" s="9" t="str">
        <f aca="false">IF($A60="","",IF(COUNTIFS(Despiece!$A$6:$A$705,$A60,Despiece!$D$6:$D$705,"Tela principal",Despiece!$F$6:$F$705,"&gt;0")=0,"",SUMIFS(Despiece!$F$6:$F$705,Despiece!$A$6:$A$705,$A60,Despiece!$D$6:$D$705,"Tela principal")))</f>
        <v/>
      </c>
      <c r="P60" s="9" t="str">
        <f aca="false">IF($A60="","",IFERROR(AVERAGEIFS(Mediciones!$K$6:$K$305,Mediciones!$C$6:$C$305,$A60,Mediciones!$D$6:$D$305,"Tela principal"),""))</f>
        <v/>
      </c>
      <c r="Q60" s="28" t="str">
        <f aca="false">IF($A60="","",IF(N(IF($N60="Despiece",IF(ISNUMBER(O60),O60*(1+Parametros!$B$22),IF(COUNTIFS(Despiece!$A$6:$A$705,$A60,Despiece!$D$6:$D$705,"Tela principal")&gt;0,"",0)),IF($N60="Medición real",IF(ISNUMBER(P60),P60,IF(COUNTIFS(Mediciones!$C$6:$C$305,$A60,Mediciones!$D$6:$D$305,"Tela principal")&gt;0,"",0)),IF(ISNUMBER(P60),P60,IF(ISNUMBER(O60),O60*(1+Parametros!$B$22),IF(OR(COUNTIFS(Despiece!$A$6:$A$705,$A60,Despiece!$D$6:$D$705,"Tela principal")&gt;0,COUNTIFS(Mediciones!$C$6:$C$305,$A60,Mediciones!$D$6:$D$305,"Tela principal")&gt;0),"",0))))))=0,"",IF($N60="Despiece",IF(ISNUMBER(O60),O60*(1+Parametros!$B$22),IF(COUNTIFS(Despiece!$A$6:$A$705,$A60,Despiece!$D$6:$D$705,"Tela principal")&gt;0,"",0)),IF($N60="Medición real",IF(ISNUMBER(P60),P60,IF(COUNTIFS(Mediciones!$C$6:$C$305,$A60,Mediciones!$D$6:$D$305,"Tela principal")&gt;0,"",0)),IF(ISNUMBER(P60),P60,IF(ISNUMBER(O60),O60*(1+Parametros!$B$22),IF(OR(COUNTIFS(Despiece!$A$6:$A$705,$A60,Despiece!$D$6:$D$705,"Tela principal")&gt;0,COUNTIFS(Mediciones!$C$6:$C$305,$A60,Mediciones!$D$6:$D$305,"Tela principal")&gt;0),"",0)))))))</f>
        <v/>
      </c>
      <c r="R60" s="9" t="str">
        <f aca="false">IF($A60="","",IF(COUNTIFS(Despiece!$A$6:$A$705,$A60,Despiece!$D$6:$D$705,"Tela 2",Despiece!$F$6:$F$705,"&gt;0")=0,"",SUMIFS(Despiece!$F$6:$F$705,Despiece!$A$6:$A$705,$A60,Despiece!$D$6:$D$705,"Tela 2")))</f>
        <v/>
      </c>
      <c r="S60" s="9" t="str">
        <f aca="false">IF($A60="","",IFERROR(AVERAGEIFS(Mediciones!$K$6:$K$305,Mediciones!$C$6:$C$305,$A60,Mediciones!$D$6:$D$305,"Tela 2"),""))</f>
        <v/>
      </c>
      <c r="T60" s="28" t="n">
        <f aca="false">IF($A60="","",IF($N60="Despiece",IF(ISNUMBER(R60),R60*(1+Parametros!$B$22),IF(COUNTIFS(Despiece!$A$6:$A$705,$A60,Despiece!$D$6:$D$705,"Tela 2")&gt;0,"",0)),IF($N60="Medición real",IF(ISNUMBER(S60),S60,IF(COUNTIFS(Mediciones!$C$6:$C$305,$A60,Mediciones!$D$6:$D$305,"Tela 2")&gt;0,"",0)),IF(ISNUMBER(S60),S60,IF(ISNUMBER(R60),R60*(1+Parametros!$B$22),IF(OR(COUNTIFS(Despiece!$A$6:$A$705,$A60,Despiece!$D$6:$D$705,"Tela 2")&gt;0,COUNTIFS(Mediciones!$C$6:$C$305,$A60,Mediciones!$D$6:$D$305,"Tela 2")&gt;0),"",0))))))</f>
        <v>0</v>
      </c>
      <c r="U60" s="9" t="str">
        <f aca="false">IF($A60="","",IF(COUNTIFS(Despiece!$A$6:$A$705,$A60,Despiece!$D$6:$D$705,"Tela 3",Despiece!$F$6:$F$705,"&gt;0")=0,"",SUMIFS(Despiece!$F$6:$F$705,Despiece!$A$6:$A$705,$A60,Despiece!$D$6:$D$705,"Tela 3")))</f>
        <v/>
      </c>
      <c r="V60" s="9" t="str">
        <f aca="false">IF($A60="","",IFERROR(AVERAGEIFS(Mediciones!$K$6:$K$305,Mediciones!$C$6:$C$305,$A60,Mediciones!$D$6:$D$305,"Tela 3"),""))</f>
        <v/>
      </c>
      <c r="W60" s="28" t="n">
        <f aca="false">IF($A60="","",IF($N60="Despiece",IF(ISNUMBER(U60),U60*(1+Parametros!$B$22),IF(COUNTIFS(Despiece!$A$6:$A$705,$A60,Despiece!$D$6:$D$705,"Tela 3")&gt;0,"",0)),IF($N60="Medición real",IF(ISNUMBER(V60),V60,IF(COUNTIFS(Mediciones!$C$6:$C$305,$A60,Mediciones!$D$6:$D$305,"Tela 3")&gt;0,"",0)),IF(ISNUMBER(V60),V60,IF(ISNUMBER(U60),U60*(1+Parametros!$B$22),IF(OR(COUNTIFS(Despiece!$A$6:$A$705,$A60,Despiece!$D$6:$D$705,"Tela 3")&gt;0,COUNTIFS(Mediciones!$C$6:$C$305,$A60,Mediciones!$D$6:$D$305,"Tela 3")&gt;0),"",0))))))</f>
        <v>0</v>
      </c>
      <c r="X60" s="27" t="n">
        <v>0</v>
      </c>
      <c r="Y60" s="9" t="n">
        <f aca="false">IF($A60="","",IF(ISNUMBER(X60),X60,IF(COUNTIFS(Despiece!$A$6:$A$705,$A60,Despiece!$E$6:$E$705,"Sublimada",Despiece!$F$6:$F$705,"&gt;0")&gt;0,SUMIFS(Despiece!$F$6:$F$705,Despiece!$A$6:$A$705,$A60,Despiece!$E$6:$E$705,"Sublimada")*(1+Parametros!$B$22),IF(COUNTIFS(Despiece!$A$6:$A$705,$A60,Despiece!$E$6:$E$705,"Sublimada")=0,0,""))))</f>
        <v>0</v>
      </c>
      <c r="Z60" s="10" t="str">
        <f aca="false">IF($A60="","",IFERROR(IF(ISNUMBER(Q60),IF(Q60=0,0,Q60*INDEX(Telas!$I$6:$I$105,MATCH(K60,Telas!$A$6:$A$105,0))),NA())+IF(ISNUMBER(T60),IF(T60=0,0,T60*INDEX(Telas!$I$6:$I$105,MATCH(L60,Telas!$A$6:$A$105,0))),NA())+IF(ISNUMBER(W60),IF(W60=0,0,W60*INDEX(Telas!$I$6:$I$105,MATCH(IF(M60="",K60,M60),Telas!$A$6:$A$105,0))),NA()),""))</f>
        <v/>
      </c>
      <c r="AA60" s="10" t="n">
        <f aca="false">IF($A60="","",IF(ISNUMBER(Y60),Y60*Parametros!$B$19,""))</f>
        <v>0</v>
      </c>
      <c r="AB60" s="10" t="n">
        <f aca="false">IF(OR($A60="",F60=""),"",IFERROR(INDEX(Confeccion!$B$6:$B$125,MATCH(F60,Confeccion!$A$6:$A$125,0)),""))</f>
        <v>1700</v>
      </c>
      <c r="AC60" s="10" t="n">
        <f aca="false">IF($A60="","",IFERROR(N(H60)*IF(G60="",0,INDEX(Avios!$C$6:$C$65,MATCH(G60,Avios!$A$6:$A$65,0)))+N(J60)*IF(I60="",0,INDEX(Avios!$C$6:$C$65,MATCH(I60,Avios!$A$6:$A$65,0))),""))</f>
        <v>0</v>
      </c>
      <c r="AD60" s="11" t="str">
        <f aca="false">IF($A60="","",IFERROR(Z60+AA60+AB60+AC60,""))</f>
        <v/>
      </c>
      <c r="AE60" s="10" t="str">
        <f aca="false">IF(ISNUMBER(AD60),AD60*Parametros!$B$12,"")</f>
        <v/>
      </c>
      <c r="AF60" s="29" t="str">
        <f aca="false">IF(AND(ISNUMBER(Q60),K60&lt;&gt;""),IFERROR(1/(Q60*INDEX(Telas!$G$6:$G$105,MATCH(K60,Telas!$A$6:$A$105,0))),""),"")</f>
        <v/>
      </c>
      <c r="AG60" s="0" t="str">
        <f aca="false">IF($A60="","",IF(ISNUMBER(AD60),IF(AND(N(Y60)&gt;0,N(Parametros!$B$19)=0),"Lista, pero sin costo de impresión (Parametros)","Lista"),IF(Q60="","Consumo tela principal (Despiece o Mediciones). ","")&amp;IF(COUNTIFS(Mediciones!$C$6:$C$305,$A60,Mediciones!$K$6:$K$305,"")&gt;0,"Pesar 1 m de la tela medida (Telas, kg por metro). ","")&amp;IF(T60="","Consumo Tela 2. ","")&amp;IF(W60="","Consumo Tela 3. ","")&amp;IF(K60="","Elegir tela principal. ",IF(ISERROR(INDEX(Telas!$I$6:$I$105,MATCH(K60,Telas!$A$6:$A$105,0))*1),"Precio o peso por metro de "&amp;K60&amp;". ",""))&amp;IF(AND(N(T60)&gt;0,L60=""),"Elegir Tela 2. ",IF(AND(N(T60)&gt;0,ISERROR(INDEX(Telas!$I$6:$I$105,MATCH(L60,Telas!$A$6:$A$105,0))*1)),"Precio o peso por metro de "&amp;L60&amp;". ",""))&amp;IF(Y60="","Metros impresos. ","")&amp;IF(F60="","Tipo de confección. ",IF(AB60="","Precio de confección. ",""))))</f>
        <v>Consumo tela principal (Despiece o Mediciones). Pesar 1 m de la tela medida (Telas, kg por metro). Precio o peso por metro de CIRE BLANCO. </v>
      </c>
      <c r="AH60" s="27" t="s">
        <v>197</v>
      </c>
    </row>
    <row r="61" customFormat="false" ht="15" hidden="false" customHeight="false" outlineLevel="0" collapsed="false">
      <c r="A61" s="27" t="s">
        <v>198</v>
      </c>
      <c r="B61" s="27" t="s">
        <v>199</v>
      </c>
      <c r="C61" s="27" t="s">
        <v>200</v>
      </c>
      <c r="D61" s="27" t="s">
        <v>176</v>
      </c>
      <c r="E61" s="27" t="s">
        <v>97</v>
      </c>
      <c r="F61" s="27" t="s">
        <v>201</v>
      </c>
      <c r="G61" s="8"/>
      <c r="H61" s="27"/>
      <c r="I61" s="8"/>
      <c r="J61" s="27"/>
      <c r="K61" s="8" t="s">
        <v>202</v>
      </c>
      <c r="L61" s="8"/>
      <c r="M61" s="8"/>
      <c r="N61" s="8"/>
      <c r="O61" s="9" t="str">
        <f aca="false">IF($A61="","",IF(COUNTIFS(Despiece!$A$6:$A$705,$A61,Despiece!$D$6:$D$705,"Tela principal",Despiece!$F$6:$F$705,"&gt;0")=0,"",SUMIFS(Despiece!$F$6:$F$705,Despiece!$A$6:$A$705,$A61,Despiece!$D$6:$D$705,"Tela principal")))</f>
        <v/>
      </c>
      <c r="P61" s="9" t="str">
        <f aca="false">IF($A61="","",IFERROR(AVERAGEIFS(Mediciones!$K$6:$K$305,Mediciones!$C$6:$C$305,$A61,Mediciones!$D$6:$D$305,"Tela principal"),""))</f>
        <v/>
      </c>
      <c r="Q61" s="28" t="str">
        <f aca="false">IF($A61="","",IF(N(IF($N61="Despiece",IF(ISNUMBER(O61),O61*(1+Parametros!$B$22),IF(COUNTIFS(Despiece!$A$6:$A$705,$A61,Despiece!$D$6:$D$705,"Tela principal")&gt;0,"",0)),IF($N61="Medición real",IF(ISNUMBER(P61),P61,IF(COUNTIFS(Mediciones!$C$6:$C$305,$A61,Mediciones!$D$6:$D$305,"Tela principal")&gt;0,"",0)),IF(ISNUMBER(P61),P61,IF(ISNUMBER(O61),O61*(1+Parametros!$B$22),IF(OR(COUNTIFS(Despiece!$A$6:$A$705,$A61,Despiece!$D$6:$D$705,"Tela principal")&gt;0,COUNTIFS(Mediciones!$C$6:$C$305,$A61,Mediciones!$D$6:$D$305,"Tela principal")&gt;0),"",0))))))=0,"",IF($N61="Despiece",IF(ISNUMBER(O61),O61*(1+Parametros!$B$22),IF(COUNTIFS(Despiece!$A$6:$A$705,$A61,Despiece!$D$6:$D$705,"Tela principal")&gt;0,"",0)),IF($N61="Medición real",IF(ISNUMBER(P61),P61,IF(COUNTIFS(Mediciones!$C$6:$C$305,$A61,Mediciones!$D$6:$D$305,"Tela principal")&gt;0,"",0)),IF(ISNUMBER(P61),P61,IF(ISNUMBER(O61),O61*(1+Parametros!$B$22),IF(OR(COUNTIFS(Despiece!$A$6:$A$705,$A61,Despiece!$D$6:$D$705,"Tela principal")&gt;0,COUNTIFS(Mediciones!$C$6:$C$305,$A61,Mediciones!$D$6:$D$305,"Tela principal")&gt;0),"",0)))))))</f>
        <v/>
      </c>
      <c r="R61" s="9" t="str">
        <f aca="false">IF($A61="","",IF(COUNTIFS(Despiece!$A$6:$A$705,$A61,Despiece!$D$6:$D$705,"Tela 2",Despiece!$F$6:$F$705,"&gt;0")=0,"",SUMIFS(Despiece!$F$6:$F$705,Despiece!$A$6:$A$705,$A61,Despiece!$D$6:$D$705,"Tela 2")))</f>
        <v/>
      </c>
      <c r="S61" s="9" t="str">
        <f aca="false">IF($A61="","",IFERROR(AVERAGEIFS(Mediciones!$K$6:$K$305,Mediciones!$C$6:$C$305,$A61,Mediciones!$D$6:$D$305,"Tela 2"),""))</f>
        <v/>
      </c>
      <c r="T61" s="28" t="n">
        <f aca="false">IF($A61="","",IF($N61="Despiece",IF(ISNUMBER(R61),R61*(1+Parametros!$B$22),IF(COUNTIFS(Despiece!$A$6:$A$705,$A61,Despiece!$D$6:$D$705,"Tela 2")&gt;0,"",0)),IF($N61="Medición real",IF(ISNUMBER(S61),S61,IF(COUNTIFS(Mediciones!$C$6:$C$305,$A61,Mediciones!$D$6:$D$305,"Tela 2")&gt;0,"",0)),IF(ISNUMBER(S61),S61,IF(ISNUMBER(R61),R61*(1+Parametros!$B$22),IF(OR(COUNTIFS(Despiece!$A$6:$A$705,$A61,Despiece!$D$6:$D$705,"Tela 2")&gt;0,COUNTIFS(Mediciones!$C$6:$C$305,$A61,Mediciones!$D$6:$D$305,"Tela 2")&gt;0),"",0))))))</f>
        <v>0</v>
      </c>
      <c r="U61" s="9" t="str">
        <f aca="false">IF($A61="","",IF(COUNTIFS(Despiece!$A$6:$A$705,$A61,Despiece!$D$6:$D$705,"Tela 3",Despiece!$F$6:$F$705,"&gt;0")=0,"",SUMIFS(Despiece!$F$6:$F$705,Despiece!$A$6:$A$705,$A61,Despiece!$D$6:$D$705,"Tela 3")))</f>
        <v/>
      </c>
      <c r="V61" s="9" t="str">
        <f aca="false">IF($A61="","",IFERROR(AVERAGEIFS(Mediciones!$K$6:$K$305,Mediciones!$C$6:$C$305,$A61,Mediciones!$D$6:$D$305,"Tela 3"),""))</f>
        <v/>
      </c>
      <c r="W61" s="28" t="n">
        <f aca="false">IF($A61="","",IF($N61="Despiece",IF(ISNUMBER(U61),U61*(1+Parametros!$B$22),IF(COUNTIFS(Despiece!$A$6:$A$705,$A61,Despiece!$D$6:$D$705,"Tela 3")&gt;0,"",0)),IF($N61="Medición real",IF(ISNUMBER(V61),V61,IF(COUNTIFS(Mediciones!$C$6:$C$305,$A61,Mediciones!$D$6:$D$305,"Tela 3")&gt;0,"",0)),IF(ISNUMBER(V61),V61,IF(ISNUMBER(U61),U61*(1+Parametros!$B$22),IF(OR(COUNTIFS(Despiece!$A$6:$A$705,$A61,Despiece!$D$6:$D$705,"Tela 3")&gt;0,COUNTIFS(Mediciones!$C$6:$C$305,$A61,Mediciones!$D$6:$D$305,"Tela 3")&gt;0),"",0))))))</f>
        <v>0</v>
      </c>
      <c r="X61" s="27" t="n">
        <v>0</v>
      </c>
      <c r="Y61" s="9" t="n">
        <f aca="false">IF($A61="","",IF(ISNUMBER(X61),X61,IF(COUNTIFS(Despiece!$A$6:$A$705,$A61,Despiece!$E$6:$E$705,"Sublimada",Despiece!$F$6:$F$705,"&gt;0")&gt;0,SUMIFS(Despiece!$F$6:$F$705,Despiece!$A$6:$A$705,$A61,Despiece!$E$6:$E$705,"Sublimada")*(1+Parametros!$B$22),IF(COUNTIFS(Despiece!$A$6:$A$705,$A61,Despiece!$E$6:$E$705,"Sublimada")=0,0,""))))</f>
        <v>0</v>
      </c>
      <c r="Z61" s="10" t="str">
        <f aca="false">IF($A61="","",IFERROR(IF(ISNUMBER(Q61),IF(Q61=0,0,Q61*INDEX(Telas!$I$6:$I$105,MATCH(K61,Telas!$A$6:$A$105,0))),NA())+IF(ISNUMBER(T61),IF(T61=0,0,T61*INDEX(Telas!$I$6:$I$105,MATCH(L61,Telas!$A$6:$A$105,0))),NA())+IF(ISNUMBER(W61),IF(W61=0,0,W61*INDEX(Telas!$I$6:$I$105,MATCH(IF(M61="",K61,M61),Telas!$A$6:$A$105,0))),NA()),""))</f>
        <v/>
      </c>
      <c r="AA61" s="10" t="n">
        <f aca="false">IF($A61="","",IF(ISNUMBER(Y61),Y61*Parametros!$B$19,""))</f>
        <v>0</v>
      </c>
      <c r="AB61" s="10" t="n">
        <f aca="false">IF(OR($A61="",F61=""),"",IFERROR(INDEX(Confeccion!$B$6:$B$125,MATCH(F61,Confeccion!$A$6:$A$125,0)),""))</f>
        <v>2200</v>
      </c>
      <c r="AC61" s="10" t="n">
        <f aca="false">IF($A61="","",IFERROR(N(H61)*IF(G61="",0,INDEX(Avios!$C$6:$C$65,MATCH(G61,Avios!$A$6:$A$65,0)))+N(J61)*IF(I61="",0,INDEX(Avios!$C$6:$C$65,MATCH(I61,Avios!$A$6:$A$65,0))),""))</f>
        <v>0</v>
      </c>
      <c r="AD61" s="11" t="str">
        <f aca="false">IF($A61="","",IFERROR(Z61+AA61+AB61+AC61,""))</f>
        <v/>
      </c>
      <c r="AE61" s="10" t="str">
        <f aca="false">IF(ISNUMBER(AD61),AD61*Parametros!$B$12,"")</f>
        <v/>
      </c>
      <c r="AF61" s="29" t="str">
        <f aca="false">IF(AND(ISNUMBER(Q61),K61&lt;&gt;""),IFERROR(1/(Q61*INDEX(Telas!$G$6:$G$105,MATCH(K61,Telas!$A$6:$A$105,0))),""),"")</f>
        <v/>
      </c>
      <c r="AG61" s="0" t="str">
        <f aca="false">IF($A61="","",IF(ISNUMBER(AD61),IF(AND(N(Y61)&gt;0,N(Parametros!$B$19)=0),"Lista, pero sin costo de impresión (Parametros)","Lista"),IF(Q61="","Consumo tela principal (Despiece o Mediciones). ","")&amp;IF(COUNTIFS(Mediciones!$C$6:$C$305,$A61,Mediciones!$K$6:$K$305,"")&gt;0,"Pesar 1 m de la tela medida (Telas, kg por metro). ","")&amp;IF(T61="","Consumo Tela 2. ","")&amp;IF(W61="","Consumo Tela 3. ","")&amp;IF(K61="","Elegir tela principal. ",IF(ISERROR(INDEX(Telas!$I$6:$I$105,MATCH(K61,Telas!$A$6:$A$105,0))*1),"Precio o peso por metro de "&amp;K61&amp;". ",""))&amp;IF(AND(N(T61)&gt;0,L61=""),"Elegir Tela 2. ",IF(AND(N(T61)&gt;0,ISERROR(INDEX(Telas!$I$6:$I$105,MATCH(L61,Telas!$A$6:$A$105,0))*1)),"Precio o peso por metro de "&amp;L61&amp;". ",""))&amp;IF(Y61="","Metros impresos. ","")&amp;IF(F61="","Tipo de confección. ",IF(AB61="","Precio de confección. ",""))))</f>
        <v>Consumo tela principal (Despiece o Mediciones). Pesar 1 m de la tela medida (Telas, kg por metro). Precio o peso por metro de GABARDINA. </v>
      </c>
      <c r="AH61" s="27" t="s">
        <v>203</v>
      </c>
    </row>
    <row r="62" customFormat="false" ht="15" hidden="false" customHeight="false" outlineLevel="0" collapsed="false">
      <c r="A62" s="27" t="s">
        <v>204</v>
      </c>
      <c r="B62" s="27" t="s">
        <v>205</v>
      </c>
      <c r="C62" s="27" t="s">
        <v>206</v>
      </c>
      <c r="D62" s="27" t="s">
        <v>92</v>
      </c>
      <c r="E62" s="27" t="s">
        <v>97</v>
      </c>
      <c r="F62" s="27" t="s">
        <v>207</v>
      </c>
      <c r="G62" s="8"/>
      <c r="H62" s="27"/>
      <c r="I62" s="8"/>
      <c r="J62" s="27"/>
      <c r="K62" s="8" t="s">
        <v>208</v>
      </c>
      <c r="L62" s="8"/>
      <c r="M62" s="8"/>
      <c r="N62" s="8"/>
      <c r="O62" s="9" t="str">
        <f aca="false">IF($A62="","",IF(COUNTIFS(Despiece!$A$6:$A$705,$A62,Despiece!$D$6:$D$705,"Tela principal",Despiece!$F$6:$F$705,"&gt;0")=0,"",SUMIFS(Despiece!$F$6:$F$705,Despiece!$A$6:$A$705,$A62,Despiece!$D$6:$D$705,"Tela principal")))</f>
        <v/>
      </c>
      <c r="P62" s="9" t="n">
        <f aca="false">IF($A62="","",IFERROR(AVERAGEIFS(Mediciones!$K$6:$K$305,Mediciones!$C$6:$C$305,$A62,Mediciones!$D$6:$D$305,"Tela principal"),""))</f>
        <v>0.414141414141414</v>
      </c>
      <c r="Q62" s="28" t="n">
        <f aca="false">IF($A62="","",IF(N(IF($N62="Despiece",IF(ISNUMBER(O62),O62*(1+Parametros!$B$22),IF(COUNTIFS(Despiece!$A$6:$A$705,$A62,Despiece!$D$6:$D$705,"Tela principal")&gt;0,"",0)),IF($N62="Medición real",IF(ISNUMBER(P62),P62,IF(COUNTIFS(Mediciones!$C$6:$C$305,$A62,Mediciones!$D$6:$D$305,"Tela principal")&gt;0,"",0)),IF(ISNUMBER(P62),P62,IF(ISNUMBER(O62),O62*(1+Parametros!$B$22),IF(OR(COUNTIFS(Despiece!$A$6:$A$705,$A62,Despiece!$D$6:$D$705,"Tela principal")&gt;0,COUNTIFS(Mediciones!$C$6:$C$305,$A62,Mediciones!$D$6:$D$305,"Tela principal")&gt;0),"",0))))))=0,"",IF($N62="Despiece",IF(ISNUMBER(O62),O62*(1+Parametros!$B$22),IF(COUNTIFS(Despiece!$A$6:$A$705,$A62,Despiece!$D$6:$D$705,"Tela principal")&gt;0,"",0)),IF($N62="Medición real",IF(ISNUMBER(P62),P62,IF(COUNTIFS(Mediciones!$C$6:$C$305,$A62,Mediciones!$D$6:$D$305,"Tela principal")&gt;0,"",0)),IF(ISNUMBER(P62),P62,IF(ISNUMBER(O62),O62*(1+Parametros!$B$22),IF(OR(COUNTIFS(Despiece!$A$6:$A$705,$A62,Despiece!$D$6:$D$705,"Tela principal")&gt;0,COUNTIFS(Mediciones!$C$6:$C$305,$A62,Mediciones!$D$6:$D$305,"Tela principal")&gt;0),"",0)))))))</f>
        <v>0.414141414141414</v>
      </c>
      <c r="R62" s="9" t="str">
        <f aca="false">IF($A62="","",IF(COUNTIFS(Despiece!$A$6:$A$705,$A62,Despiece!$D$6:$D$705,"Tela 2",Despiece!$F$6:$F$705,"&gt;0")=0,"",SUMIFS(Despiece!$F$6:$F$705,Despiece!$A$6:$A$705,$A62,Despiece!$D$6:$D$705,"Tela 2")))</f>
        <v/>
      </c>
      <c r="S62" s="9" t="str">
        <f aca="false">IF($A62="","",IFERROR(AVERAGEIFS(Mediciones!$K$6:$K$305,Mediciones!$C$6:$C$305,$A62,Mediciones!$D$6:$D$305,"Tela 2"),""))</f>
        <v/>
      </c>
      <c r="T62" s="28" t="n">
        <f aca="false">IF($A62="","",IF($N62="Despiece",IF(ISNUMBER(R62),R62*(1+Parametros!$B$22),IF(COUNTIFS(Despiece!$A$6:$A$705,$A62,Despiece!$D$6:$D$705,"Tela 2")&gt;0,"",0)),IF($N62="Medición real",IF(ISNUMBER(S62),S62,IF(COUNTIFS(Mediciones!$C$6:$C$305,$A62,Mediciones!$D$6:$D$305,"Tela 2")&gt;0,"",0)),IF(ISNUMBER(S62),S62,IF(ISNUMBER(R62),R62*(1+Parametros!$B$22),IF(OR(COUNTIFS(Despiece!$A$6:$A$705,$A62,Despiece!$D$6:$D$705,"Tela 2")&gt;0,COUNTIFS(Mediciones!$C$6:$C$305,$A62,Mediciones!$D$6:$D$305,"Tela 2")&gt;0),"",0))))))</f>
        <v>0</v>
      </c>
      <c r="U62" s="9" t="str">
        <f aca="false">IF($A62="","",IF(COUNTIFS(Despiece!$A$6:$A$705,$A62,Despiece!$D$6:$D$705,"Tela 3",Despiece!$F$6:$F$705,"&gt;0")=0,"",SUMIFS(Despiece!$F$6:$F$705,Despiece!$A$6:$A$705,$A62,Despiece!$D$6:$D$705,"Tela 3")))</f>
        <v/>
      </c>
      <c r="V62" s="9" t="str">
        <f aca="false">IF($A62="","",IFERROR(AVERAGEIFS(Mediciones!$K$6:$K$305,Mediciones!$C$6:$C$305,$A62,Mediciones!$D$6:$D$305,"Tela 3"),""))</f>
        <v/>
      </c>
      <c r="W62" s="28" t="n">
        <f aca="false">IF($A62="","",IF($N62="Despiece",IF(ISNUMBER(U62),U62*(1+Parametros!$B$22),IF(COUNTIFS(Despiece!$A$6:$A$705,$A62,Despiece!$D$6:$D$705,"Tela 3")&gt;0,"",0)),IF($N62="Medición real",IF(ISNUMBER(V62),V62,IF(COUNTIFS(Mediciones!$C$6:$C$305,$A62,Mediciones!$D$6:$D$305,"Tela 3")&gt;0,"",0)),IF(ISNUMBER(V62),V62,IF(ISNUMBER(U62),U62*(1+Parametros!$B$22),IF(OR(COUNTIFS(Despiece!$A$6:$A$705,$A62,Despiece!$D$6:$D$705,"Tela 3")&gt;0,COUNTIFS(Mediciones!$C$6:$C$305,$A62,Mediciones!$D$6:$D$305,"Tela 3")&gt;0),"",0))))))</f>
        <v>0</v>
      </c>
      <c r="X62" s="27" t="n">
        <v>1.2</v>
      </c>
      <c r="Y62" s="9" t="n">
        <f aca="false">IF($A62="","",IF(ISNUMBER(X62),X62,IF(COUNTIFS(Despiece!$A$6:$A$705,$A62,Despiece!$E$6:$E$705,"Sublimada",Despiece!$F$6:$F$705,"&gt;0")&gt;0,SUMIFS(Despiece!$F$6:$F$705,Despiece!$A$6:$A$705,$A62,Despiece!$E$6:$E$705,"Sublimada")*(1+Parametros!$B$22),IF(COUNTIFS(Despiece!$A$6:$A$705,$A62,Despiece!$E$6:$E$705,"Sublimada")=0,0,""))))</f>
        <v>1.2</v>
      </c>
      <c r="Z62" s="10" t="n">
        <f aca="false">IF($A62="","",IFERROR(IF(ISNUMBER(Q62),IF(Q62=0,0,Q62*INDEX(Telas!$I$6:$I$105,MATCH(K62,Telas!$A$6:$A$105,0))),NA())+IF(ISNUMBER(T62),IF(T62=0,0,T62*INDEX(Telas!$I$6:$I$105,MATCH(L62,Telas!$A$6:$A$105,0))),NA())+IF(ISNUMBER(W62),IF(W62=0,0,W62*INDEX(Telas!$I$6:$I$105,MATCH(IF(M62="",K62,M62),Telas!$A$6:$A$105,0))),NA()),""))</f>
        <v>348.008</v>
      </c>
      <c r="AA62" s="10" t="n">
        <f aca="false">IF($A62="","",IF(ISNUMBER(Y62),Y62*Parametros!$B$19,""))</f>
        <v>0</v>
      </c>
      <c r="AB62" s="10" t="n">
        <f aca="false">IF(OR($A62="",F62=""),"",IFERROR(INDEX(Confeccion!$B$6:$B$125,MATCH(F62,Confeccion!$A$6:$A$125,0)),""))</f>
        <v>1800</v>
      </c>
      <c r="AC62" s="10" t="n">
        <f aca="false">IF($A62="","",IFERROR(N(H62)*IF(G62="",0,INDEX(Avios!$C$6:$C$65,MATCH(G62,Avios!$A$6:$A$65,0)))+N(J62)*IF(I62="",0,INDEX(Avios!$C$6:$C$65,MATCH(I62,Avios!$A$6:$A$65,0))),""))</f>
        <v>0</v>
      </c>
      <c r="AD62" s="11" t="n">
        <f aca="false">IF($A62="","",IFERROR(Z62+AA62+AB62+AC62,""))</f>
        <v>2148.008</v>
      </c>
      <c r="AE62" s="10" t="n">
        <f aca="false">IF(ISNUMBER(AD62),AD62*Parametros!$B$12,"")</f>
        <v>5163.48076923077</v>
      </c>
      <c r="AF62" s="29" t="n">
        <f aca="false">IF(AND(ISNUMBER(Q62),K62&lt;&gt;""),IFERROR(1/(Q62*INDEX(Telas!$G$6:$G$105,MATCH(K62,Telas!$A$6:$A$105,0))),""),"")</f>
        <v>12.1951219512195</v>
      </c>
      <c r="AG62" s="0" t="str">
        <f aca="false">IF($A62="","",IF(ISNUMBER(AD62),IF(AND(N(Y62)&gt;0,N(Parametros!$B$19)=0),"Lista, pero sin costo de impresión (Parametros)","Lista"),IF(Q62="","Consumo tela principal (Despiece o Mediciones). ","")&amp;IF(COUNTIFS(Mediciones!$C$6:$C$305,$A62,Mediciones!$K$6:$K$305,"")&gt;0,"Pesar 1 m de la tela medida (Telas, kg por metro). ","")&amp;IF(T62="","Consumo Tela 2. ","")&amp;IF(W62="","Consumo Tela 3. ","")&amp;IF(K62="","Elegir tela principal. ",IF(ISERROR(INDEX(Telas!$I$6:$I$105,MATCH(K62,Telas!$A$6:$A$105,0))*1),"Precio o peso por metro de "&amp;K62&amp;". ",""))&amp;IF(AND(N(T62)&gt;0,L62=""),"Elegir Tela 2. ",IF(AND(N(T62)&gt;0,ISERROR(INDEX(Telas!$I$6:$I$105,MATCH(L62,Telas!$A$6:$A$105,0))*1)),"Precio o peso por metro de "&amp;L62&amp;". ",""))&amp;IF(Y62="","Metros impresos. ","")&amp;IF(F62="","Tipo de confección. ",IF(AB62="","Precio de confección. ",""))))</f>
        <v>Lista, pero sin costo de impresión (Parametros)</v>
      </c>
      <c r="AH62" s="27" t="s">
        <v>209</v>
      </c>
    </row>
    <row r="63" customFormat="false" ht="15" hidden="false" customHeight="false" outlineLevel="0" collapsed="false">
      <c r="A63" s="27" t="s">
        <v>210</v>
      </c>
      <c r="B63" s="27" t="s">
        <v>211</v>
      </c>
      <c r="C63" s="27" t="s">
        <v>212</v>
      </c>
      <c r="D63" s="27" t="s">
        <v>213</v>
      </c>
      <c r="E63" s="27" t="s">
        <v>97</v>
      </c>
      <c r="F63" s="27" t="s">
        <v>213</v>
      </c>
      <c r="G63" s="8"/>
      <c r="H63" s="27"/>
      <c r="I63" s="8"/>
      <c r="J63" s="27"/>
      <c r="K63" s="8" t="s">
        <v>214</v>
      </c>
      <c r="L63" s="8"/>
      <c r="M63" s="8"/>
      <c r="N63" s="8"/>
      <c r="O63" s="9" t="str">
        <f aca="false">IF($A63="","",IF(COUNTIFS(Despiece!$A$6:$A$705,$A63,Despiece!$D$6:$D$705,"Tela principal",Despiece!$F$6:$F$705,"&gt;0")=0,"",SUMIFS(Despiece!$F$6:$F$705,Despiece!$A$6:$A$705,$A63,Despiece!$D$6:$D$705,"Tela principal")))</f>
        <v/>
      </c>
      <c r="P63" s="9" t="str">
        <f aca="false">IF($A63="","",IFERROR(AVERAGEIFS(Mediciones!$K$6:$K$305,Mediciones!$C$6:$C$305,$A63,Mediciones!$D$6:$D$305,"Tela principal"),""))</f>
        <v/>
      </c>
      <c r="Q63" s="28" t="str">
        <f aca="false">IF($A63="","",IF(N(IF($N63="Despiece",IF(ISNUMBER(O63),O63*(1+Parametros!$B$22),IF(COUNTIFS(Despiece!$A$6:$A$705,$A63,Despiece!$D$6:$D$705,"Tela principal")&gt;0,"",0)),IF($N63="Medición real",IF(ISNUMBER(P63),P63,IF(COUNTIFS(Mediciones!$C$6:$C$305,$A63,Mediciones!$D$6:$D$305,"Tela principal")&gt;0,"",0)),IF(ISNUMBER(P63),P63,IF(ISNUMBER(O63),O63*(1+Parametros!$B$22),IF(OR(COUNTIFS(Despiece!$A$6:$A$705,$A63,Despiece!$D$6:$D$705,"Tela principal")&gt;0,COUNTIFS(Mediciones!$C$6:$C$305,$A63,Mediciones!$D$6:$D$305,"Tela principal")&gt;0),"",0))))))=0,"",IF($N63="Despiece",IF(ISNUMBER(O63),O63*(1+Parametros!$B$22),IF(COUNTIFS(Despiece!$A$6:$A$705,$A63,Despiece!$D$6:$D$705,"Tela principal")&gt;0,"",0)),IF($N63="Medición real",IF(ISNUMBER(P63),P63,IF(COUNTIFS(Mediciones!$C$6:$C$305,$A63,Mediciones!$D$6:$D$305,"Tela principal")&gt;0,"",0)),IF(ISNUMBER(P63),P63,IF(ISNUMBER(O63),O63*(1+Parametros!$B$22),IF(OR(COUNTIFS(Despiece!$A$6:$A$705,$A63,Despiece!$D$6:$D$705,"Tela principal")&gt;0,COUNTIFS(Mediciones!$C$6:$C$305,$A63,Mediciones!$D$6:$D$305,"Tela principal")&gt;0),"",0)))))))</f>
        <v/>
      </c>
      <c r="R63" s="9" t="str">
        <f aca="false">IF($A63="","",IF(COUNTIFS(Despiece!$A$6:$A$705,$A63,Despiece!$D$6:$D$705,"Tela 2",Despiece!$F$6:$F$705,"&gt;0")=0,"",SUMIFS(Despiece!$F$6:$F$705,Despiece!$A$6:$A$705,$A63,Despiece!$D$6:$D$705,"Tela 2")))</f>
        <v/>
      </c>
      <c r="S63" s="9" t="str">
        <f aca="false">IF($A63="","",IFERROR(AVERAGEIFS(Mediciones!$K$6:$K$305,Mediciones!$C$6:$C$305,$A63,Mediciones!$D$6:$D$305,"Tela 2"),""))</f>
        <v/>
      </c>
      <c r="T63" s="28" t="n">
        <f aca="false">IF($A63="","",IF($N63="Despiece",IF(ISNUMBER(R63),R63*(1+Parametros!$B$22),IF(COUNTIFS(Despiece!$A$6:$A$705,$A63,Despiece!$D$6:$D$705,"Tela 2")&gt;0,"",0)),IF($N63="Medición real",IF(ISNUMBER(S63),S63,IF(COUNTIFS(Mediciones!$C$6:$C$305,$A63,Mediciones!$D$6:$D$305,"Tela 2")&gt;0,"",0)),IF(ISNUMBER(S63),S63,IF(ISNUMBER(R63),R63*(1+Parametros!$B$22),IF(OR(COUNTIFS(Despiece!$A$6:$A$705,$A63,Despiece!$D$6:$D$705,"Tela 2")&gt;0,COUNTIFS(Mediciones!$C$6:$C$305,$A63,Mediciones!$D$6:$D$305,"Tela 2")&gt;0),"",0))))))</f>
        <v>0</v>
      </c>
      <c r="U63" s="9" t="str">
        <f aca="false">IF($A63="","",IF(COUNTIFS(Despiece!$A$6:$A$705,$A63,Despiece!$D$6:$D$705,"Tela 3",Despiece!$F$6:$F$705,"&gt;0")=0,"",SUMIFS(Despiece!$F$6:$F$705,Despiece!$A$6:$A$705,$A63,Despiece!$D$6:$D$705,"Tela 3")))</f>
        <v/>
      </c>
      <c r="V63" s="9" t="str">
        <f aca="false">IF($A63="","",IFERROR(AVERAGEIFS(Mediciones!$K$6:$K$305,Mediciones!$C$6:$C$305,$A63,Mediciones!$D$6:$D$305,"Tela 3"),""))</f>
        <v/>
      </c>
      <c r="W63" s="28" t="n">
        <f aca="false">IF($A63="","",IF($N63="Despiece",IF(ISNUMBER(U63),U63*(1+Parametros!$B$22),IF(COUNTIFS(Despiece!$A$6:$A$705,$A63,Despiece!$D$6:$D$705,"Tela 3")&gt;0,"",0)),IF($N63="Medición real",IF(ISNUMBER(V63),V63,IF(COUNTIFS(Mediciones!$C$6:$C$305,$A63,Mediciones!$D$6:$D$305,"Tela 3")&gt;0,"",0)),IF(ISNUMBER(V63),V63,IF(ISNUMBER(U63),U63*(1+Parametros!$B$22),IF(OR(COUNTIFS(Despiece!$A$6:$A$705,$A63,Despiece!$D$6:$D$705,"Tela 3")&gt;0,COUNTIFS(Mediciones!$C$6:$C$305,$A63,Mediciones!$D$6:$D$305,"Tela 3")&gt;0),"",0))))))</f>
        <v>0</v>
      </c>
      <c r="X63" s="27" t="n">
        <v>0</v>
      </c>
      <c r="Y63" s="9" t="n">
        <f aca="false">IF($A63="","",IF(ISNUMBER(X63),X63,IF(COUNTIFS(Despiece!$A$6:$A$705,$A63,Despiece!$E$6:$E$705,"Sublimada",Despiece!$F$6:$F$705,"&gt;0")&gt;0,SUMIFS(Despiece!$F$6:$F$705,Despiece!$A$6:$A$705,$A63,Despiece!$E$6:$E$705,"Sublimada")*(1+Parametros!$B$22),IF(COUNTIFS(Despiece!$A$6:$A$705,$A63,Despiece!$E$6:$E$705,"Sublimada")=0,0,""))))</f>
        <v>0</v>
      </c>
      <c r="Z63" s="10" t="str">
        <f aca="false">IF($A63="","",IFERROR(IF(ISNUMBER(Q63),IF(Q63=0,0,Q63*INDEX(Telas!$I$6:$I$105,MATCH(K63,Telas!$A$6:$A$105,0))),NA())+IF(ISNUMBER(T63),IF(T63=0,0,T63*INDEX(Telas!$I$6:$I$105,MATCH(L63,Telas!$A$6:$A$105,0))),NA())+IF(ISNUMBER(W63),IF(W63=0,0,W63*INDEX(Telas!$I$6:$I$105,MATCH(IF(M63="",K63,M63),Telas!$A$6:$A$105,0))),NA()),""))</f>
        <v/>
      </c>
      <c r="AA63" s="10" t="n">
        <f aca="false">IF($A63="","",IF(ISNUMBER(Y63),Y63*Parametros!$B$19,""))</f>
        <v>0</v>
      </c>
      <c r="AB63" s="10" t="n">
        <f aca="false">IF(OR($A63="",F63=""),"",IFERROR(INDEX(Confeccion!$B$6:$B$125,MATCH(F63,Confeccion!$A$6:$A$125,0)),""))</f>
        <v>1200</v>
      </c>
      <c r="AC63" s="10" t="n">
        <f aca="false">IF($A63="","",IFERROR(N(H63)*IF(G63="",0,INDEX(Avios!$C$6:$C$65,MATCH(G63,Avios!$A$6:$A$65,0)))+N(J63)*IF(I63="",0,INDEX(Avios!$C$6:$C$65,MATCH(I63,Avios!$A$6:$A$65,0))),""))</f>
        <v>0</v>
      </c>
      <c r="AD63" s="11" t="str">
        <f aca="false">IF($A63="","",IFERROR(Z63+AA63+AB63+AC63,""))</f>
        <v/>
      </c>
      <c r="AE63" s="10" t="str">
        <f aca="false">IF(ISNUMBER(AD63),AD63*Parametros!$B$12,"")</f>
        <v/>
      </c>
      <c r="AF63" s="29" t="str">
        <f aca="false">IF(AND(ISNUMBER(Q63),K63&lt;&gt;""),IFERROR(1/(Q63*INDEX(Telas!$G$6:$G$105,MATCH(K63,Telas!$A$6:$A$105,0))),""),"")</f>
        <v/>
      </c>
      <c r="AG63" s="0" t="str">
        <f aca="false">IF($A63="","",IF(ISNUMBER(AD63),IF(AND(N(Y63)&gt;0,N(Parametros!$B$19)=0),"Lista, pero sin costo de impresión (Parametros)","Lista"),IF(Q63="","Consumo tela principal (Despiece o Mediciones). ","")&amp;IF(COUNTIFS(Mediciones!$C$6:$C$305,$A63,Mediciones!$K$6:$K$305,"")&gt;0,"Pesar 1 m de la tela medida (Telas, kg por metro). ","")&amp;IF(T63="","Consumo Tela 2. ","")&amp;IF(W63="","Consumo Tela 3. ","")&amp;IF(K63="","Elegir tela principal. ",IF(ISERROR(INDEX(Telas!$I$6:$I$105,MATCH(K63,Telas!$A$6:$A$105,0))*1),"Precio o peso por metro de "&amp;K63&amp;". ",""))&amp;IF(AND(N(T63)&gt;0,L63=""),"Elegir Tela 2. ",IF(AND(N(T63)&gt;0,ISERROR(INDEX(Telas!$I$6:$I$105,MATCH(L63,Telas!$A$6:$A$105,0))*1)),"Precio o peso por metro de "&amp;L63&amp;". ",""))&amp;IF(Y63="","Metros impresos. ","")&amp;IF(F63="","Tipo de confección. ",IF(AB63="","Precio de confección. ",""))))</f>
        <v>Consumo tela principal (Despiece o Mediciones). Pesar 1 m de la tela medida (Telas, kg por metro). Precio o peso por metro de LYCRA. </v>
      </c>
      <c r="AH63" s="27" t="s">
        <v>215</v>
      </c>
    </row>
    <row r="64" customFormat="false" ht="15" hidden="false" customHeight="false" outlineLevel="0" collapsed="false">
      <c r="A64" s="27"/>
      <c r="B64" s="27"/>
      <c r="C64" s="27"/>
      <c r="D64" s="27"/>
      <c r="E64" s="27"/>
      <c r="F64" s="27"/>
      <c r="G64" s="8"/>
      <c r="H64" s="27"/>
      <c r="I64" s="8"/>
      <c r="J64" s="27"/>
      <c r="K64" s="8"/>
      <c r="L64" s="8"/>
      <c r="M64" s="8"/>
      <c r="N64" s="8"/>
      <c r="O64" s="9" t="str">
        <f aca="false">IF($A64="","",IF(COUNTIFS(Despiece!$A$6:$A$705,$A64,Despiece!$D$6:$D$705,"Tela principal",Despiece!$F$6:$F$705,"&gt;0")=0,"",SUMIFS(Despiece!$F$6:$F$705,Despiece!$A$6:$A$705,$A64,Despiece!$D$6:$D$705,"Tela principal")))</f>
        <v/>
      </c>
      <c r="P64" s="9" t="str">
        <f aca="false">IF($A64="","",IFERROR(AVERAGEIFS(Mediciones!$K$6:$K$305,Mediciones!$C$6:$C$305,$A64,Mediciones!$D$6:$D$305,"Tela principal"),""))</f>
        <v/>
      </c>
      <c r="Q64" s="28" t="str">
        <f aca="false">IF($A64="","",IF(N(IF($N64="Despiece",IF(ISNUMBER(O64),O64*(1+Parametros!$B$22),IF(COUNTIFS(Despiece!$A$6:$A$705,$A64,Despiece!$D$6:$D$705,"Tela principal")&gt;0,"",0)),IF($N64="Medición real",IF(ISNUMBER(P64),P64,IF(COUNTIFS(Mediciones!$C$6:$C$305,$A64,Mediciones!$D$6:$D$305,"Tela principal")&gt;0,"",0)),IF(ISNUMBER(P64),P64,IF(ISNUMBER(O64),O64*(1+Parametros!$B$22),IF(OR(COUNTIFS(Despiece!$A$6:$A$705,$A64,Despiece!$D$6:$D$705,"Tela principal")&gt;0,COUNTIFS(Mediciones!$C$6:$C$305,$A64,Mediciones!$D$6:$D$305,"Tela principal")&gt;0),"",0))))))=0,"",IF($N64="Despiece",IF(ISNUMBER(O64),O64*(1+Parametros!$B$22),IF(COUNTIFS(Despiece!$A$6:$A$705,$A64,Despiece!$D$6:$D$705,"Tela principal")&gt;0,"",0)),IF($N64="Medición real",IF(ISNUMBER(P64),P64,IF(COUNTIFS(Mediciones!$C$6:$C$305,$A64,Mediciones!$D$6:$D$305,"Tela principal")&gt;0,"",0)),IF(ISNUMBER(P64),P64,IF(ISNUMBER(O64),O64*(1+Parametros!$B$22),IF(OR(COUNTIFS(Despiece!$A$6:$A$705,$A64,Despiece!$D$6:$D$705,"Tela principal")&gt;0,COUNTIFS(Mediciones!$C$6:$C$305,$A64,Mediciones!$D$6:$D$305,"Tela principal")&gt;0),"",0)))))))</f>
        <v/>
      </c>
      <c r="R64" s="9" t="str">
        <f aca="false">IF($A64="","",IF(COUNTIFS(Despiece!$A$6:$A$705,$A64,Despiece!$D$6:$D$705,"Tela 2",Despiece!$F$6:$F$705,"&gt;0")=0,"",SUMIFS(Despiece!$F$6:$F$705,Despiece!$A$6:$A$705,$A64,Despiece!$D$6:$D$705,"Tela 2")))</f>
        <v/>
      </c>
      <c r="S64" s="9" t="str">
        <f aca="false">IF($A64="","",IFERROR(AVERAGEIFS(Mediciones!$K$6:$K$305,Mediciones!$C$6:$C$305,$A64,Mediciones!$D$6:$D$305,"Tela 2"),""))</f>
        <v/>
      </c>
      <c r="T64" s="28" t="str">
        <f aca="false">IF($A64="","",IF($N64="Despiece",IF(ISNUMBER(R64),R64*(1+Parametros!$B$22),IF(COUNTIFS(Despiece!$A$6:$A$705,$A64,Despiece!$D$6:$D$705,"Tela 2")&gt;0,"",0)),IF($N64="Medición real",IF(ISNUMBER(S64),S64,IF(COUNTIFS(Mediciones!$C$6:$C$305,$A64,Mediciones!$D$6:$D$305,"Tela 2")&gt;0,"",0)),IF(ISNUMBER(S64),S64,IF(ISNUMBER(R64),R64*(1+Parametros!$B$22),IF(OR(COUNTIFS(Despiece!$A$6:$A$705,$A64,Despiece!$D$6:$D$705,"Tela 2")&gt;0,COUNTIFS(Mediciones!$C$6:$C$305,$A64,Mediciones!$D$6:$D$305,"Tela 2")&gt;0),"",0))))))</f>
        <v/>
      </c>
      <c r="U64" s="9" t="str">
        <f aca="false">IF($A64="","",IF(COUNTIFS(Despiece!$A$6:$A$705,$A64,Despiece!$D$6:$D$705,"Tela 3",Despiece!$F$6:$F$705,"&gt;0")=0,"",SUMIFS(Despiece!$F$6:$F$705,Despiece!$A$6:$A$705,$A64,Despiece!$D$6:$D$705,"Tela 3")))</f>
        <v/>
      </c>
      <c r="V64" s="9" t="str">
        <f aca="false">IF($A64="","",IFERROR(AVERAGEIFS(Mediciones!$K$6:$K$305,Mediciones!$C$6:$C$305,$A64,Mediciones!$D$6:$D$305,"Tela 3"),""))</f>
        <v/>
      </c>
      <c r="W64" s="28" t="str">
        <f aca="false">IF($A64="","",IF($N64="Despiece",IF(ISNUMBER(U64),U64*(1+Parametros!$B$22),IF(COUNTIFS(Despiece!$A$6:$A$705,$A64,Despiece!$D$6:$D$705,"Tela 3")&gt;0,"",0)),IF($N64="Medición real",IF(ISNUMBER(V64),V64,IF(COUNTIFS(Mediciones!$C$6:$C$305,$A64,Mediciones!$D$6:$D$305,"Tela 3")&gt;0,"",0)),IF(ISNUMBER(V64),V64,IF(ISNUMBER(U64),U64*(1+Parametros!$B$22),IF(OR(COUNTIFS(Despiece!$A$6:$A$705,$A64,Despiece!$D$6:$D$705,"Tela 3")&gt;0,COUNTIFS(Mediciones!$C$6:$C$305,$A64,Mediciones!$D$6:$D$305,"Tela 3")&gt;0),"",0))))))</f>
        <v/>
      </c>
      <c r="X64" s="27"/>
      <c r="Y64" s="9" t="str">
        <f aca="false">IF($A64="","",IF(ISNUMBER(X64),X64,IF(COUNTIFS(Despiece!$A$6:$A$705,$A64,Despiece!$E$6:$E$705,"Sublimada",Despiece!$F$6:$F$705,"&gt;0")&gt;0,SUMIFS(Despiece!$F$6:$F$705,Despiece!$A$6:$A$705,$A64,Despiece!$E$6:$E$705,"Sublimada")*(1+Parametros!$B$22),IF(COUNTIFS(Despiece!$A$6:$A$705,$A64,Despiece!$E$6:$E$705,"Sublimada")=0,0,""))))</f>
        <v/>
      </c>
      <c r="Z64" s="10" t="str">
        <f aca="false">IF($A64="","",IFERROR(IF(ISNUMBER(Q64),IF(Q64=0,0,Q64*INDEX(Telas!$I$6:$I$105,MATCH(K64,Telas!$A$6:$A$105,0))),NA())+IF(ISNUMBER(T64),IF(T64=0,0,T64*INDEX(Telas!$I$6:$I$105,MATCH(L64,Telas!$A$6:$A$105,0))),NA())+IF(ISNUMBER(W64),IF(W64=0,0,W64*INDEX(Telas!$I$6:$I$105,MATCH(IF(M64="",K64,M64),Telas!$A$6:$A$105,0))),NA()),""))</f>
        <v/>
      </c>
      <c r="AA64" s="10" t="str">
        <f aca="false">IF($A64="","",IF(ISNUMBER(Y64),Y64*Parametros!$B$19,""))</f>
        <v/>
      </c>
      <c r="AB64" s="10" t="str">
        <f aca="false">IF(OR($A64="",F64=""),"",IFERROR(INDEX(Confeccion!$B$6:$B$125,MATCH(F64,Confeccion!$A$6:$A$125,0)),""))</f>
        <v/>
      </c>
      <c r="AC64" s="10" t="str">
        <f aca="false">IF($A64="","",IFERROR(N(H64)*IF(G64="",0,INDEX(Avios!$C$6:$C$65,MATCH(G64,Avios!$A$6:$A$65,0)))+N(J64)*IF(I64="",0,INDEX(Avios!$C$6:$C$65,MATCH(I64,Avios!$A$6:$A$65,0))),""))</f>
        <v/>
      </c>
      <c r="AD64" s="11" t="str">
        <f aca="false">IF($A64="","",IFERROR(Z64+AA64+AB64+AC64,""))</f>
        <v/>
      </c>
      <c r="AE64" s="10" t="str">
        <f aca="false">IF(ISNUMBER(AD64),AD64*Parametros!$B$12,"")</f>
        <v/>
      </c>
      <c r="AF64" s="29" t="str">
        <f aca="false">IF(AND(ISNUMBER(Q64),K64&lt;&gt;""),IFERROR(1/(Q64*INDEX(Telas!$G$6:$G$105,MATCH(K64,Telas!$A$6:$A$105,0))),""),"")</f>
        <v/>
      </c>
      <c r="AG64" s="0" t="str">
        <f aca="false">IF($A64="","",IF(ISNUMBER(AD64),IF(AND(N(Y64)&gt;0,N(Parametros!$B$19)=0),"Lista, pero sin costo de impresión (Parametros)","Lista"),IF(Q64="","Consumo tela principal (Despiece o Mediciones). ","")&amp;IF(COUNTIFS(Mediciones!$C$6:$C$305,$A64,Mediciones!$K$6:$K$305,"")&gt;0,"Pesar 1 m de la tela medida (Telas, kg por metro). ","")&amp;IF(T64="","Consumo Tela 2. ","")&amp;IF(W64="","Consumo Tela 3. ","")&amp;IF(K64="","Elegir tela principal. ",IF(ISERROR(INDEX(Telas!$I$6:$I$105,MATCH(K64,Telas!$A$6:$A$105,0))*1),"Precio o peso por metro de "&amp;K64&amp;". ",""))&amp;IF(AND(N(T64)&gt;0,L64=""),"Elegir Tela 2. ",IF(AND(N(T64)&gt;0,ISERROR(INDEX(Telas!$I$6:$I$105,MATCH(L64,Telas!$A$6:$A$105,0))*1)),"Precio o peso por metro de "&amp;L64&amp;". ",""))&amp;IF(Y64="","Metros impresos. ","")&amp;IF(F64="","Tipo de confección. ",IF(AB64="","Precio de confección. ",""))))</f>
        <v/>
      </c>
      <c r="AH64" s="27"/>
    </row>
    <row r="65" customFormat="false" ht="15" hidden="false" customHeight="false" outlineLevel="0" collapsed="false">
      <c r="A65" s="27"/>
      <c r="B65" s="27"/>
      <c r="C65" s="27"/>
      <c r="D65" s="27"/>
      <c r="E65" s="27"/>
      <c r="F65" s="27"/>
      <c r="G65" s="8"/>
      <c r="H65" s="27"/>
      <c r="I65" s="8"/>
      <c r="J65" s="27"/>
      <c r="K65" s="8"/>
      <c r="L65" s="8"/>
      <c r="M65" s="8"/>
      <c r="N65" s="8"/>
      <c r="O65" s="9" t="str">
        <f aca="false">IF($A65="","",IF(COUNTIFS(Despiece!$A$6:$A$705,$A65,Despiece!$D$6:$D$705,"Tela principal",Despiece!$F$6:$F$705,"&gt;0")=0,"",SUMIFS(Despiece!$F$6:$F$705,Despiece!$A$6:$A$705,$A65,Despiece!$D$6:$D$705,"Tela principal")))</f>
        <v/>
      </c>
      <c r="P65" s="9" t="str">
        <f aca="false">IF($A65="","",IFERROR(AVERAGEIFS(Mediciones!$K$6:$K$305,Mediciones!$C$6:$C$305,$A65,Mediciones!$D$6:$D$305,"Tela principal"),""))</f>
        <v/>
      </c>
      <c r="Q65" s="28" t="str">
        <f aca="false">IF($A65="","",IF(N(IF($N65="Despiece",IF(ISNUMBER(O65),O65*(1+Parametros!$B$22),IF(COUNTIFS(Despiece!$A$6:$A$705,$A65,Despiece!$D$6:$D$705,"Tela principal")&gt;0,"",0)),IF($N65="Medición real",IF(ISNUMBER(P65),P65,IF(COUNTIFS(Mediciones!$C$6:$C$305,$A65,Mediciones!$D$6:$D$305,"Tela principal")&gt;0,"",0)),IF(ISNUMBER(P65),P65,IF(ISNUMBER(O65),O65*(1+Parametros!$B$22),IF(OR(COUNTIFS(Despiece!$A$6:$A$705,$A65,Despiece!$D$6:$D$705,"Tela principal")&gt;0,COUNTIFS(Mediciones!$C$6:$C$305,$A65,Mediciones!$D$6:$D$305,"Tela principal")&gt;0),"",0))))))=0,"",IF($N65="Despiece",IF(ISNUMBER(O65),O65*(1+Parametros!$B$22),IF(COUNTIFS(Despiece!$A$6:$A$705,$A65,Despiece!$D$6:$D$705,"Tela principal")&gt;0,"",0)),IF($N65="Medición real",IF(ISNUMBER(P65),P65,IF(COUNTIFS(Mediciones!$C$6:$C$305,$A65,Mediciones!$D$6:$D$305,"Tela principal")&gt;0,"",0)),IF(ISNUMBER(P65),P65,IF(ISNUMBER(O65),O65*(1+Parametros!$B$22),IF(OR(COUNTIFS(Despiece!$A$6:$A$705,$A65,Despiece!$D$6:$D$705,"Tela principal")&gt;0,COUNTIFS(Mediciones!$C$6:$C$305,$A65,Mediciones!$D$6:$D$305,"Tela principal")&gt;0),"",0)))))))</f>
        <v/>
      </c>
      <c r="R65" s="9" t="str">
        <f aca="false">IF($A65="","",IF(COUNTIFS(Despiece!$A$6:$A$705,$A65,Despiece!$D$6:$D$705,"Tela 2",Despiece!$F$6:$F$705,"&gt;0")=0,"",SUMIFS(Despiece!$F$6:$F$705,Despiece!$A$6:$A$705,$A65,Despiece!$D$6:$D$705,"Tela 2")))</f>
        <v/>
      </c>
      <c r="S65" s="9" t="str">
        <f aca="false">IF($A65="","",IFERROR(AVERAGEIFS(Mediciones!$K$6:$K$305,Mediciones!$C$6:$C$305,$A65,Mediciones!$D$6:$D$305,"Tela 2"),""))</f>
        <v/>
      </c>
      <c r="T65" s="28" t="str">
        <f aca="false">IF($A65="","",IF($N65="Despiece",IF(ISNUMBER(R65),R65*(1+Parametros!$B$22),IF(COUNTIFS(Despiece!$A$6:$A$705,$A65,Despiece!$D$6:$D$705,"Tela 2")&gt;0,"",0)),IF($N65="Medición real",IF(ISNUMBER(S65),S65,IF(COUNTIFS(Mediciones!$C$6:$C$305,$A65,Mediciones!$D$6:$D$305,"Tela 2")&gt;0,"",0)),IF(ISNUMBER(S65),S65,IF(ISNUMBER(R65),R65*(1+Parametros!$B$22),IF(OR(COUNTIFS(Despiece!$A$6:$A$705,$A65,Despiece!$D$6:$D$705,"Tela 2")&gt;0,COUNTIFS(Mediciones!$C$6:$C$305,$A65,Mediciones!$D$6:$D$305,"Tela 2")&gt;0),"",0))))))</f>
        <v/>
      </c>
      <c r="U65" s="9" t="str">
        <f aca="false">IF($A65="","",IF(COUNTIFS(Despiece!$A$6:$A$705,$A65,Despiece!$D$6:$D$705,"Tela 3",Despiece!$F$6:$F$705,"&gt;0")=0,"",SUMIFS(Despiece!$F$6:$F$705,Despiece!$A$6:$A$705,$A65,Despiece!$D$6:$D$705,"Tela 3")))</f>
        <v/>
      </c>
      <c r="V65" s="9" t="str">
        <f aca="false">IF($A65="","",IFERROR(AVERAGEIFS(Mediciones!$K$6:$K$305,Mediciones!$C$6:$C$305,$A65,Mediciones!$D$6:$D$305,"Tela 3"),""))</f>
        <v/>
      </c>
      <c r="W65" s="28" t="str">
        <f aca="false">IF($A65="","",IF($N65="Despiece",IF(ISNUMBER(U65),U65*(1+Parametros!$B$22),IF(COUNTIFS(Despiece!$A$6:$A$705,$A65,Despiece!$D$6:$D$705,"Tela 3")&gt;0,"",0)),IF($N65="Medición real",IF(ISNUMBER(V65),V65,IF(COUNTIFS(Mediciones!$C$6:$C$305,$A65,Mediciones!$D$6:$D$305,"Tela 3")&gt;0,"",0)),IF(ISNUMBER(V65),V65,IF(ISNUMBER(U65),U65*(1+Parametros!$B$22),IF(OR(COUNTIFS(Despiece!$A$6:$A$705,$A65,Despiece!$D$6:$D$705,"Tela 3")&gt;0,COUNTIFS(Mediciones!$C$6:$C$305,$A65,Mediciones!$D$6:$D$305,"Tela 3")&gt;0),"",0))))))</f>
        <v/>
      </c>
      <c r="X65" s="27"/>
      <c r="Y65" s="9" t="str">
        <f aca="false">IF($A65="","",IF(ISNUMBER(X65),X65,IF(COUNTIFS(Despiece!$A$6:$A$705,$A65,Despiece!$E$6:$E$705,"Sublimada",Despiece!$F$6:$F$705,"&gt;0")&gt;0,SUMIFS(Despiece!$F$6:$F$705,Despiece!$A$6:$A$705,$A65,Despiece!$E$6:$E$705,"Sublimada")*(1+Parametros!$B$22),IF(COUNTIFS(Despiece!$A$6:$A$705,$A65,Despiece!$E$6:$E$705,"Sublimada")=0,0,""))))</f>
        <v/>
      </c>
      <c r="Z65" s="10" t="str">
        <f aca="false">IF($A65="","",IFERROR(IF(ISNUMBER(Q65),IF(Q65=0,0,Q65*INDEX(Telas!$I$6:$I$105,MATCH(K65,Telas!$A$6:$A$105,0))),NA())+IF(ISNUMBER(T65),IF(T65=0,0,T65*INDEX(Telas!$I$6:$I$105,MATCH(L65,Telas!$A$6:$A$105,0))),NA())+IF(ISNUMBER(W65),IF(W65=0,0,W65*INDEX(Telas!$I$6:$I$105,MATCH(IF(M65="",K65,M65),Telas!$A$6:$A$105,0))),NA()),""))</f>
        <v/>
      </c>
      <c r="AA65" s="10" t="str">
        <f aca="false">IF($A65="","",IF(ISNUMBER(Y65),Y65*Parametros!$B$19,""))</f>
        <v/>
      </c>
      <c r="AB65" s="10" t="str">
        <f aca="false">IF(OR($A65="",F65=""),"",IFERROR(INDEX(Confeccion!$B$6:$B$125,MATCH(F65,Confeccion!$A$6:$A$125,0)),""))</f>
        <v/>
      </c>
      <c r="AC65" s="10" t="str">
        <f aca="false">IF($A65="","",IFERROR(N(H65)*IF(G65="",0,INDEX(Avios!$C$6:$C$65,MATCH(G65,Avios!$A$6:$A$65,0)))+N(J65)*IF(I65="",0,INDEX(Avios!$C$6:$C$65,MATCH(I65,Avios!$A$6:$A$65,0))),""))</f>
        <v/>
      </c>
      <c r="AD65" s="11" t="str">
        <f aca="false">IF($A65="","",IFERROR(Z65+AA65+AB65+AC65,""))</f>
        <v/>
      </c>
      <c r="AE65" s="10" t="str">
        <f aca="false">IF(ISNUMBER(AD65),AD65*Parametros!$B$12,"")</f>
        <v/>
      </c>
      <c r="AF65" s="29" t="str">
        <f aca="false">IF(AND(ISNUMBER(Q65),K65&lt;&gt;""),IFERROR(1/(Q65*INDEX(Telas!$G$6:$G$105,MATCH(K65,Telas!$A$6:$A$105,0))),""),"")</f>
        <v/>
      </c>
      <c r="AG65" s="0" t="str">
        <f aca="false">IF($A65="","",IF(ISNUMBER(AD65),IF(AND(N(Y65)&gt;0,N(Parametros!$B$19)=0),"Lista, pero sin costo de impresión (Parametros)","Lista"),IF(Q65="","Consumo tela principal (Despiece o Mediciones). ","")&amp;IF(COUNTIFS(Mediciones!$C$6:$C$305,$A65,Mediciones!$K$6:$K$305,"")&gt;0,"Pesar 1 m de la tela medida (Telas, kg por metro). ","")&amp;IF(T65="","Consumo Tela 2. ","")&amp;IF(W65="","Consumo Tela 3. ","")&amp;IF(K65="","Elegir tela principal. ",IF(ISERROR(INDEX(Telas!$I$6:$I$105,MATCH(K65,Telas!$A$6:$A$105,0))*1),"Precio o peso por metro de "&amp;K65&amp;". ",""))&amp;IF(AND(N(T65)&gt;0,L65=""),"Elegir Tela 2. ",IF(AND(N(T65)&gt;0,ISERROR(INDEX(Telas!$I$6:$I$105,MATCH(L65,Telas!$A$6:$A$105,0))*1)),"Precio o peso por metro de "&amp;L65&amp;". ",""))&amp;IF(Y65="","Metros impresos. ","")&amp;IF(F65="","Tipo de confección. ",IF(AB65="","Precio de confección. ",""))))</f>
        <v/>
      </c>
      <c r="AH65" s="27"/>
    </row>
    <row r="66" customFormat="false" ht="15" hidden="false" customHeight="false" outlineLevel="0" collapsed="false">
      <c r="A66" s="27"/>
      <c r="B66" s="27"/>
      <c r="C66" s="27"/>
      <c r="D66" s="27"/>
      <c r="E66" s="27"/>
      <c r="F66" s="27"/>
      <c r="G66" s="8"/>
      <c r="H66" s="27"/>
      <c r="I66" s="8"/>
      <c r="J66" s="27"/>
      <c r="K66" s="8"/>
      <c r="L66" s="8"/>
      <c r="M66" s="8"/>
      <c r="N66" s="8"/>
      <c r="O66" s="9" t="str">
        <f aca="false">IF($A66="","",IF(COUNTIFS(Despiece!$A$6:$A$705,$A66,Despiece!$D$6:$D$705,"Tela principal",Despiece!$F$6:$F$705,"&gt;0")=0,"",SUMIFS(Despiece!$F$6:$F$705,Despiece!$A$6:$A$705,$A66,Despiece!$D$6:$D$705,"Tela principal")))</f>
        <v/>
      </c>
      <c r="P66" s="9" t="str">
        <f aca="false">IF($A66="","",IFERROR(AVERAGEIFS(Mediciones!$K$6:$K$305,Mediciones!$C$6:$C$305,$A66,Mediciones!$D$6:$D$305,"Tela principal"),""))</f>
        <v/>
      </c>
      <c r="Q66" s="28" t="str">
        <f aca="false">IF($A66="","",IF(N(IF($N66="Despiece",IF(ISNUMBER(O66),O66*(1+Parametros!$B$22),IF(COUNTIFS(Despiece!$A$6:$A$705,$A66,Despiece!$D$6:$D$705,"Tela principal")&gt;0,"",0)),IF($N66="Medición real",IF(ISNUMBER(P66),P66,IF(COUNTIFS(Mediciones!$C$6:$C$305,$A66,Mediciones!$D$6:$D$305,"Tela principal")&gt;0,"",0)),IF(ISNUMBER(P66),P66,IF(ISNUMBER(O66),O66*(1+Parametros!$B$22),IF(OR(COUNTIFS(Despiece!$A$6:$A$705,$A66,Despiece!$D$6:$D$705,"Tela principal")&gt;0,COUNTIFS(Mediciones!$C$6:$C$305,$A66,Mediciones!$D$6:$D$305,"Tela principal")&gt;0),"",0))))))=0,"",IF($N66="Despiece",IF(ISNUMBER(O66),O66*(1+Parametros!$B$22),IF(COUNTIFS(Despiece!$A$6:$A$705,$A66,Despiece!$D$6:$D$705,"Tela principal")&gt;0,"",0)),IF($N66="Medición real",IF(ISNUMBER(P66),P66,IF(COUNTIFS(Mediciones!$C$6:$C$305,$A66,Mediciones!$D$6:$D$305,"Tela principal")&gt;0,"",0)),IF(ISNUMBER(P66),P66,IF(ISNUMBER(O66),O66*(1+Parametros!$B$22),IF(OR(COUNTIFS(Despiece!$A$6:$A$705,$A66,Despiece!$D$6:$D$705,"Tela principal")&gt;0,COUNTIFS(Mediciones!$C$6:$C$305,$A66,Mediciones!$D$6:$D$305,"Tela principal")&gt;0),"",0)))))))</f>
        <v/>
      </c>
      <c r="R66" s="9" t="str">
        <f aca="false">IF($A66="","",IF(COUNTIFS(Despiece!$A$6:$A$705,$A66,Despiece!$D$6:$D$705,"Tela 2",Despiece!$F$6:$F$705,"&gt;0")=0,"",SUMIFS(Despiece!$F$6:$F$705,Despiece!$A$6:$A$705,$A66,Despiece!$D$6:$D$705,"Tela 2")))</f>
        <v/>
      </c>
      <c r="S66" s="9" t="str">
        <f aca="false">IF($A66="","",IFERROR(AVERAGEIFS(Mediciones!$K$6:$K$305,Mediciones!$C$6:$C$305,$A66,Mediciones!$D$6:$D$305,"Tela 2"),""))</f>
        <v/>
      </c>
      <c r="T66" s="28" t="str">
        <f aca="false">IF($A66="","",IF($N66="Despiece",IF(ISNUMBER(R66),R66*(1+Parametros!$B$22),IF(COUNTIFS(Despiece!$A$6:$A$705,$A66,Despiece!$D$6:$D$705,"Tela 2")&gt;0,"",0)),IF($N66="Medición real",IF(ISNUMBER(S66),S66,IF(COUNTIFS(Mediciones!$C$6:$C$305,$A66,Mediciones!$D$6:$D$305,"Tela 2")&gt;0,"",0)),IF(ISNUMBER(S66),S66,IF(ISNUMBER(R66),R66*(1+Parametros!$B$22),IF(OR(COUNTIFS(Despiece!$A$6:$A$705,$A66,Despiece!$D$6:$D$705,"Tela 2")&gt;0,COUNTIFS(Mediciones!$C$6:$C$305,$A66,Mediciones!$D$6:$D$305,"Tela 2")&gt;0),"",0))))))</f>
        <v/>
      </c>
      <c r="U66" s="9" t="str">
        <f aca="false">IF($A66="","",IF(COUNTIFS(Despiece!$A$6:$A$705,$A66,Despiece!$D$6:$D$705,"Tela 3",Despiece!$F$6:$F$705,"&gt;0")=0,"",SUMIFS(Despiece!$F$6:$F$705,Despiece!$A$6:$A$705,$A66,Despiece!$D$6:$D$705,"Tela 3")))</f>
        <v/>
      </c>
      <c r="V66" s="9" t="str">
        <f aca="false">IF($A66="","",IFERROR(AVERAGEIFS(Mediciones!$K$6:$K$305,Mediciones!$C$6:$C$305,$A66,Mediciones!$D$6:$D$305,"Tela 3"),""))</f>
        <v/>
      </c>
      <c r="W66" s="28" t="str">
        <f aca="false">IF($A66="","",IF($N66="Despiece",IF(ISNUMBER(U66),U66*(1+Parametros!$B$22),IF(COUNTIFS(Despiece!$A$6:$A$705,$A66,Despiece!$D$6:$D$705,"Tela 3")&gt;0,"",0)),IF($N66="Medición real",IF(ISNUMBER(V66),V66,IF(COUNTIFS(Mediciones!$C$6:$C$305,$A66,Mediciones!$D$6:$D$305,"Tela 3")&gt;0,"",0)),IF(ISNUMBER(V66),V66,IF(ISNUMBER(U66),U66*(1+Parametros!$B$22),IF(OR(COUNTIFS(Despiece!$A$6:$A$705,$A66,Despiece!$D$6:$D$705,"Tela 3")&gt;0,COUNTIFS(Mediciones!$C$6:$C$305,$A66,Mediciones!$D$6:$D$305,"Tela 3")&gt;0),"",0))))))</f>
        <v/>
      </c>
      <c r="X66" s="27"/>
      <c r="Y66" s="9" t="str">
        <f aca="false">IF($A66="","",IF(ISNUMBER(X66),X66,IF(COUNTIFS(Despiece!$A$6:$A$705,$A66,Despiece!$E$6:$E$705,"Sublimada",Despiece!$F$6:$F$705,"&gt;0")&gt;0,SUMIFS(Despiece!$F$6:$F$705,Despiece!$A$6:$A$705,$A66,Despiece!$E$6:$E$705,"Sublimada")*(1+Parametros!$B$22),IF(COUNTIFS(Despiece!$A$6:$A$705,$A66,Despiece!$E$6:$E$705,"Sublimada")=0,0,""))))</f>
        <v/>
      </c>
      <c r="Z66" s="10" t="str">
        <f aca="false">IF($A66="","",IFERROR(IF(ISNUMBER(Q66),IF(Q66=0,0,Q66*INDEX(Telas!$I$6:$I$105,MATCH(K66,Telas!$A$6:$A$105,0))),NA())+IF(ISNUMBER(T66),IF(T66=0,0,T66*INDEX(Telas!$I$6:$I$105,MATCH(L66,Telas!$A$6:$A$105,0))),NA())+IF(ISNUMBER(W66),IF(W66=0,0,W66*INDEX(Telas!$I$6:$I$105,MATCH(IF(M66="",K66,M66),Telas!$A$6:$A$105,0))),NA()),""))</f>
        <v/>
      </c>
      <c r="AA66" s="10" t="str">
        <f aca="false">IF($A66="","",IF(ISNUMBER(Y66),Y66*Parametros!$B$19,""))</f>
        <v/>
      </c>
      <c r="AB66" s="10" t="str">
        <f aca="false">IF(OR($A66="",F66=""),"",IFERROR(INDEX(Confeccion!$B$6:$B$125,MATCH(F66,Confeccion!$A$6:$A$125,0)),""))</f>
        <v/>
      </c>
      <c r="AC66" s="10" t="str">
        <f aca="false">IF($A66="","",IFERROR(N(H66)*IF(G66="",0,INDEX(Avios!$C$6:$C$65,MATCH(G66,Avios!$A$6:$A$65,0)))+N(J66)*IF(I66="",0,INDEX(Avios!$C$6:$C$65,MATCH(I66,Avios!$A$6:$A$65,0))),""))</f>
        <v/>
      </c>
      <c r="AD66" s="11" t="str">
        <f aca="false">IF($A66="","",IFERROR(Z66+AA66+AB66+AC66,""))</f>
        <v/>
      </c>
      <c r="AE66" s="10" t="str">
        <f aca="false">IF(ISNUMBER(AD66),AD66*Parametros!$B$12,"")</f>
        <v/>
      </c>
      <c r="AF66" s="29" t="str">
        <f aca="false">IF(AND(ISNUMBER(Q66),K66&lt;&gt;""),IFERROR(1/(Q66*INDEX(Telas!$G$6:$G$105,MATCH(K66,Telas!$A$6:$A$105,0))),""),"")</f>
        <v/>
      </c>
      <c r="AG66" s="0" t="str">
        <f aca="false">IF($A66="","",IF(ISNUMBER(AD66),IF(AND(N(Y66)&gt;0,N(Parametros!$B$19)=0),"Lista, pero sin costo de impresión (Parametros)","Lista"),IF(Q66="","Consumo tela principal (Despiece o Mediciones). ","")&amp;IF(COUNTIFS(Mediciones!$C$6:$C$305,$A66,Mediciones!$K$6:$K$305,"")&gt;0,"Pesar 1 m de la tela medida (Telas, kg por metro). ","")&amp;IF(T66="","Consumo Tela 2. ","")&amp;IF(W66="","Consumo Tela 3. ","")&amp;IF(K66="","Elegir tela principal. ",IF(ISERROR(INDEX(Telas!$I$6:$I$105,MATCH(K66,Telas!$A$6:$A$105,0))*1),"Precio o peso por metro de "&amp;K66&amp;". ",""))&amp;IF(AND(N(T66)&gt;0,L66=""),"Elegir Tela 2. ",IF(AND(N(T66)&gt;0,ISERROR(INDEX(Telas!$I$6:$I$105,MATCH(L66,Telas!$A$6:$A$105,0))*1)),"Precio o peso por metro de "&amp;L66&amp;". ",""))&amp;IF(Y66="","Metros impresos. ","")&amp;IF(F66="","Tipo de confección. ",IF(AB66="","Precio de confección. ",""))))</f>
        <v/>
      </c>
      <c r="AH66" s="27"/>
    </row>
    <row r="67" customFormat="false" ht="15" hidden="false" customHeight="false" outlineLevel="0" collapsed="false">
      <c r="A67" s="27"/>
      <c r="B67" s="27"/>
      <c r="C67" s="27"/>
      <c r="D67" s="27"/>
      <c r="E67" s="27"/>
      <c r="F67" s="27"/>
      <c r="G67" s="8"/>
      <c r="H67" s="27"/>
      <c r="I67" s="8"/>
      <c r="J67" s="27"/>
      <c r="K67" s="8"/>
      <c r="L67" s="8"/>
      <c r="M67" s="8"/>
      <c r="N67" s="8"/>
      <c r="O67" s="9" t="str">
        <f aca="false">IF($A67="","",IF(COUNTIFS(Despiece!$A$6:$A$705,$A67,Despiece!$D$6:$D$705,"Tela principal",Despiece!$F$6:$F$705,"&gt;0")=0,"",SUMIFS(Despiece!$F$6:$F$705,Despiece!$A$6:$A$705,$A67,Despiece!$D$6:$D$705,"Tela principal")))</f>
        <v/>
      </c>
      <c r="P67" s="9" t="str">
        <f aca="false">IF($A67="","",IFERROR(AVERAGEIFS(Mediciones!$K$6:$K$305,Mediciones!$C$6:$C$305,$A67,Mediciones!$D$6:$D$305,"Tela principal"),""))</f>
        <v/>
      </c>
      <c r="Q67" s="28" t="str">
        <f aca="false">IF($A67="","",IF(N(IF($N67="Despiece",IF(ISNUMBER(O67),O67*(1+Parametros!$B$22),IF(COUNTIFS(Despiece!$A$6:$A$705,$A67,Despiece!$D$6:$D$705,"Tela principal")&gt;0,"",0)),IF($N67="Medición real",IF(ISNUMBER(P67),P67,IF(COUNTIFS(Mediciones!$C$6:$C$305,$A67,Mediciones!$D$6:$D$305,"Tela principal")&gt;0,"",0)),IF(ISNUMBER(P67),P67,IF(ISNUMBER(O67),O67*(1+Parametros!$B$22),IF(OR(COUNTIFS(Despiece!$A$6:$A$705,$A67,Despiece!$D$6:$D$705,"Tela principal")&gt;0,COUNTIFS(Mediciones!$C$6:$C$305,$A67,Mediciones!$D$6:$D$305,"Tela principal")&gt;0),"",0))))))=0,"",IF($N67="Despiece",IF(ISNUMBER(O67),O67*(1+Parametros!$B$22),IF(COUNTIFS(Despiece!$A$6:$A$705,$A67,Despiece!$D$6:$D$705,"Tela principal")&gt;0,"",0)),IF($N67="Medición real",IF(ISNUMBER(P67),P67,IF(COUNTIFS(Mediciones!$C$6:$C$305,$A67,Mediciones!$D$6:$D$305,"Tela principal")&gt;0,"",0)),IF(ISNUMBER(P67),P67,IF(ISNUMBER(O67),O67*(1+Parametros!$B$22),IF(OR(COUNTIFS(Despiece!$A$6:$A$705,$A67,Despiece!$D$6:$D$705,"Tela principal")&gt;0,COUNTIFS(Mediciones!$C$6:$C$305,$A67,Mediciones!$D$6:$D$305,"Tela principal")&gt;0),"",0)))))))</f>
        <v/>
      </c>
      <c r="R67" s="9" t="str">
        <f aca="false">IF($A67="","",IF(COUNTIFS(Despiece!$A$6:$A$705,$A67,Despiece!$D$6:$D$705,"Tela 2",Despiece!$F$6:$F$705,"&gt;0")=0,"",SUMIFS(Despiece!$F$6:$F$705,Despiece!$A$6:$A$705,$A67,Despiece!$D$6:$D$705,"Tela 2")))</f>
        <v/>
      </c>
      <c r="S67" s="9" t="str">
        <f aca="false">IF($A67="","",IFERROR(AVERAGEIFS(Mediciones!$K$6:$K$305,Mediciones!$C$6:$C$305,$A67,Mediciones!$D$6:$D$305,"Tela 2"),""))</f>
        <v/>
      </c>
      <c r="T67" s="28" t="str">
        <f aca="false">IF($A67="","",IF($N67="Despiece",IF(ISNUMBER(R67),R67*(1+Parametros!$B$22),IF(COUNTIFS(Despiece!$A$6:$A$705,$A67,Despiece!$D$6:$D$705,"Tela 2")&gt;0,"",0)),IF($N67="Medición real",IF(ISNUMBER(S67),S67,IF(COUNTIFS(Mediciones!$C$6:$C$305,$A67,Mediciones!$D$6:$D$305,"Tela 2")&gt;0,"",0)),IF(ISNUMBER(S67),S67,IF(ISNUMBER(R67),R67*(1+Parametros!$B$22),IF(OR(COUNTIFS(Despiece!$A$6:$A$705,$A67,Despiece!$D$6:$D$705,"Tela 2")&gt;0,COUNTIFS(Mediciones!$C$6:$C$305,$A67,Mediciones!$D$6:$D$305,"Tela 2")&gt;0),"",0))))))</f>
        <v/>
      </c>
      <c r="U67" s="9" t="str">
        <f aca="false">IF($A67="","",IF(COUNTIFS(Despiece!$A$6:$A$705,$A67,Despiece!$D$6:$D$705,"Tela 3",Despiece!$F$6:$F$705,"&gt;0")=0,"",SUMIFS(Despiece!$F$6:$F$705,Despiece!$A$6:$A$705,$A67,Despiece!$D$6:$D$705,"Tela 3")))</f>
        <v/>
      </c>
      <c r="V67" s="9" t="str">
        <f aca="false">IF($A67="","",IFERROR(AVERAGEIFS(Mediciones!$K$6:$K$305,Mediciones!$C$6:$C$305,$A67,Mediciones!$D$6:$D$305,"Tela 3"),""))</f>
        <v/>
      </c>
      <c r="W67" s="28" t="str">
        <f aca="false">IF($A67="","",IF($N67="Despiece",IF(ISNUMBER(U67),U67*(1+Parametros!$B$22),IF(COUNTIFS(Despiece!$A$6:$A$705,$A67,Despiece!$D$6:$D$705,"Tela 3")&gt;0,"",0)),IF($N67="Medición real",IF(ISNUMBER(V67),V67,IF(COUNTIFS(Mediciones!$C$6:$C$305,$A67,Mediciones!$D$6:$D$305,"Tela 3")&gt;0,"",0)),IF(ISNUMBER(V67),V67,IF(ISNUMBER(U67),U67*(1+Parametros!$B$22),IF(OR(COUNTIFS(Despiece!$A$6:$A$705,$A67,Despiece!$D$6:$D$705,"Tela 3")&gt;0,COUNTIFS(Mediciones!$C$6:$C$305,$A67,Mediciones!$D$6:$D$305,"Tela 3")&gt;0),"",0))))))</f>
        <v/>
      </c>
      <c r="X67" s="27"/>
      <c r="Y67" s="9" t="str">
        <f aca="false">IF($A67="","",IF(ISNUMBER(X67),X67,IF(COUNTIFS(Despiece!$A$6:$A$705,$A67,Despiece!$E$6:$E$705,"Sublimada",Despiece!$F$6:$F$705,"&gt;0")&gt;0,SUMIFS(Despiece!$F$6:$F$705,Despiece!$A$6:$A$705,$A67,Despiece!$E$6:$E$705,"Sublimada")*(1+Parametros!$B$22),IF(COUNTIFS(Despiece!$A$6:$A$705,$A67,Despiece!$E$6:$E$705,"Sublimada")=0,0,""))))</f>
        <v/>
      </c>
      <c r="Z67" s="10" t="str">
        <f aca="false">IF($A67="","",IFERROR(IF(ISNUMBER(Q67),IF(Q67=0,0,Q67*INDEX(Telas!$I$6:$I$105,MATCH(K67,Telas!$A$6:$A$105,0))),NA())+IF(ISNUMBER(T67),IF(T67=0,0,T67*INDEX(Telas!$I$6:$I$105,MATCH(L67,Telas!$A$6:$A$105,0))),NA())+IF(ISNUMBER(W67),IF(W67=0,0,W67*INDEX(Telas!$I$6:$I$105,MATCH(IF(M67="",K67,M67),Telas!$A$6:$A$105,0))),NA()),""))</f>
        <v/>
      </c>
      <c r="AA67" s="10" t="str">
        <f aca="false">IF($A67="","",IF(ISNUMBER(Y67),Y67*Parametros!$B$19,""))</f>
        <v/>
      </c>
      <c r="AB67" s="10" t="str">
        <f aca="false">IF(OR($A67="",F67=""),"",IFERROR(INDEX(Confeccion!$B$6:$B$125,MATCH(F67,Confeccion!$A$6:$A$125,0)),""))</f>
        <v/>
      </c>
      <c r="AC67" s="10" t="str">
        <f aca="false">IF($A67="","",IFERROR(N(H67)*IF(G67="",0,INDEX(Avios!$C$6:$C$65,MATCH(G67,Avios!$A$6:$A$65,0)))+N(J67)*IF(I67="",0,INDEX(Avios!$C$6:$C$65,MATCH(I67,Avios!$A$6:$A$65,0))),""))</f>
        <v/>
      </c>
      <c r="AD67" s="11" t="str">
        <f aca="false">IF($A67="","",IFERROR(Z67+AA67+AB67+AC67,""))</f>
        <v/>
      </c>
      <c r="AE67" s="10" t="str">
        <f aca="false">IF(ISNUMBER(AD67),AD67*Parametros!$B$12,"")</f>
        <v/>
      </c>
      <c r="AF67" s="29" t="str">
        <f aca="false">IF(AND(ISNUMBER(Q67),K67&lt;&gt;""),IFERROR(1/(Q67*INDEX(Telas!$G$6:$G$105,MATCH(K67,Telas!$A$6:$A$105,0))),""),"")</f>
        <v/>
      </c>
      <c r="AG67" s="0" t="str">
        <f aca="false">IF($A67="","",IF(ISNUMBER(AD67),IF(AND(N(Y67)&gt;0,N(Parametros!$B$19)=0),"Lista, pero sin costo de impresión (Parametros)","Lista"),IF(Q67="","Consumo tela principal (Despiece o Mediciones). ","")&amp;IF(COUNTIFS(Mediciones!$C$6:$C$305,$A67,Mediciones!$K$6:$K$305,"")&gt;0,"Pesar 1 m de la tela medida (Telas, kg por metro). ","")&amp;IF(T67="","Consumo Tela 2. ","")&amp;IF(W67="","Consumo Tela 3. ","")&amp;IF(K67="","Elegir tela principal. ",IF(ISERROR(INDEX(Telas!$I$6:$I$105,MATCH(K67,Telas!$A$6:$A$105,0))*1),"Precio o peso por metro de "&amp;K67&amp;". ",""))&amp;IF(AND(N(T67)&gt;0,L67=""),"Elegir Tela 2. ",IF(AND(N(T67)&gt;0,ISERROR(INDEX(Telas!$I$6:$I$105,MATCH(L67,Telas!$A$6:$A$105,0))*1)),"Precio o peso por metro de "&amp;L67&amp;". ",""))&amp;IF(Y67="","Metros impresos. ","")&amp;IF(F67="","Tipo de confección. ",IF(AB67="","Precio de confección. ",""))))</f>
        <v/>
      </c>
      <c r="AH67" s="27"/>
    </row>
    <row r="68" customFormat="false" ht="15" hidden="false" customHeight="false" outlineLevel="0" collapsed="false">
      <c r="A68" s="27"/>
      <c r="B68" s="27"/>
      <c r="C68" s="27"/>
      <c r="D68" s="27"/>
      <c r="E68" s="27"/>
      <c r="F68" s="27"/>
      <c r="G68" s="8"/>
      <c r="H68" s="27"/>
      <c r="I68" s="8"/>
      <c r="J68" s="27"/>
      <c r="K68" s="8"/>
      <c r="L68" s="8"/>
      <c r="M68" s="8"/>
      <c r="N68" s="8"/>
      <c r="O68" s="9" t="str">
        <f aca="false">IF($A68="","",IF(COUNTIFS(Despiece!$A$6:$A$705,$A68,Despiece!$D$6:$D$705,"Tela principal",Despiece!$F$6:$F$705,"&gt;0")=0,"",SUMIFS(Despiece!$F$6:$F$705,Despiece!$A$6:$A$705,$A68,Despiece!$D$6:$D$705,"Tela principal")))</f>
        <v/>
      </c>
      <c r="P68" s="9" t="str">
        <f aca="false">IF($A68="","",IFERROR(AVERAGEIFS(Mediciones!$K$6:$K$305,Mediciones!$C$6:$C$305,$A68,Mediciones!$D$6:$D$305,"Tela principal"),""))</f>
        <v/>
      </c>
      <c r="Q68" s="28" t="str">
        <f aca="false">IF($A68="","",IF(N(IF($N68="Despiece",IF(ISNUMBER(O68),O68*(1+Parametros!$B$22),IF(COUNTIFS(Despiece!$A$6:$A$705,$A68,Despiece!$D$6:$D$705,"Tela principal")&gt;0,"",0)),IF($N68="Medición real",IF(ISNUMBER(P68),P68,IF(COUNTIFS(Mediciones!$C$6:$C$305,$A68,Mediciones!$D$6:$D$305,"Tela principal")&gt;0,"",0)),IF(ISNUMBER(P68),P68,IF(ISNUMBER(O68),O68*(1+Parametros!$B$22),IF(OR(COUNTIFS(Despiece!$A$6:$A$705,$A68,Despiece!$D$6:$D$705,"Tela principal")&gt;0,COUNTIFS(Mediciones!$C$6:$C$305,$A68,Mediciones!$D$6:$D$305,"Tela principal")&gt;0),"",0))))))=0,"",IF($N68="Despiece",IF(ISNUMBER(O68),O68*(1+Parametros!$B$22),IF(COUNTIFS(Despiece!$A$6:$A$705,$A68,Despiece!$D$6:$D$705,"Tela principal")&gt;0,"",0)),IF($N68="Medición real",IF(ISNUMBER(P68),P68,IF(COUNTIFS(Mediciones!$C$6:$C$305,$A68,Mediciones!$D$6:$D$305,"Tela principal")&gt;0,"",0)),IF(ISNUMBER(P68),P68,IF(ISNUMBER(O68),O68*(1+Parametros!$B$22),IF(OR(COUNTIFS(Despiece!$A$6:$A$705,$A68,Despiece!$D$6:$D$705,"Tela principal")&gt;0,COUNTIFS(Mediciones!$C$6:$C$305,$A68,Mediciones!$D$6:$D$305,"Tela principal")&gt;0),"",0)))))))</f>
        <v/>
      </c>
      <c r="R68" s="9" t="str">
        <f aca="false">IF($A68="","",IF(COUNTIFS(Despiece!$A$6:$A$705,$A68,Despiece!$D$6:$D$705,"Tela 2",Despiece!$F$6:$F$705,"&gt;0")=0,"",SUMIFS(Despiece!$F$6:$F$705,Despiece!$A$6:$A$705,$A68,Despiece!$D$6:$D$705,"Tela 2")))</f>
        <v/>
      </c>
      <c r="S68" s="9" t="str">
        <f aca="false">IF($A68="","",IFERROR(AVERAGEIFS(Mediciones!$K$6:$K$305,Mediciones!$C$6:$C$305,$A68,Mediciones!$D$6:$D$305,"Tela 2"),""))</f>
        <v/>
      </c>
      <c r="T68" s="28" t="str">
        <f aca="false">IF($A68="","",IF($N68="Despiece",IF(ISNUMBER(R68),R68*(1+Parametros!$B$22),IF(COUNTIFS(Despiece!$A$6:$A$705,$A68,Despiece!$D$6:$D$705,"Tela 2")&gt;0,"",0)),IF($N68="Medición real",IF(ISNUMBER(S68),S68,IF(COUNTIFS(Mediciones!$C$6:$C$305,$A68,Mediciones!$D$6:$D$305,"Tela 2")&gt;0,"",0)),IF(ISNUMBER(S68),S68,IF(ISNUMBER(R68),R68*(1+Parametros!$B$22),IF(OR(COUNTIFS(Despiece!$A$6:$A$705,$A68,Despiece!$D$6:$D$705,"Tela 2")&gt;0,COUNTIFS(Mediciones!$C$6:$C$305,$A68,Mediciones!$D$6:$D$305,"Tela 2")&gt;0),"",0))))))</f>
        <v/>
      </c>
      <c r="U68" s="9" t="str">
        <f aca="false">IF($A68="","",IF(COUNTIFS(Despiece!$A$6:$A$705,$A68,Despiece!$D$6:$D$705,"Tela 3",Despiece!$F$6:$F$705,"&gt;0")=0,"",SUMIFS(Despiece!$F$6:$F$705,Despiece!$A$6:$A$705,$A68,Despiece!$D$6:$D$705,"Tela 3")))</f>
        <v/>
      </c>
      <c r="V68" s="9" t="str">
        <f aca="false">IF($A68="","",IFERROR(AVERAGEIFS(Mediciones!$K$6:$K$305,Mediciones!$C$6:$C$305,$A68,Mediciones!$D$6:$D$305,"Tela 3"),""))</f>
        <v/>
      </c>
      <c r="W68" s="28" t="str">
        <f aca="false">IF($A68="","",IF($N68="Despiece",IF(ISNUMBER(U68),U68*(1+Parametros!$B$22),IF(COUNTIFS(Despiece!$A$6:$A$705,$A68,Despiece!$D$6:$D$705,"Tela 3")&gt;0,"",0)),IF($N68="Medición real",IF(ISNUMBER(V68),V68,IF(COUNTIFS(Mediciones!$C$6:$C$305,$A68,Mediciones!$D$6:$D$305,"Tela 3")&gt;0,"",0)),IF(ISNUMBER(V68),V68,IF(ISNUMBER(U68),U68*(1+Parametros!$B$22),IF(OR(COUNTIFS(Despiece!$A$6:$A$705,$A68,Despiece!$D$6:$D$705,"Tela 3")&gt;0,COUNTIFS(Mediciones!$C$6:$C$305,$A68,Mediciones!$D$6:$D$305,"Tela 3")&gt;0),"",0))))))</f>
        <v/>
      </c>
      <c r="X68" s="27"/>
      <c r="Y68" s="9" t="str">
        <f aca="false">IF($A68="","",IF(ISNUMBER(X68),X68,IF(COUNTIFS(Despiece!$A$6:$A$705,$A68,Despiece!$E$6:$E$705,"Sublimada",Despiece!$F$6:$F$705,"&gt;0")&gt;0,SUMIFS(Despiece!$F$6:$F$705,Despiece!$A$6:$A$705,$A68,Despiece!$E$6:$E$705,"Sublimada")*(1+Parametros!$B$22),IF(COUNTIFS(Despiece!$A$6:$A$705,$A68,Despiece!$E$6:$E$705,"Sublimada")=0,0,""))))</f>
        <v/>
      </c>
      <c r="Z68" s="10" t="str">
        <f aca="false">IF($A68="","",IFERROR(IF(ISNUMBER(Q68),IF(Q68=0,0,Q68*INDEX(Telas!$I$6:$I$105,MATCH(K68,Telas!$A$6:$A$105,0))),NA())+IF(ISNUMBER(T68),IF(T68=0,0,T68*INDEX(Telas!$I$6:$I$105,MATCH(L68,Telas!$A$6:$A$105,0))),NA())+IF(ISNUMBER(W68),IF(W68=0,0,W68*INDEX(Telas!$I$6:$I$105,MATCH(IF(M68="",K68,M68),Telas!$A$6:$A$105,0))),NA()),""))</f>
        <v/>
      </c>
      <c r="AA68" s="10" t="str">
        <f aca="false">IF($A68="","",IF(ISNUMBER(Y68),Y68*Parametros!$B$19,""))</f>
        <v/>
      </c>
      <c r="AB68" s="10" t="str">
        <f aca="false">IF(OR($A68="",F68=""),"",IFERROR(INDEX(Confeccion!$B$6:$B$125,MATCH(F68,Confeccion!$A$6:$A$125,0)),""))</f>
        <v/>
      </c>
      <c r="AC68" s="10" t="str">
        <f aca="false">IF($A68="","",IFERROR(N(H68)*IF(G68="",0,INDEX(Avios!$C$6:$C$65,MATCH(G68,Avios!$A$6:$A$65,0)))+N(J68)*IF(I68="",0,INDEX(Avios!$C$6:$C$65,MATCH(I68,Avios!$A$6:$A$65,0))),""))</f>
        <v/>
      </c>
      <c r="AD68" s="11" t="str">
        <f aca="false">IF($A68="","",IFERROR(Z68+AA68+AB68+AC68,""))</f>
        <v/>
      </c>
      <c r="AE68" s="10" t="str">
        <f aca="false">IF(ISNUMBER(AD68),AD68*Parametros!$B$12,"")</f>
        <v/>
      </c>
      <c r="AF68" s="29" t="str">
        <f aca="false">IF(AND(ISNUMBER(Q68),K68&lt;&gt;""),IFERROR(1/(Q68*INDEX(Telas!$G$6:$G$105,MATCH(K68,Telas!$A$6:$A$105,0))),""),"")</f>
        <v/>
      </c>
      <c r="AG68" s="0" t="str">
        <f aca="false">IF($A68="","",IF(ISNUMBER(AD68),IF(AND(N(Y68)&gt;0,N(Parametros!$B$19)=0),"Lista, pero sin costo de impresión (Parametros)","Lista"),IF(Q68="","Consumo tela principal (Despiece o Mediciones). ","")&amp;IF(COUNTIFS(Mediciones!$C$6:$C$305,$A68,Mediciones!$K$6:$K$305,"")&gt;0,"Pesar 1 m de la tela medida (Telas, kg por metro). ","")&amp;IF(T68="","Consumo Tela 2. ","")&amp;IF(W68="","Consumo Tela 3. ","")&amp;IF(K68="","Elegir tela principal. ",IF(ISERROR(INDEX(Telas!$I$6:$I$105,MATCH(K68,Telas!$A$6:$A$105,0))*1),"Precio o peso por metro de "&amp;K68&amp;". ",""))&amp;IF(AND(N(T68)&gt;0,L68=""),"Elegir Tela 2. ",IF(AND(N(T68)&gt;0,ISERROR(INDEX(Telas!$I$6:$I$105,MATCH(L68,Telas!$A$6:$A$105,0))*1)),"Precio o peso por metro de "&amp;L68&amp;". ",""))&amp;IF(Y68="","Metros impresos. ","")&amp;IF(F68="","Tipo de confección. ",IF(AB68="","Precio de confección. ",""))))</f>
        <v/>
      </c>
      <c r="AH68" s="27"/>
    </row>
    <row r="69" customFormat="false" ht="15" hidden="false" customHeight="false" outlineLevel="0" collapsed="false">
      <c r="A69" s="27"/>
      <c r="B69" s="27"/>
      <c r="C69" s="27"/>
      <c r="D69" s="27"/>
      <c r="E69" s="27"/>
      <c r="F69" s="27"/>
      <c r="G69" s="8"/>
      <c r="H69" s="27"/>
      <c r="I69" s="8"/>
      <c r="J69" s="27"/>
      <c r="K69" s="8"/>
      <c r="L69" s="8"/>
      <c r="M69" s="8"/>
      <c r="N69" s="8"/>
      <c r="O69" s="9" t="str">
        <f aca="false">IF($A69="","",IF(COUNTIFS(Despiece!$A$6:$A$705,$A69,Despiece!$D$6:$D$705,"Tela principal",Despiece!$F$6:$F$705,"&gt;0")=0,"",SUMIFS(Despiece!$F$6:$F$705,Despiece!$A$6:$A$705,$A69,Despiece!$D$6:$D$705,"Tela principal")))</f>
        <v/>
      </c>
      <c r="P69" s="9" t="str">
        <f aca="false">IF($A69="","",IFERROR(AVERAGEIFS(Mediciones!$K$6:$K$305,Mediciones!$C$6:$C$305,$A69,Mediciones!$D$6:$D$305,"Tela principal"),""))</f>
        <v/>
      </c>
      <c r="Q69" s="28" t="str">
        <f aca="false">IF($A69="","",IF(N(IF($N69="Despiece",IF(ISNUMBER(O69),O69*(1+Parametros!$B$22),IF(COUNTIFS(Despiece!$A$6:$A$705,$A69,Despiece!$D$6:$D$705,"Tela principal")&gt;0,"",0)),IF($N69="Medición real",IF(ISNUMBER(P69),P69,IF(COUNTIFS(Mediciones!$C$6:$C$305,$A69,Mediciones!$D$6:$D$305,"Tela principal")&gt;0,"",0)),IF(ISNUMBER(P69),P69,IF(ISNUMBER(O69),O69*(1+Parametros!$B$22),IF(OR(COUNTIFS(Despiece!$A$6:$A$705,$A69,Despiece!$D$6:$D$705,"Tela principal")&gt;0,COUNTIFS(Mediciones!$C$6:$C$305,$A69,Mediciones!$D$6:$D$305,"Tela principal")&gt;0),"",0))))))=0,"",IF($N69="Despiece",IF(ISNUMBER(O69),O69*(1+Parametros!$B$22),IF(COUNTIFS(Despiece!$A$6:$A$705,$A69,Despiece!$D$6:$D$705,"Tela principal")&gt;0,"",0)),IF($N69="Medición real",IF(ISNUMBER(P69),P69,IF(COUNTIFS(Mediciones!$C$6:$C$305,$A69,Mediciones!$D$6:$D$305,"Tela principal")&gt;0,"",0)),IF(ISNUMBER(P69),P69,IF(ISNUMBER(O69),O69*(1+Parametros!$B$22),IF(OR(COUNTIFS(Despiece!$A$6:$A$705,$A69,Despiece!$D$6:$D$705,"Tela principal")&gt;0,COUNTIFS(Mediciones!$C$6:$C$305,$A69,Mediciones!$D$6:$D$305,"Tela principal")&gt;0),"",0)))))))</f>
        <v/>
      </c>
      <c r="R69" s="9" t="str">
        <f aca="false">IF($A69="","",IF(COUNTIFS(Despiece!$A$6:$A$705,$A69,Despiece!$D$6:$D$705,"Tela 2",Despiece!$F$6:$F$705,"&gt;0")=0,"",SUMIFS(Despiece!$F$6:$F$705,Despiece!$A$6:$A$705,$A69,Despiece!$D$6:$D$705,"Tela 2")))</f>
        <v/>
      </c>
      <c r="S69" s="9" t="str">
        <f aca="false">IF($A69="","",IFERROR(AVERAGEIFS(Mediciones!$K$6:$K$305,Mediciones!$C$6:$C$305,$A69,Mediciones!$D$6:$D$305,"Tela 2"),""))</f>
        <v/>
      </c>
      <c r="T69" s="28" t="str">
        <f aca="false">IF($A69="","",IF($N69="Despiece",IF(ISNUMBER(R69),R69*(1+Parametros!$B$22),IF(COUNTIFS(Despiece!$A$6:$A$705,$A69,Despiece!$D$6:$D$705,"Tela 2")&gt;0,"",0)),IF($N69="Medición real",IF(ISNUMBER(S69),S69,IF(COUNTIFS(Mediciones!$C$6:$C$305,$A69,Mediciones!$D$6:$D$305,"Tela 2")&gt;0,"",0)),IF(ISNUMBER(S69),S69,IF(ISNUMBER(R69),R69*(1+Parametros!$B$22),IF(OR(COUNTIFS(Despiece!$A$6:$A$705,$A69,Despiece!$D$6:$D$705,"Tela 2")&gt;0,COUNTIFS(Mediciones!$C$6:$C$305,$A69,Mediciones!$D$6:$D$305,"Tela 2")&gt;0),"",0))))))</f>
        <v/>
      </c>
      <c r="U69" s="9" t="str">
        <f aca="false">IF($A69="","",IF(COUNTIFS(Despiece!$A$6:$A$705,$A69,Despiece!$D$6:$D$705,"Tela 3",Despiece!$F$6:$F$705,"&gt;0")=0,"",SUMIFS(Despiece!$F$6:$F$705,Despiece!$A$6:$A$705,$A69,Despiece!$D$6:$D$705,"Tela 3")))</f>
        <v/>
      </c>
      <c r="V69" s="9" t="str">
        <f aca="false">IF($A69="","",IFERROR(AVERAGEIFS(Mediciones!$K$6:$K$305,Mediciones!$C$6:$C$305,$A69,Mediciones!$D$6:$D$305,"Tela 3"),""))</f>
        <v/>
      </c>
      <c r="W69" s="28" t="str">
        <f aca="false">IF($A69="","",IF($N69="Despiece",IF(ISNUMBER(U69),U69*(1+Parametros!$B$22),IF(COUNTIFS(Despiece!$A$6:$A$705,$A69,Despiece!$D$6:$D$705,"Tela 3")&gt;0,"",0)),IF($N69="Medición real",IF(ISNUMBER(V69),V69,IF(COUNTIFS(Mediciones!$C$6:$C$305,$A69,Mediciones!$D$6:$D$305,"Tela 3")&gt;0,"",0)),IF(ISNUMBER(V69),V69,IF(ISNUMBER(U69),U69*(1+Parametros!$B$22),IF(OR(COUNTIFS(Despiece!$A$6:$A$705,$A69,Despiece!$D$6:$D$705,"Tela 3")&gt;0,COUNTIFS(Mediciones!$C$6:$C$305,$A69,Mediciones!$D$6:$D$305,"Tela 3")&gt;0),"",0))))))</f>
        <v/>
      </c>
      <c r="X69" s="27"/>
      <c r="Y69" s="9" t="str">
        <f aca="false">IF($A69="","",IF(ISNUMBER(X69),X69,IF(COUNTIFS(Despiece!$A$6:$A$705,$A69,Despiece!$E$6:$E$705,"Sublimada",Despiece!$F$6:$F$705,"&gt;0")&gt;0,SUMIFS(Despiece!$F$6:$F$705,Despiece!$A$6:$A$705,$A69,Despiece!$E$6:$E$705,"Sublimada")*(1+Parametros!$B$22),IF(COUNTIFS(Despiece!$A$6:$A$705,$A69,Despiece!$E$6:$E$705,"Sublimada")=0,0,""))))</f>
        <v/>
      </c>
      <c r="Z69" s="10" t="str">
        <f aca="false">IF($A69="","",IFERROR(IF(ISNUMBER(Q69),IF(Q69=0,0,Q69*INDEX(Telas!$I$6:$I$105,MATCH(K69,Telas!$A$6:$A$105,0))),NA())+IF(ISNUMBER(T69),IF(T69=0,0,T69*INDEX(Telas!$I$6:$I$105,MATCH(L69,Telas!$A$6:$A$105,0))),NA())+IF(ISNUMBER(W69),IF(W69=0,0,W69*INDEX(Telas!$I$6:$I$105,MATCH(IF(M69="",K69,M69),Telas!$A$6:$A$105,0))),NA()),""))</f>
        <v/>
      </c>
      <c r="AA69" s="10" t="str">
        <f aca="false">IF($A69="","",IF(ISNUMBER(Y69),Y69*Parametros!$B$19,""))</f>
        <v/>
      </c>
      <c r="AB69" s="10" t="str">
        <f aca="false">IF(OR($A69="",F69=""),"",IFERROR(INDEX(Confeccion!$B$6:$B$125,MATCH(F69,Confeccion!$A$6:$A$125,0)),""))</f>
        <v/>
      </c>
      <c r="AC69" s="10" t="str">
        <f aca="false">IF($A69="","",IFERROR(N(H69)*IF(G69="",0,INDEX(Avios!$C$6:$C$65,MATCH(G69,Avios!$A$6:$A$65,0)))+N(J69)*IF(I69="",0,INDEX(Avios!$C$6:$C$65,MATCH(I69,Avios!$A$6:$A$65,0))),""))</f>
        <v/>
      </c>
      <c r="AD69" s="11" t="str">
        <f aca="false">IF($A69="","",IFERROR(Z69+AA69+AB69+AC69,""))</f>
        <v/>
      </c>
      <c r="AE69" s="10" t="str">
        <f aca="false">IF(ISNUMBER(AD69),AD69*Parametros!$B$12,"")</f>
        <v/>
      </c>
      <c r="AF69" s="29" t="str">
        <f aca="false">IF(AND(ISNUMBER(Q69),K69&lt;&gt;""),IFERROR(1/(Q69*INDEX(Telas!$G$6:$G$105,MATCH(K69,Telas!$A$6:$A$105,0))),""),"")</f>
        <v/>
      </c>
      <c r="AG69" s="0" t="str">
        <f aca="false">IF($A69="","",IF(ISNUMBER(AD69),IF(AND(N(Y69)&gt;0,N(Parametros!$B$19)=0),"Lista, pero sin costo de impresión (Parametros)","Lista"),IF(Q69="","Consumo tela principal (Despiece o Mediciones). ","")&amp;IF(COUNTIFS(Mediciones!$C$6:$C$305,$A69,Mediciones!$K$6:$K$305,"")&gt;0,"Pesar 1 m de la tela medida (Telas, kg por metro). ","")&amp;IF(T69="","Consumo Tela 2. ","")&amp;IF(W69="","Consumo Tela 3. ","")&amp;IF(K69="","Elegir tela principal. ",IF(ISERROR(INDEX(Telas!$I$6:$I$105,MATCH(K69,Telas!$A$6:$A$105,0))*1),"Precio o peso por metro de "&amp;K69&amp;". ",""))&amp;IF(AND(N(T69)&gt;0,L69=""),"Elegir Tela 2. ",IF(AND(N(T69)&gt;0,ISERROR(INDEX(Telas!$I$6:$I$105,MATCH(L69,Telas!$A$6:$A$105,0))*1)),"Precio o peso por metro de "&amp;L69&amp;". ",""))&amp;IF(Y69="","Metros impresos. ","")&amp;IF(F69="","Tipo de confección. ",IF(AB69="","Precio de confección. ",""))))</f>
        <v/>
      </c>
      <c r="AH69" s="27"/>
    </row>
    <row r="70" customFormat="false" ht="15" hidden="false" customHeight="false" outlineLevel="0" collapsed="false">
      <c r="A70" s="27"/>
      <c r="B70" s="27"/>
      <c r="C70" s="27"/>
      <c r="D70" s="27"/>
      <c r="E70" s="27"/>
      <c r="F70" s="27"/>
      <c r="G70" s="8"/>
      <c r="H70" s="27"/>
      <c r="I70" s="8"/>
      <c r="J70" s="27"/>
      <c r="K70" s="8"/>
      <c r="L70" s="8"/>
      <c r="M70" s="8"/>
      <c r="N70" s="8"/>
      <c r="O70" s="9" t="str">
        <f aca="false">IF($A70="","",IF(COUNTIFS(Despiece!$A$6:$A$705,$A70,Despiece!$D$6:$D$705,"Tela principal",Despiece!$F$6:$F$705,"&gt;0")=0,"",SUMIFS(Despiece!$F$6:$F$705,Despiece!$A$6:$A$705,$A70,Despiece!$D$6:$D$705,"Tela principal")))</f>
        <v/>
      </c>
      <c r="P70" s="9" t="str">
        <f aca="false">IF($A70="","",IFERROR(AVERAGEIFS(Mediciones!$K$6:$K$305,Mediciones!$C$6:$C$305,$A70,Mediciones!$D$6:$D$305,"Tela principal"),""))</f>
        <v/>
      </c>
      <c r="Q70" s="28" t="str">
        <f aca="false">IF($A70="","",IF(N(IF($N70="Despiece",IF(ISNUMBER(O70),O70*(1+Parametros!$B$22),IF(COUNTIFS(Despiece!$A$6:$A$705,$A70,Despiece!$D$6:$D$705,"Tela principal")&gt;0,"",0)),IF($N70="Medición real",IF(ISNUMBER(P70),P70,IF(COUNTIFS(Mediciones!$C$6:$C$305,$A70,Mediciones!$D$6:$D$305,"Tela principal")&gt;0,"",0)),IF(ISNUMBER(P70),P70,IF(ISNUMBER(O70),O70*(1+Parametros!$B$22),IF(OR(COUNTIFS(Despiece!$A$6:$A$705,$A70,Despiece!$D$6:$D$705,"Tela principal")&gt;0,COUNTIFS(Mediciones!$C$6:$C$305,$A70,Mediciones!$D$6:$D$305,"Tela principal")&gt;0),"",0))))))=0,"",IF($N70="Despiece",IF(ISNUMBER(O70),O70*(1+Parametros!$B$22),IF(COUNTIFS(Despiece!$A$6:$A$705,$A70,Despiece!$D$6:$D$705,"Tela principal")&gt;0,"",0)),IF($N70="Medición real",IF(ISNUMBER(P70),P70,IF(COUNTIFS(Mediciones!$C$6:$C$305,$A70,Mediciones!$D$6:$D$305,"Tela principal")&gt;0,"",0)),IF(ISNUMBER(P70),P70,IF(ISNUMBER(O70),O70*(1+Parametros!$B$22),IF(OR(COUNTIFS(Despiece!$A$6:$A$705,$A70,Despiece!$D$6:$D$705,"Tela principal")&gt;0,COUNTIFS(Mediciones!$C$6:$C$305,$A70,Mediciones!$D$6:$D$305,"Tela principal")&gt;0),"",0)))))))</f>
        <v/>
      </c>
      <c r="R70" s="9" t="str">
        <f aca="false">IF($A70="","",IF(COUNTIFS(Despiece!$A$6:$A$705,$A70,Despiece!$D$6:$D$705,"Tela 2",Despiece!$F$6:$F$705,"&gt;0")=0,"",SUMIFS(Despiece!$F$6:$F$705,Despiece!$A$6:$A$705,$A70,Despiece!$D$6:$D$705,"Tela 2")))</f>
        <v/>
      </c>
      <c r="S70" s="9" t="str">
        <f aca="false">IF($A70="","",IFERROR(AVERAGEIFS(Mediciones!$K$6:$K$305,Mediciones!$C$6:$C$305,$A70,Mediciones!$D$6:$D$305,"Tela 2"),""))</f>
        <v/>
      </c>
      <c r="T70" s="28" t="str">
        <f aca="false">IF($A70="","",IF($N70="Despiece",IF(ISNUMBER(R70),R70*(1+Parametros!$B$22),IF(COUNTIFS(Despiece!$A$6:$A$705,$A70,Despiece!$D$6:$D$705,"Tela 2")&gt;0,"",0)),IF($N70="Medición real",IF(ISNUMBER(S70),S70,IF(COUNTIFS(Mediciones!$C$6:$C$305,$A70,Mediciones!$D$6:$D$305,"Tela 2")&gt;0,"",0)),IF(ISNUMBER(S70),S70,IF(ISNUMBER(R70),R70*(1+Parametros!$B$22),IF(OR(COUNTIFS(Despiece!$A$6:$A$705,$A70,Despiece!$D$6:$D$705,"Tela 2")&gt;0,COUNTIFS(Mediciones!$C$6:$C$305,$A70,Mediciones!$D$6:$D$305,"Tela 2")&gt;0),"",0))))))</f>
        <v/>
      </c>
      <c r="U70" s="9" t="str">
        <f aca="false">IF($A70="","",IF(COUNTIFS(Despiece!$A$6:$A$705,$A70,Despiece!$D$6:$D$705,"Tela 3",Despiece!$F$6:$F$705,"&gt;0")=0,"",SUMIFS(Despiece!$F$6:$F$705,Despiece!$A$6:$A$705,$A70,Despiece!$D$6:$D$705,"Tela 3")))</f>
        <v/>
      </c>
      <c r="V70" s="9" t="str">
        <f aca="false">IF($A70="","",IFERROR(AVERAGEIFS(Mediciones!$K$6:$K$305,Mediciones!$C$6:$C$305,$A70,Mediciones!$D$6:$D$305,"Tela 3"),""))</f>
        <v/>
      </c>
      <c r="W70" s="28" t="str">
        <f aca="false">IF($A70="","",IF($N70="Despiece",IF(ISNUMBER(U70),U70*(1+Parametros!$B$22),IF(COUNTIFS(Despiece!$A$6:$A$705,$A70,Despiece!$D$6:$D$705,"Tela 3")&gt;0,"",0)),IF($N70="Medición real",IF(ISNUMBER(V70),V70,IF(COUNTIFS(Mediciones!$C$6:$C$305,$A70,Mediciones!$D$6:$D$305,"Tela 3")&gt;0,"",0)),IF(ISNUMBER(V70),V70,IF(ISNUMBER(U70),U70*(1+Parametros!$B$22),IF(OR(COUNTIFS(Despiece!$A$6:$A$705,$A70,Despiece!$D$6:$D$705,"Tela 3")&gt;0,COUNTIFS(Mediciones!$C$6:$C$305,$A70,Mediciones!$D$6:$D$305,"Tela 3")&gt;0),"",0))))))</f>
        <v/>
      </c>
      <c r="X70" s="27"/>
      <c r="Y70" s="9" t="str">
        <f aca="false">IF($A70="","",IF(ISNUMBER(X70),X70,IF(COUNTIFS(Despiece!$A$6:$A$705,$A70,Despiece!$E$6:$E$705,"Sublimada",Despiece!$F$6:$F$705,"&gt;0")&gt;0,SUMIFS(Despiece!$F$6:$F$705,Despiece!$A$6:$A$705,$A70,Despiece!$E$6:$E$705,"Sublimada")*(1+Parametros!$B$22),IF(COUNTIFS(Despiece!$A$6:$A$705,$A70,Despiece!$E$6:$E$705,"Sublimada")=0,0,""))))</f>
        <v/>
      </c>
      <c r="Z70" s="10" t="str">
        <f aca="false">IF($A70="","",IFERROR(IF(ISNUMBER(Q70),IF(Q70=0,0,Q70*INDEX(Telas!$I$6:$I$105,MATCH(K70,Telas!$A$6:$A$105,0))),NA())+IF(ISNUMBER(T70),IF(T70=0,0,T70*INDEX(Telas!$I$6:$I$105,MATCH(L70,Telas!$A$6:$A$105,0))),NA())+IF(ISNUMBER(W70),IF(W70=0,0,W70*INDEX(Telas!$I$6:$I$105,MATCH(IF(M70="",K70,M70),Telas!$A$6:$A$105,0))),NA()),""))</f>
        <v/>
      </c>
      <c r="AA70" s="10" t="str">
        <f aca="false">IF($A70="","",IF(ISNUMBER(Y70),Y70*Parametros!$B$19,""))</f>
        <v/>
      </c>
      <c r="AB70" s="10" t="str">
        <f aca="false">IF(OR($A70="",F70=""),"",IFERROR(INDEX(Confeccion!$B$6:$B$125,MATCH(F70,Confeccion!$A$6:$A$125,0)),""))</f>
        <v/>
      </c>
      <c r="AC70" s="10" t="str">
        <f aca="false">IF($A70="","",IFERROR(N(H70)*IF(G70="",0,INDEX(Avios!$C$6:$C$65,MATCH(G70,Avios!$A$6:$A$65,0)))+N(J70)*IF(I70="",0,INDEX(Avios!$C$6:$C$65,MATCH(I70,Avios!$A$6:$A$65,0))),""))</f>
        <v/>
      </c>
      <c r="AD70" s="11" t="str">
        <f aca="false">IF($A70="","",IFERROR(Z70+AA70+AB70+AC70,""))</f>
        <v/>
      </c>
      <c r="AE70" s="10" t="str">
        <f aca="false">IF(ISNUMBER(AD70),AD70*Parametros!$B$12,"")</f>
        <v/>
      </c>
      <c r="AF70" s="29" t="str">
        <f aca="false">IF(AND(ISNUMBER(Q70),K70&lt;&gt;""),IFERROR(1/(Q70*INDEX(Telas!$G$6:$G$105,MATCH(K70,Telas!$A$6:$A$105,0))),""),"")</f>
        <v/>
      </c>
      <c r="AG70" s="0" t="str">
        <f aca="false">IF($A70="","",IF(ISNUMBER(AD70),IF(AND(N(Y70)&gt;0,N(Parametros!$B$19)=0),"Lista, pero sin costo de impresión (Parametros)","Lista"),IF(Q70="","Consumo tela principal (Despiece o Mediciones). ","")&amp;IF(COUNTIFS(Mediciones!$C$6:$C$305,$A70,Mediciones!$K$6:$K$305,"")&gt;0,"Pesar 1 m de la tela medida (Telas, kg por metro). ","")&amp;IF(T70="","Consumo Tela 2. ","")&amp;IF(W70="","Consumo Tela 3. ","")&amp;IF(K70="","Elegir tela principal. ",IF(ISERROR(INDEX(Telas!$I$6:$I$105,MATCH(K70,Telas!$A$6:$A$105,0))*1),"Precio o peso por metro de "&amp;K70&amp;". ",""))&amp;IF(AND(N(T70)&gt;0,L70=""),"Elegir Tela 2. ",IF(AND(N(T70)&gt;0,ISERROR(INDEX(Telas!$I$6:$I$105,MATCH(L70,Telas!$A$6:$A$105,0))*1)),"Precio o peso por metro de "&amp;L70&amp;". ",""))&amp;IF(Y70="","Metros impresos. ","")&amp;IF(F70="","Tipo de confección. ",IF(AB70="","Precio de confección. ",""))))</f>
        <v/>
      </c>
      <c r="AH70" s="27"/>
    </row>
    <row r="71" customFormat="false" ht="15" hidden="false" customHeight="false" outlineLevel="0" collapsed="false">
      <c r="A71" s="27"/>
      <c r="B71" s="27"/>
      <c r="C71" s="27"/>
      <c r="D71" s="27"/>
      <c r="E71" s="27"/>
      <c r="F71" s="27"/>
      <c r="G71" s="8"/>
      <c r="H71" s="27"/>
      <c r="I71" s="8"/>
      <c r="J71" s="27"/>
      <c r="K71" s="8"/>
      <c r="L71" s="8"/>
      <c r="M71" s="8"/>
      <c r="N71" s="8"/>
      <c r="O71" s="9" t="str">
        <f aca="false">IF($A71="","",IF(COUNTIFS(Despiece!$A$6:$A$705,$A71,Despiece!$D$6:$D$705,"Tela principal",Despiece!$F$6:$F$705,"&gt;0")=0,"",SUMIFS(Despiece!$F$6:$F$705,Despiece!$A$6:$A$705,$A71,Despiece!$D$6:$D$705,"Tela principal")))</f>
        <v/>
      </c>
      <c r="P71" s="9" t="str">
        <f aca="false">IF($A71="","",IFERROR(AVERAGEIFS(Mediciones!$K$6:$K$305,Mediciones!$C$6:$C$305,$A71,Mediciones!$D$6:$D$305,"Tela principal"),""))</f>
        <v/>
      </c>
      <c r="Q71" s="28" t="str">
        <f aca="false">IF($A71="","",IF(N(IF($N71="Despiece",IF(ISNUMBER(O71),O71*(1+Parametros!$B$22),IF(COUNTIFS(Despiece!$A$6:$A$705,$A71,Despiece!$D$6:$D$705,"Tela principal")&gt;0,"",0)),IF($N71="Medición real",IF(ISNUMBER(P71),P71,IF(COUNTIFS(Mediciones!$C$6:$C$305,$A71,Mediciones!$D$6:$D$305,"Tela principal")&gt;0,"",0)),IF(ISNUMBER(P71),P71,IF(ISNUMBER(O71),O71*(1+Parametros!$B$22),IF(OR(COUNTIFS(Despiece!$A$6:$A$705,$A71,Despiece!$D$6:$D$705,"Tela principal")&gt;0,COUNTIFS(Mediciones!$C$6:$C$305,$A71,Mediciones!$D$6:$D$305,"Tela principal")&gt;0),"",0))))))=0,"",IF($N71="Despiece",IF(ISNUMBER(O71),O71*(1+Parametros!$B$22),IF(COUNTIFS(Despiece!$A$6:$A$705,$A71,Despiece!$D$6:$D$705,"Tela principal")&gt;0,"",0)),IF($N71="Medición real",IF(ISNUMBER(P71),P71,IF(COUNTIFS(Mediciones!$C$6:$C$305,$A71,Mediciones!$D$6:$D$305,"Tela principal")&gt;0,"",0)),IF(ISNUMBER(P71),P71,IF(ISNUMBER(O71),O71*(1+Parametros!$B$22),IF(OR(COUNTIFS(Despiece!$A$6:$A$705,$A71,Despiece!$D$6:$D$705,"Tela principal")&gt;0,COUNTIFS(Mediciones!$C$6:$C$305,$A71,Mediciones!$D$6:$D$305,"Tela principal")&gt;0),"",0)))))))</f>
        <v/>
      </c>
      <c r="R71" s="9" t="str">
        <f aca="false">IF($A71="","",IF(COUNTIFS(Despiece!$A$6:$A$705,$A71,Despiece!$D$6:$D$705,"Tela 2",Despiece!$F$6:$F$705,"&gt;0")=0,"",SUMIFS(Despiece!$F$6:$F$705,Despiece!$A$6:$A$705,$A71,Despiece!$D$6:$D$705,"Tela 2")))</f>
        <v/>
      </c>
      <c r="S71" s="9" t="str">
        <f aca="false">IF($A71="","",IFERROR(AVERAGEIFS(Mediciones!$K$6:$K$305,Mediciones!$C$6:$C$305,$A71,Mediciones!$D$6:$D$305,"Tela 2"),""))</f>
        <v/>
      </c>
      <c r="T71" s="28" t="str">
        <f aca="false">IF($A71="","",IF($N71="Despiece",IF(ISNUMBER(R71),R71*(1+Parametros!$B$22),IF(COUNTIFS(Despiece!$A$6:$A$705,$A71,Despiece!$D$6:$D$705,"Tela 2")&gt;0,"",0)),IF($N71="Medición real",IF(ISNUMBER(S71),S71,IF(COUNTIFS(Mediciones!$C$6:$C$305,$A71,Mediciones!$D$6:$D$305,"Tela 2")&gt;0,"",0)),IF(ISNUMBER(S71),S71,IF(ISNUMBER(R71),R71*(1+Parametros!$B$22),IF(OR(COUNTIFS(Despiece!$A$6:$A$705,$A71,Despiece!$D$6:$D$705,"Tela 2")&gt;0,COUNTIFS(Mediciones!$C$6:$C$305,$A71,Mediciones!$D$6:$D$305,"Tela 2")&gt;0),"",0))))))</f>
        <v/>
      </c>
      <c r="U71" s="9" t="str">
        <f aca="false">IF($A71="","",IF(COUNTIFS(Despiece!$A$6:$A$705,$A71,Despiece!$D$6:$D$705,"Tela 3",Despiece!$F$6:$F$705,"&gt;0")=0,"",SUMIFS(Despiece!$F$6:$F$705,Despiece!$A$6:$A$705,$A71,Despiece!$D$6:$D$705,"Tela 3")))</f>
        <v/>
      </c>
      <c r="V71" s="9" t="str">
        <f aca="false">IF($A71="","",IFERROR(AVERAGEIFS(Mediciones!$K$6:$K$305,Mediciones!$C$6:$C$305,$A71,Mediciones!$D$6:$D$305,"Tela 3"),""))</f>
        <v/>
      </c>
      <c r="W71" s="28" t="str">
        <f aca="false">IF($A71="","",IF($N71="Despiece",IF(ISNUMBER(U71),U71*(1+Parametros!$B$22),IF(COUNTIFS(Despiece!$A$6:$A$705,$A71,Despiece!$D$6:$D$705,"Tela 3")&gt;0,"",0)),IF($N71="Medición real",IF(ISNUMBER(V71),V71,IF(COUNTIFS(Mediciones!$C$6:$C$305,$A71,Mediciones!$D$6:$D$305,"Tela 3")&gt;0,"",0)),IF(ISNUMBER(V71),V71,IF(ISNUMBER(U71),U71*(1+Parametros!$B$22),IF(OR(COUNTIFS(Despiece!$A$6:$A$705,$A71,Despiece!$D$6:$D$705,"Tela 3")&gt;0,COUNTIFS(Mediciones!$C$6:$C$305,$A71,Mediciones!$D$6:$D$305,"Tela 3")&gt;0),"",0))))))</f>
        <v/>
      </c>
      <c r="X71" s="27"/>
      <c r="Y71" s="9" t="str">
        <f aca="false">IF($A71="","",IF(ISNUMBER(X71),X71,IF(COUNTIFS(Despiece!$A$6:$A$705,$A71,Despiece!$E$6:$E$705,"Sublimada",Despiece!$F$6:$F$705,"&gt;0")&gt;0,SUMIFS(Despiece!$F$6:$F$705,Despiece!$A$6:$A$705,$A71,Despiece!$E$6:$E$705,"Sublimada")*(1+Parametros!$B$22),IF(COUNTIFS(Despiece!$A$6:$A$705,$A71,Despiece!$E$6:$E$705,"Sublimada")=0,0,""))))</f>
        <v/>
      </c>
      <c r="Z71" s="10" t="str">
        <f aca="false">IF($A71="","",IFERROR(IF(ISNUMBER(Q71),IF(Q71=0,0,Q71*INDEX(Telas!$I$6:$I$105,MATCH(K71,Telas!$A$6:$A$105,0))),NA())+IF(ISNUMBER(T71),IF(T71=0,0,T71*INDEX(Telas!$I$6:$I$105,MATCH(L71,Telas!$A$6:$A$105,0))),NA())+IF(ISNUMBER(W71),IF(W71=0,0,W71*INDEX(Telas!$I$6:$I$105,MATCH(IF(M71="",K71,M71),Telas!$A$6:$A$105,0))),NA()),""))</f>
        <v/>
      </c>
      <c r="AA71" s="10" t="str">
        <f aca="false">IF($A71="","",IF(ISNUMBER(Y71),Y71*Parametros!$B$19,""))</f>
        <v/>
      </c>
      <c r="AB71" s="10" t="str">
        <f aca="false">IF(OR($A71="",F71=""),"",IFERROR(INDEX(Confeccion!$B$6:$B$125,MATCH(F71,Confeccion!$A$6:$A$125,0)),""))</f>
        <v/>
      </c>
      <c r="AC71" s="10" t="str">
        <f aca="false">IF($A71="","",IFERROR(N(H71)*IF(G71="",0,INDEX(Avios!$C$6:$C$65,MATCH(G71,Avios!$A$6:$A$65,0)))+N(J71)*IF(I71="",0,INDEX(Avios!$C$6:$C$65,MATCH(I71,Avios!$A$6:$A$65,0))),""))</f>
        <v/>
      </c>
      <c r="AD71" s="11" t="str">
        <f aca="false">IF($A71="","",IFERROR(Z71+AA71+AB71+AC71,""))</f>
        <v/>
      </c>
      <c r="AE71" s="10" t="str">
        <f aca="false">IF(ISNUMBER(AD71),AD71*Parametros!$B$12,"")</f>
        <v/>
      </c>
      <c r="AF71" s="29" t="str">
        <f aca="false">IF(AND(ISNUMBER(Q71),K71&lt;&gt;""),IFERROR(1/(Q71*INDEX(Telas!$G$6:$G$105,MATCH(K71,Telas!$A$6:$A$105,0))),""),"")</f>
        <v/>
      </c>
      <c r="AG71" s="0" t="str">
        <f aca="false">IF($A71="","",IF(ISNUMBER(AD71),IF(AND(N(Y71)&gt;0,N(Parametros!$B$19)=0),"Lista, pero sin costo de impresión (Parametros)","Lista"),IF(Q71="","Consumo tela principal (Despiece o Mediciones). ","")&amp;IF(COUNTIFS(Mediciones!$C$6:$C$305,$A71,Mediciones!$K$6:$K$305,"")&gt;0,"Pesar 1 m de la tela medida (Telas, kg por metro). ","")&amp;IF(T71="","Consumo Tela 2. ","")&amp;IF(W71="","Consumo Tela 3. ","")&amp;IF(K71="","Elegir tela principal. ",IF(ISERROR(INDEX(Telas!$I$6:$I$105,MATCH(K71,Telas!$A$6:$A$105,0))*1),"Precio o peso por metro de "&amp;K71&amp;". ",""))&amp;IF(AND(N(T71)&gt;0,L71=""),"Elegir Tela 2. ",IF(AND(N(T71)&gt;0,ISERROR(INDEX(Telas!$I$6:$I$105,MATCH(L71,Telas!$A$6:$A$105,0))*1)),"Precio o peso por metro de "&amp;L71&amp;". ",""))&amp;IF(Y71="","Metros impresos. ","")&amp;IF(F71="","Tipo de confección. ",IF(AB71="","Precio de confección. ",""))))</f>
        <v/>
      </c>
      <c r="AH71" s="27"/>
    </row>
    <row r="72" customFormat="false" ht="15" hidden="false" customHeight="false" outlineLevel="0" collapsed="false">
      <c r="A72" s="27"/>
      <c r="B72" s="27"/>
      <c r="C72" s="27"/>
      <c r="D72" s="27"/>
      <c r="E72" s="27"/>
      <c r="F72" s="27"/>
      <c r="G72" s="8"/>
      <c r="H72" s="27"/>
      <c r="I72" s="8"/>
      <c r="J72" s="27"/>
      <c r="K72" s="8"/>
      <c r="L72" s="8"/>
      <c r="M72" s="8"/>
      <c r="N72" s="8"/>
      <c r="O72" s="9" t="str">
        <f aca="false">IF($A72="","",IF(COUNTIFS(Despiece!$A$6:$A$705,$A72,Despiece!$D$6:$D$705,"Tela principal",Despiece!$F$6:$F$705,"&gt;0")=0,"",SUMIFS(Despiece!$F$6:$F$705,Despiece!$A$6:$A$705,$A72,Despiece!$D$6:$D$705,"Tela principal")))</f>
        <v/>
      </c>
      <c r="P72" s="9" t="str">
        <f aca="false">IF($A72="","",IFERROR(AVERAGEIFS(Mediciones!$K$6:$K$305,Mediciones!$C$6:$C$305,$A72,Mediciones!$D$6:$D$305,"Tela principal"),""))</f>
        <v/>
      </c>
      <c r="Q72" s="28" t="str">
        <f aca="false">IF($A72="","",IF(N(IF($N72="Despiece",IF(ISNUMBER(O72),O72*(1+Parametros!$B$22),IF(COUNTIFS(Despiece!$A$6:$A$705,$A72,Despiece!$D$6:$D$705,"Tela principal")&gt;0,"",0)),IF($N72="Medición real",IF(ISNUMBER(P72),P72,IF(COUNTIFS(Mediciones!$C$6:$C$305,$A72,Mediciones!$D$6:$D$305,"Tela principal")&gt;0,"",0)),IF(ISNUMBER(P72),P72,IF(ISNUMBER(O72),O72*(1+Parametros!$B$22),IF(OR(COUNTIFS(Despiece!$A$6:$A$705,$A72,Despiece!$D$6:$D$705,"Tela principal")&gt;0,COUNTIFS(Mediciones!$C$6:$C$305,$A72,Mediciones!$D$6:$D$305,"Tela principal")&gt;0),"",0))))))=0,"",IF($N72="Despiece",IF(ISNUMBER(O72),O72*(1+Parametros!$B$22),IF(COUNTIFS(Despiece!$A$6:$A$705,$A72,Despiece!$D$6:$D$705,"Tela principal")&gt;0,"",0)),IF($N72="Medición real",IF(ISNUMBER(P72),P72,IF(COUNTIFS(Mediciones!$C$6:$C$305,$A72,Mediciones!$D$6:$D$305,"Tela principal")&gt;0,"",0)),IF(ISNUMBER(P72),P72,IF(ISNUMBER(O72),O72*(1+Parametros!$B$22),IF(OR(COUNTIFS(Despiece!$A$6:$A$705,$A72,Despiece!$D$6:$D$705,"Tela principal")&gt;0,COUNTIFS(Mediciones!$C$6:$C$305,$A72,Mediciones!$D$6:$D$305,"Tela principal")&gt;0),"",0)))))))</f>
        <v/>
      </c>
      <c r="R72" s="9" t="str">
        <f aca="false">IF($A72="","",IF(COUNTIFS(Despiece!$A$6:$A$705,$A72,Despiece!$D$6:$D$705,"Tela 2",Despiece!$F$6:$F$705,"&gt;0")=0,"",SUMIFS(Despiece!$F$6:$F$705,Despiece!$A$6:$A$705,$A72,Despiece!$D$6:$D$705,"Tela 2")))</f>
        <v/>
      </c>
      <c r="S72" s="9" t="str">
        <f aca="false">IF($A72="","",IFERROR(AVERAGEIFS(Mediciones!$K$6:$K$305,Mediciones!$C$6:$C$305,$A72,Mediciones!$D$6:$D$305,"Tela 2"),""))</f>
        <v/>
      </c>
      <c r="T72" s="28" t="str">
        <f aca="false">IF($A72="","",IF($N72="Despiece",IF(ISNUMBER(R72),R72*(1+Parametros!$B$22),IF(COUNTIFS(Despiece!$A$6:$A$705,$A72,Despiece!$D$6:$D$705,"Tela 2")&gt;0,"",0)),IF($N72="Medición real",IF(ISNUMBER(S72),S72,IF(COUNTIFS(Mediciones!$C$6:$C$305,$A72,Mediciones!$D$6:$D$305,"Tela 2")&gt;0,"",0)),IF(ISNUMBER(S72),S72,IF(ISNUMBER(R72),R72*(1+Parametros!$B$22),IF(OR(COUNTIFS(Despiece!$A$6:$A$705,$A72,Despiece!$D$6:$D$705,"Tela 2")&gt;0,COUNTIFS(Mediciones!$C$6:$C$305,$A72,Mediciones!$D$6:$D$305,"Tela 2")&gt;0),"",0))))))</f>
        <v/>
      </c>
      <c r="U72" s="9" t="str">
        <f aca="false">IF($A72="","",IF(COUNTIFS(Despiece!$A$6:$A$705,$A72,Despiece!$D$6:$D$705,"Tela 3",Despiece!$F$6:$F$705,"&gt;0")=0,"",SUMIFS(Despiece!$F$6:$F$705,Despiece!$A$6:$A$705,$A72,Despiece!$D$6:$D$705,"Tela 3")))</f>
        <v/>
      </c>
      <c r="V72" s="9" t="str">
        <f aca="false">IF($A72="","",IFERROR(AVERAGEIFS(Mediciones!$K$6:$K$305,Mediciones!$C$6:$C$305,$A72,Mediciones!$D$6:$D$305,"Tela 3"),""))</f>
        <v/>
      </c>
      <c r="W72" s="28" t="str">
        <f aca="false">IF($A72="","",IF($N72="Despiece",IF(ISNUMBER(U72),U72*(1+Parametros!$B$22),IF(COUNTIFS(Despiece!$A$6:$A$705,$A72,Despiece!$D$6:$D$705,"Tela 3")&gt;0,"",0)),IF($N72="Medición real",IF(ISNUMBER(V72),V72,IF(COUNTIFS(Mediciones!$C$6:$C$305,$A72,Mediciones!$D$6:$D$305,"Tela 3")&gt;0,"",0)),IF(ISNUMBER(V72),V72,IF(ISNUMBER(U72),U72*(1+Parametros!$B$22),IF(OR(COUNTIFS(Despiece!$A$6:$A$705,$A72,Despiece!$D$6:$D$705,"Tela 3")&gt;0,COUNTIFS(Mediciones!$C$6:$C$305,$A72,Mediciones!$D$6:$D$305,"Tela 3")&gt;0),"",0))))))</f>
        <v/>
      </c>
      <c r="X72" s="27"/>
      <c r="Y72" s="9" t="str">
        <f aca="false">IF($A72="","",IF(ISNUMBER(X72),X72,IF(COUNTIFS(Despiece!$A$6:$A$705,$A72,Despiece!$E$6:$E$705,"Sublimada",Despiece!$F$6:$F$705,"&gt;0")&gt;0,SUMIFS(Despiece!$F$6:$F$705,Despiece!$A$6:$A$705,$A72,Despiece!$E$6:$E$705,"Sublimada")*(1+Parametros!$B$22),IF(COUNTIFS(Despiece!$A$6:$A$705,$A72,Despiece!$E$6:$E$705,"Sublimada")=0,0,""))))</f>
        <v/>
      </c>
      <c r="Z72" s="10" t="str">
        <f aca="false">IF($A72="","",IFERROR(IF(ISNUMBER(Q72),IF(Q72=0,0,Q72*INDEX(Telas!$I$6:$I$105,MATCH(K72,Telas!$A$6:$A$105,0))),NA())+IF(ISNUMBER(T72),IF(T72=0,0,T72*INDEX(Telas!$I$6:$I$105,MATCH(L72,Telas!$A$6:$A$105,0))),NA())+IF(ISNUMBER(W72),IF(W72=0,0,W72*INDEX(Telas!$I$6:$I$105,MATCH(IF(M72="",K72,M72),Telas!$A$6:$A$105,0))),NA()),""))</f>
        <v/>
      </c>
      <c r="AA72" s="10" t="str">
        <f aca="false">IF($A72="","",IF(ISNUMBER(Y72),Y72*Parametros!$B$19,""))</f>
        <v/>
      </c>
      <c r="AB72" s="10" t="str">
        <f aca="false">IF(OR($A72="",F72=""),"",IFERROR(INDEX(Confeccion!$B$6:$B$125,MATCH(F72,Confeccion!$A$6:$A$125,0)),""))</f>
        <v/>
      </c>
      <c r="AC72" s="10" t="str">
        <f aca="false">IF($A72="","",IFERROR(N(H72)*IF(G72="",0,INDEX(Avios!$C$6:$C$65,MATCH(G72,Avios!$A$6:$A$65,0)))+N(J72)*IF(I72="",0,INDEX(Avios!$C$6:$C$65,MATCH(I72,Avios!$A$6:$A$65,0))),""))</f>
        <v/>
      </c>
      <c r="AD72" s="11" t="str">
        <f aca="false">IF($A72="","",IFERROR(Z72+AA72+AB72+AC72,""))</f>
        <v/>
      </c>
      <c r="AE72" s="10" t="str">
        <f aca="false">IF(ISNUMBER(AD72),AD72*Parametros!$B$12,"")</f>
        <v/>
      </c>
      <c r="AF72" s="29" t="str">
        <f aca="false">IF(AND(ISNUMBER(Q72),K72&lt;&gt;""),IFERROR(1/(Q72*INDEX(Telas!$G$6:$G$105,MATCH(K72,Telas!$A$6:$A$105,0))),""),"")</f>
        <v/>
      </c>
      <c r="AG72" s="0" t="str">
        <f aca="false">IF($A72="","",IF(ISNUMBER(AD72),IF(AND(N(Y72)&gt;0,N(Parametros!$B$19)=0),"Lista, pero sin costo de impresión (Parametros)","Lista"),IF(Q72="","Consumo tela principal (Despiece o Mediciones). ","")&amp;IF(COUNTIFS(Mediciones!$C$6:$C$305,$A72,Mediciones!$K$6:$K$305,"")&gt;0,"Pesar 1 m de la tela medida (Telas, kg por metro). ","")&amp;IF(T72="","Consumo Tela 2. ","")&amp;IF(W72="","Consumo Tela 3. ","")&amp;IF(K72="","Elegir tela principal. ",IF(ISERROR(INDEX(Telas!$I$6:$I$105,MATCH(K72,Telas!$A$6:$A$105,0))*1),"Precio o peso por metro de "&amp;K72&amp;". ",""))&amp;IF(AND(N(T72)&gt;0,L72=""),"Elegir Tela 2. ",IF(AND(N(T72)&gt;0,ISERROR(INDEX(Telas!$I$6:$I$105,MATCH(L72,Telas!$A$6:$A$105,0))*1)),"Precio o peso por metro de "&amp;L72&amp;". ",""))&amp;IF(Y72="","Metros impresos. ","")&amp;IF(F72="","Tipo de confección. ",IF(AB72="","Precio de confección. ",""))))</f>
        <v/>
      </c>
      <c r="AH72" s="27"/>
    </row>
    <row r="73" customFormat="false" ht="15" hidden="false" customHeight="false" outlineLevel="0" collapsed="false">
      <c r="A73" s="27"/>
      <c r="B73" s="27"/>
      <c r="C73" s="27"/>
      <c r="D73" s="27"/>
      <c r="E73" s="27"/>
      <c r="F73" s="27"/>
      <c r="G73" s="8"/>
      <c r="H73" s="27"/>
      <c r="I73" s="8"/>
      <c r="J73" s="27"/>
      <c r="K73" s="8"/>
      <c r="L73" s="8"/>
      <c r="M73" s="8"/>
      <c r="N73" s="8"/>
      <c r="O73" s="9" t="str">
        <f aca="false">IF($A73="","",IF(COUNTIFS(Despiece!$A$6:$A$705,$A73,Despiece!$D$6:$D$705,"Tela principal",Despiece!$F$6:$F$705,"&gt;0")=0,"",SUMIFS(Despiece!$F$6:$F$705,Despiece!$A$6:$A$705,$A73,Despiece!$D$6:$D$705,"Tela principal")))</f>
        <v/>
      </c>
      <c r="P73" s="9" t="str">
        <f aca="false">IF($A73="","",IFERROR(AVERAGEIFS(Mediciones!$K$6:$K$305,Mediciones!$C$6:$C$305,$A73,Mediciones!$D$6:$D$305,"Tela principal"),""))</f>
        <v/>
      </c>
      <c r="Q73" s="28" t="str">
        <f aca="false">IF($A73="","",IF(N(IF($N73="Despiece",IF(ISNUMBER(O73),O73*(1+Parametros!$B$22),IF(COUNTIFS(Despiece!$A$6:$A$705,$A73,Despiece!$D$6:$D$705,"Tela principal")&gt;0,"",0)),IF($N73="Medición real",IF(ISNUMBER(P73),P73,IF(COUNTIFS(Mediciones!$C$6:$C$305,$A73,Mediciones!$D$6:$D$305,"Tela principal")&gt;0,"",0)),IF(ISNUMBER(P73),P73,IF(ISNUMBER(O73),O73*(1+Parametros!$B$22),IF(OR(COUNTIFS(Despiece!$A$6:$A$705,$A73,Despiece!$D$6:$D$705,"Tela principal")&gt;0,COUNTIFS(Mediciones!$C$6:$C$305,$A73,Mediciones!$D$6:$D$305,"Tela principal")&gt;0),"",0))))))=0,"",IF($N73="Despiece",IF(ISNUMBER(O73),O73*(1+Parametros!$B$22),IF(COUNTIFS(Despiece!$A$6:$A$705,$A73,Despiece!$D$6:$D$705,"Tela principal")&gt;0,"",0)),IF($N73="Medición real",IF(ISNUMBER(P73),P73,IF(COUNTIFS(Mediciones!$C$6:$C$305,$A73,Mediciones!$D$6:$D$305,"Tela principal")&gt;0,"",0)),IF(ISNUMBER(P73),P73,IF(ISNUMBER(O73),O73*(1+Parametros!$B$22),IF(OR(COUNTIFS(Despiece!$A$6:$A$705,$A73,Despiece!$D$6:$D$705,"Tela principal")&gt;0,COUNTIFS(Mediciones!$C$6:$C$305,$A73,Mediciones!$D$6:$D$305,"Tela principal")&gt;0),"",0)))))))</f>
        <v/>
      </c>
      <c r="R73" s="9" t="str">
        <f aca="false">IF($A73="","",IF(COUNTIFS(Despiece!$A$6:$A$705,$A73,Despiece!$D$6:$D$705,"Tela 2",Despiece!$F$6:$F$705,"&gt;0")=0,"",SUMIFS(Despiece!$F$6:$F$705,Despiece!$A$6:$A$705,$A73,Despiece!$D$6:$D$705,"Tela 2")))</f>
        <v/>
      </c>
      <c r="S73" s="9" t="str">
        <f aca="false">IF($A73="","",IFERROR(AVERAGEIFS(Mediciones!$K$6:$K$305,Mediciones!$C$6:$C$305,$A73,Mediciones!$D$6:$D$305,"Tela 2"),""))</f>
        <v/>
      </c>
      <c r="T73" s="28" t="str">
        <f aca="false">IF($A73="","",IF($N73="Despiece",IF(ISNUMBER(R73),R73*(1+Parametros!$B$22),IF(COUNTIFS(Despiece!$A$6:$A$705,$A73,Despiece!$D$6:$D$705,"Tela 2")&gt;0,"",0)),IF($N73="Medición real",IF(ISNUMBER(S73),S73,IF(COUNTIFS(Mediciones!$C$6:$C$305,$A73,Mediciones!$D$6:$D$305,"Tela 2")&gt;0,"",0)),IF(ISNUMBER(S73),S73,IF(ISNUMBER(R73),R73*(1+Parametros!$B$22),IF(OR(COUNTIFS(Despiece!$A$6:$A$705,$A73,Despiece!$D$6:$D$705,"Tela 2")&gt;0,COUNTIFS(Mediciones!$C$6:$C$305,$A73,Mediciones!$D$6:$D$305,"Tela 2")&gt;0),"",0))))))</f>
        <v/>
      </c>
      <c r="U73" s="9" t="str">
        <f aca="false">IF($A73="","",IF(COUNTIFS(Despiece!$A$6:$A$705,$A73,Despiece!$D$6:$D$705,"Tela 3",Despiece!$F$6:$F$705,"&gt;0")=0,"",SUMIFS(Despiece!$F$6:$F$705,Despiece!$A$6:$A$705,$A73,Despiece!$D$6:$D$705,"Tela 3")))</f>
        <v/>
      </c>
      <c r="V73" s="9" t="str">
        <f aca="false">IF($A73="","",IFERROR(AVERAGEIFS(Mediciones!$K$6:$K$305,Mediciones!$C$6:$C$305,$A73,Mediciones!$D$6:$D$305,"Tela 3"),""))</f>
        <v/>
      </c>
      <c r="W73" s="28" t="str">
        <f aca="false">IF($A73="","",IF($N73="Despiece",IF(ISNUMBER(U73),U73*(1+Parametros!$B$22),IF(COUNTIFS(Despiece!$A$6:$A$705,$A73,Despiece!$D$6:$D$705,"Tela 3")&gt;0,"",0)),IF($N73="Medición real",IF(ISNUMBER(V73),V73,IF(COUNTIFS(Mediciones!$C$6:$C$305,$A73,Mediciones!$D$6:$D$305,"Tela 3")&gt;0,"",0)),IF(ISNUMBER(V73),V73,IF(ISNUMBER(U73),U73*(1+Parametros!$B$22),IF(OR(COUNTIFS(Despiece!$A$6:$A$705,$A73,Despiece!$D$6:$D$705,"Tela 3")&gt;0,COUNTIFS(Mediciones!$C$6:$C$305,$A73,Mediciones!$D$6:$D$305,"Tela 3")&gt;0),"",0))))))</f>
        <v/>
      </c>
      <c r="X73" s="27"/>
      <c r="Y73" s="9" t="str">
        <f aca="false">IF($A73="","",IF(ISNUMBER(X73),X73,IF(COUNTIFS(Despiece!$A$6:$A$705,$A73,Despiece!$E$6:$E$705,"Sublimada",Despiece!$F$6:$F$705,"&gt;0")&gt;0,SUMIFS(Despiece!$F$6:$F$705,Despiece!$A$6:$A$705,$A73,Despiece!$E$6:$E$705,"Sublimada")*(1+Parametros!$B$22),IF(COUNTIFS(Despiece!$A$6:$A$705,$A73,Despiece!$E$6:$E$705,"Sublimada")=0,0,""))))</f>
        <v/>
      </c>
      <c r="Z73" s="10" t="str">
        <f aca="false">IF($A73="","",IFERROR(IF(ISNUMBER(Q73),IF(Q73=0,0,Q73*INDEX(Telas!$I$6:$I$105,MATCH(K73,Telas!$A$6:$A$105,0))),NA())+IF(ISNUMBER(T73),IF(T73=0,0,T73*INDEX(Telas!$I$6:$I$105,MATCH(L73,Telas!$A$6:$A$105,0))),NA())+IF(ISNUMBER(W73),IF(W73=0,0,W73*INDEX(Telas!$I$6:$I$105,MATCH(IF(M73="",K73,M73),Telas!$A$6:$A$105,0))),NA()),""))</f>
        <v/>
      </c>
      <c r="AA73" s="10" t="str">
        <f aca="false">IF($A73="","",IF(ISNUMBER(Y73),Y73*Parametros!$B$19,""))</f>
        <v/>
      </c>
      <c r="AB73" s="10" t="str">
        <f aca="false">IF(OR($A73="",F73=""),"",IFERROR(INDEX(Confeccion!$B$6:$B$125,MATCH(F73,Confeccion!$A$6:$A$125,0)),""))</f>
        <v/>
      </c>
      <c r="AC73" s="10" t="str">
        <f aca="false">IF($A73="","",IFERROR(N(H73)*IF(G73="",0,INDEX(Avios!$C$6:$C$65,MATCH(G73,Avios!$A$6:$A$65,0)))+N(J73)*IF(I73="",0,INDEX(Avios!$C$6:$C$65,MATCH(I73,Avios!$A$6:$A$65,0))),""))</f>
        <v/>
      </c>
      <c r="AD73" s="11" t="str">
        <f aca="false">IF($A73="","",IFERROR(Z73+AA73+AB73+AC73,""))</f>
        <v/>
      </c>
      <c r="AE73" s="10" t="str">
        <f aca="false">IF(ISNUMBER(AD73),AD73*Parametros!$B$12,"")</f>
        <v/>
      </c>
      <c r="AF73" s="29" t="str">
        <f aca="false">IF(AND(ISNUMBER(Q73),K73&lt;&gt;""),IFERROR(1/(Q73*INDEX(Telas!$G$6:$G$105,MATCH(K73,Telas!$A$6:$A$105,0))),""),"")</f>
        <v/>
      </c>
      <c r="AG73" s="0" t="str">
        <f aca="false">IF($A73="","",IF(ISNUMBER(AD73),IF(AND(N(Y73)&gt;0,N(Parametros!$B$19)=0),"Lista, pero sin costo de impresión (Parametros)","Lista"),IF(Q73="","Consumo tela principal (Despiece o Mediciones). ","")&amp;IF(COUNTIFS(Mediciones!$C$6:$C$305,$A73,Mediciones!$K$6:$K$305,"")&gt;0,"Pesar 1 m de la tela medida (Telas, kg por metro). ","")&amp;IF(T73="","Consumo Tela 2. ","")&amp;IF(W73="","Consumo Tela 3. ","")&amp;IF(K73="","Elegir tela principal. ",IF(ISERROR(INDEX(Telas!$I$6:$I$105,MATCH(K73,Telas!$A$6:$A$105,0))*1),"Precio o peso por metro de "&amp;K73&amp;". ",""))&amp;IF(AND(N(T73)&gt;0,L73=""),"Elegir Tela 2. ",IF(AND(N(T73)&gt;0,ISERROR(INDEX(Telas!$I$6:$I$105,MATCH(L73,Telas!$A$6:$A$105,0))*1)),"Precio o peso por metro de "&amp;L73&amp;". ",""))&amp;IF(Y73="","Metros impresos. ","")&amp;IF(F73="","Tipo de confección. ",IF(AB73="","Precio de confección. ",""))))</f>
        <v/>
      </c>
      <c r="AH73" s="27"/>
    </row>
    <row r="74" customFormat="false" ht="15" hidden="false" customHeight="false" outlineLevel="0" collapsed="false">
      <c r="A74" s="27"/>
      <c r="B74" s="27"/>
      <c r="C74" s="27"/>
      <c r="D74" s="27"/>
      <c r="E74" s="27"/>
      <c r="F74" s="27"/>
      <c r="G74" s="8"/>
      <c r="H74" s="27"/>
      <c r="I74" s="8"/>
      <c r="J74" s="27"/>
      <c r="K74" s="8"/>
      <c r="L74" s="8"/>
      <c r="M74" s="8"/>
      <c r="N74" s="8"/>
      <c r="O74" s="9" t="str">
        <f aca="false">IF($A74="","",IF(COUNTIFS(Despiece!$A$6:$A$705,$A74,Despiece!$D$6:$D$705,"Tela principal",Despiece!$F$6:$F$705,"&gt;0")=0,"",SUMIFS(Despiece!$F$6:$F$705,Despiece!$A$6:$A$705,$A74,Despiece!$D$6:$D$705,"Tela principal")))</f>
        <v/>
      </c>
      <c r="P74" s="9" t="str">
        <f aca="false">IF($A74="","",IFERROR(AVERAGEIFS(Mediciones!$K$6:$K$305,Mediciones!$C$6:$C$305,$A74,Mediciones!$D$6:$D$305,"Tela principal"),""))</f>
        <v/>
      </c>
      <c r="Q74" s="28" t="str">
        <f aca="false">IF($A74="","",IF(N(IF($N74="Despiece",IF(ISNUMBER(O74),O74*(1+Parametros!$B$22),IF(COUNTIFS(Despiece!$A$6:$A$705,$A74,Despiece!$D$6:$D$705,"Tela principal")&gt;0,"",0)),IF($N74="Medición real",IF(ISNUMBER(P74),P74,IF(COUNTIFS(Mediciones!$C$6:$C$305,$A74,Mediciones!$D$6:$D$305,"Tela principal")&gt;0,"",0)),IF(ISNUMBER(P74),P74,IF(ISNUMBER(O74),O74*(1+Parametros!$B$22),IF(OR(COUNTIFS(Despiece!$A$6:$A$705,$A74,Despiece!$D$6:$D$705,"Tela principal")&gt;0,COUNTIFS(Mediciones!$C$6:$C$305,$A74,Mediciones!$D$6:$D$305,"Tela principal")&gt;0),"",0))))))=0,"",IF($N74="Despiece",IF(ISNUMBER(O74),O74*(1+Parametros!$B$22),IF(COUNTIFS(Despiece!$A$6:$A$705,$A74,Despiece!$D$6:$D$705,"Tela principal")&gt;0,"",0)),IF($N74="Medición real",IF(ISNUMBER(P74),P74,IF(COUNTIFS(Mediciones!$C$6:$C$305,$A74,Mediciones!$D$6:$D$305,"Tela principal")&gt;0,"",0)),IF(ISNUMBER(P74),P74,IF(ISNUMBER(O74),O74*(1+Parametros!$B$22),IF(OR(COUNTIFS(Despiece!$A$6:$A$705,$A74,Despiece!$D$6:$D$705,"Tela principal")&gt;0,COUNTIFS(Mediciones!$C$6:$C$305,$A74,Mediciones!$D$6:$D$305,"Tela principal")&gt;0),"",0)))))))</f>
        <v/>
      </c>
      <c r="R74" s="9" t="str">
        <f aca="false">IF($A74="","",IF(COUNTIFS(Despiece!$A$6:$A$705,$A74,Despiece!$D$6:$D$705,"Tela 2",Despiece!$F$6:$F$705,"&gt;0")=0,"",SUMIFS(Despiece!$F$6:$F$705,Despiece!$A$6:$A$705,$A74,Despiece!$D$6:$D$705,"Tela 2")))</f>
        <v/>
      </c>
      <c r="S74" s="9" t="str">
        <f aca="false">IF($A74="","",IFERROR(AVERAGEIFS(Mediciones!$K$6:$K$305,Mediciones!$C$6:$C$305,$A74,Mediciones!$D$6:$D$305,"Tela 2"),""))</f>
        <v/>
      </c>
      <c r="T74" s="28" t="str">
        <f aca="false">IF($A74="","",IF($N74="Despiece",IF(ISNUMBER(R74),R74*(1+Parametros!$B$22),IF(COUNTIFS(Despiece!$A$6:$A$705,$A74,Despiece!$D$6:$D$705,"Tela 2")&gt;0,"",0)),IF($N74="Medición real",IF(ISNUMBER(S74),S74,IF(COUNTIFS(Mediciones!$C$6:$C$305,$A74,Mediciones!$D$6:$D$305,"Tela 2")&gt;0,"",0)),IF(ISNUMBER(S74),S74,IF(ISNUMBER(R74),R74*(1+Parametros!$B$22),IF(OR(COUNTIFS(Despiece!$A$6:$A$705,$A74,Despiece!$D$6:$D$705,"Tela 2")&gt;0,COUNTIFS(Mediciones!$C$6:$C$305,$A74,Mediciones!$D$6:$D$305,"Tela 2")&gt;0),"",0))))))</f>
        <v/>
      </c>
      <c r="U74" s="9" t="str">
        <f aca="false">IF($A74="","",IF(COUNTIFS(Despiece!$A$6:$A$705,$A74,Despiece!$D$6:$D$705,"Tela 3",Despiece!$F$6:$F$705,"&gt;0")=0,"",SUMIFS(Despiece!$F$6:$F$705,Despiece!$A$6:$A$705,$A74,Despiece!$D$6:$D$705,"Tela 3")))</f>
        <v/>
      </c>
      <c r="V74" s="9" t="str">
        <f aca="false">IF($A74="","",IFERROR(AVERAGEIFS(Mediciones!$K$6:$K$305,Mediciones!$C$6:$C$305,$A74,Mediciones!$D$6:$D$305,"Tela 3"),""))</f>
        <v/>
      </c>
      <c r="W74" s="28" t="str">
        <f aca="false">IF($A74="","",IF($N74="Despiece",IF(ISNUMBER(U74),U74*(1+Parametros!$B$22),IF(COUNTIFS(Despiece!$A$6:$A$705,$A74,Despiece!$D$6:$D$705,"Tela 3")&gt;0,"",0)),IF($N74="Medición real",IF(ISNUMBER(V74),V74,IF(COUNTIFS(Mediciones!$C$6:$C$305,$A74,Mediciones!$D$6:$D$305,"Tela 3")&gt;0,"",0)),IF(ISNUMBER(V74),V74,IF(ISNUMBER(U74),U74*(1+Parametros!$B$22),IF(OR(COUNTIFS(Despiece!$A$6:$A$705,$A74,Despiece!$D$6:$D$705,"Tela 3")&gt;0,COUNTIFS(Mediciones!$C$6:$C$305,$A74,Mediciones!$D$6:$D$305,"Tela 3")&gt;0),"",0))))))</f>
        <v/>
      </c>
      <c r="X74" s="27"/>
      <c r="Y74" s="9" t="str">
        <f aca="false">IF($A74="","",IF(ISNUMBER(X74),X74,IF(COUNTIFS(Despiece!$A$6:$A$705,$A74,Despiece!$E$6:$E$705,"Sublimada",Despiece!$F$6:$F$705,"&gt;0")&gt;0,SUMIFS(Despiece!$F$6:$F$705,Despiece!$A$6:$A$705,$A74,Despiece!$E$6:$E$705,"Sublimada")*(1+Parametros!$B$22),IF(COUNTIFS(Despiece!$A$6:$A$705,$A74,Despiece!$E$6:$E$705,"Sublimada")=0,0,""))))</f>
        <v/>
      </c>
      <c r="Z74" s="10" t="str">
        <f aca="false">IF($A74="","",IFERROR(IF(ISNUMBER(Q74),IF(Q74=0,0,Q74*INDEX(Telas!$I$6:$I$105,MATCH(K74,Telas!$A$6:$A$105,0))),NA())+IF(ISNUMBER(T74),IF(T74=0,0,T74*INDEX(Telas!$I$6:$I$105,MATCH(L74,Telas!$A$6:$A$105,0))),NA())+IF(ISNUMBER(W74),IF(W74=0,0,W74*INDEX(Telas!$I$6:$I$105,MATCH(IF(M74="",K74,M74),Telas!$A$6:$A$105,0))),NA()),""))</f>
        <v/>
      </c>
      <c r="AA74" s="10" t="str">
        <f aca="false">IF($A74="","",IF(ISNUMBER(Y74),Y74*Parametros!$B$19,""))</f>
        <v/>
      </c>
      <c r="AB74" s="10" t="str">
        <f aca="false">IF(OR($A74="",F74=""),"",IFERROR(INDEX(Confeccion!$B$6:$B$125,MATCH(F74,Confeccion!$A$6:$A$125,0)),""))</f>
        <v/>
      </c>
      <c r="AC74" s="10" t="str">
        <f aca="false">IF($A74="","",IFERROR(N(H74)*IF(G74="",0,INDEX(Avios!$C$6:$C$65,MATCH(G74,Avios!$A$6:$A$65,0)))+N(J74)*IF(I74="",0,INDEX(Avios!$C$6:$C$65,MATCH(I74,Avios!$A$6:$A$65,0))),""))</f>
        <v/>
      </c>
      <c r="AD74" s="11" t="str">
        <f aca="false">IF($A74="","",IFERROR(Z74+AA74+AB74+AC74,""))</f>
        <v/>
      </c>
      <c r="AE74" s="10" t="str">
        <f aca="false">IF(ISNUMBER(AD74),AD74*Parametros!$B$12,"")</f>
        <v/>
      </c>
      <c r="AF74" s="29" t="str">
        <f aca="false">IF(AND(ISNUMBER(Q74),K74&lt;&gt;""),IFERROR(1/(Q74*INDEX(Telas!$G$6:$G$105,MATCH(K74,Telas!$A$6:$A$105,0))),""),"")</f>
        <v/>
      </c>
      <c r="AG74" s="0" t="str">
        <f aca="false">IF($A74="","",IF(ISNUMBER(AD74),IF(AND(N(Y74)&gt;0,N(Parametros!$B$19)=0),"Lista, pero sin costo de impresión (Parametros)","Lista"),IF(Q74="","Consumo tela principal (Despiece o Mediciones). ","")&amp;IF(COUNTIFS(Mediciones!$C$6:$C$305,$A74,Mediciones!$K$6:$K$305,"")&gt;0,"Pesar 1 m de la tela medida (Telas, kg por metro). ","")&amp;IF(T74="","Consumo Tela 2. ","")&amp;IF(W74="","Consumo Tela 3. ","")&amp;IF(K74="","Elegir tela principal. ",IF(ISERROR(INDEX(Telas!$I$6:$I$105,MATCH(K74,Telas!$A$6:$A$105,0))*1),"Precio o peso por metro de "&amp;K74&amp;". ",""))&amp;IF(AND(N(T74)&gt;0,L74=""),"Elegir Tela 2. ",IF(AND(N(T74)&gt;0,ISERROR(INDEX(Telas!$I$6:$I$105,MATCH(L74,Telas!$A$6:$A$105,0))*1)),"Precio o peso por metro de "&amp;L74&amp;". ",""))&amp;IF(Y74="","Metros impresos. ","")&amp;IF(F74="","Tipo de confección. ",IF(AB74="","Precio de confección. ",""))))</f>
        <v/>
      </c>
      <c r="AH74" s="27"/>
    </row>
    <row r="75" customFormat="false" ht="15" hidden="false" customHeight="false" outlineLevel="0" collapsed="false">
      <c r="A75" s="27"/>
      <c r="B75" s="27"/>
      <c r="C75" s="27"/>
      <c r="D75" s="27"/>
      <c r="E75" s="27"/>
      <c r="F75" s="27"/>
      <c r="G75" s="8"/>
      <c r="H75" s="27"/>
      <c r="I75" s="8"/>
      <c r="J75" s="27"/>
      <c r="K75" s="8"/>
      <c r="L75" s="8"/>
      <c r="M75" s="8"/>
      <c r="N75" s="8"/>
      <c r="O75" s="9" t="str">
        <f aca="false">IF($A75="","",IF(COUNTIFS(Despiece!$A$6:$A$705,$A75,Despiece!$D$6:$D$705,"Tela principal",Despiece!$F$6:$F$705,"&gt;0")=0,"",SUMIFS(Despiece!$F$6:$F$705,Despiece!$A$6:$A$705,$A75,Despiece!$D$6:$D$705,"Tela principal")))</f>
        <v/>
      </c>
      <c r="P75" s="9" t="str">
        <f aca="false">IF($A75="","",IFERROR(AVERAGEIFS(Mediciones!$K$6:$K$305,Mediciones!$C$6:$C$305,$A75,Mediciones!$D$6:$D$305,"Tela principal"),""))</f>
        <v/>
      </c>
      <c r="Q75" s="28" t="str">
        <f aca="false">IF($A75="","",IF(N(IF($N75="Despiece",IF(ISNUMBER(O75),O75*(1+Parametros!$B$22),IF(COUNTIFS(Despiece!$A$6:$A$705,$A75,Despiece!$D$6:$D$705,"Tela principal")&gt;0,"",0)),IF($N75="Medición real",IF(ISNUMBER(P75),P75,IF(COUNTIFS(Mediciones!$C$6:$C$305,$A75,Mediciones!$D$6:$D$305,"Tela principal")&gt;0,"",0)),IF(ISNUMBER(P75),P75,IF(ISNUMBER(O75),O75*(1+Parametros!$B$22),IF(OR(COUNTIFS(Despiece!$A$6:$A$705,$A75,Despiece!$D$6:$D$705,"Tela principal")&gt;0,COUNTIFS(Mediciones!$C$6:$C$305,$A75,Mediciones!$D$6:$D$305,"Tela principal")&gt;0),"",0))))))=0,"",IF($N75="Despiece",IF(ISNUMBER(O75),O75*(1+Parametros!$B$22),IF(COUNTIFS(Despiece!$A$6:$A$705,$A75,Despiece!$D$6:$D$705,"Tela principal")&gt;0,"",0)),IF($N75="Medición real",IF(ISNUMBER(P75),P75,IF(COUNTIFS(Mediciones!$C$6:$C$305,$A75,Mediciones!$D$6:$D$305,"Tela principal")&gt;0,"",0)),IF(ISNUMBER(P75),P75,IF(ISNUMBER(O75),O75*(1+Parametros!$B$22),IF(OR(COUNTIFS(Despiece!$A$6:$A$705,$A75,Despiece!$D$6:$D$705,"Tela principal")&gt;0,COUNTIFS(Mediciones!$C$6:$C$305,$A75,Mediciones!$D$6:$D$305,"Tela principal")&gt;0),"",0)))))))</f>
        <v/>
      </c>
      <c r="R75" s="9" t="str">
        <f aca="false">IF($A75="","",IF(COUNTIFS(Despiece!$A$6:$A$705,$A75,Despiece!$D$6:$D$705,"Tela 2",Despiece!$F$6:$F$705,"&gt;0")=0,"",SUMIFS(Despiece!$F$6:$F$705,Despiece!$A$6:$A$705,$A75,Despiece!$D$6:$D$705,"Tela 2")))</f>
        <v/>
      </c>
      <c r="S75" s="9" t="str">
        <f aca="false">IF($A75="","",IFERROR(AVERAGEIFS(Mediciones!$K$6:$K$305,Mediciones!$C$6:$C$305,$A75,Mediciones!$D$6:$D$305,"Tela 2"),""))</f>
        <v/>
      </c>
      <c r="T75" s="28" t="str">
        <f aca="false">IF($A75="","",IF($N75="Despiece",IF(ISNUMBER(R75),R75*(1+Parametros!$B$22),IF(COUNTIFS(Despiece!$A$6:$A$705,$A75,Despiece!$D$6:$D$705,"Tela 2")&gt;0,"",0)),IF($N75="Medición real",IF(ISNUMBER(S75),S75,IF(COUNTIFS(Mediciones!$C$6:$C$305,$A75,Mediciones!$D$6:$D$305,"Tela 2")&gt;0,"",0)),IF(ISNUMBER(S75),S75,IF(ISNUMBER(R75),R75*(1+Parametros!$B$22),IF(OR(COUNTIFS(Despiece!$A$6:$A$705,$A75,Despiece!$D$6:$D$705,"Tela 2")&gt;0,COUNTIFS(Mediciones!$C$6:$C$305,$A75,Mediciones!$D$6:$D$305,"Tela 2")&gt;0),"",0))))))</f>
        <v/>
      </c>
      <c r="U75" s="9" t="str">
        <f aca="false">IF($A75="","",IF(COUNTIFS(Despiece!$A$6:$A$705,$A75,Despiece!$D$6:$D$705,"Tela 3",Despiece!$F$6:$F$705,"&gt;0")=0,"",SUMIFS(Despiece!$F$6:$F$705,Despiece!$A$6:$A$705,$A75,Despiece!$D$6:$D$705,"Tela 3")))</f>
        <v/>
      </c>
      <c r="V75" s="9" t="str">
        <f aca="false">IF($A75="","",IFERROR(AVERAGEIFS(Mediciones!$K$6:$K$305,Mediciones!$C$6:$C$305,$A75,Mediciones!$D$6:$D$305,"Tela 3"),""))</f>
        <v/>
      </c>
      <c r="W75" s="28" t="str">
        <f aca="false">IF($A75="","",IF($N75="Despiece",IF(ISNUMBER(U75),U75*(1+Parametros!$B$22),IF(COUNTIFS(Despiece!$A$6:$A$705,$A75,Despiece!$D$6:$D$705,"Tela 3")&gt;0,"",0)),IF($N75="Medición real",IF(ISNUMBER(V75),V75,IF(COUNTIFS(Mediciones!$C$6:$C$305,$A75,Mediciones!$D$6:$D$305,"Tela 3")&gt;0,"",0)),IF(ISNUMBER(V75),V75,IF(ISNUMBER(U75),U75*(1+Parametros!$B$22),IF(OR(COUNTIFS(Despiece!$A$6:$A$705,$A75,Despiece!$D$6:$D$705,"Tela 3")&gt;0,COUNTIFS(Mediciones!$C$6:$C$305,$A75,Mediciones!$D$6:$D$305,"Tela 3")&gt;0),"",0))))))</f>
        <v/>
      </c>
      <c r="X75" s="27"/>
      <c r="Y75" s="9" t="str">
        <f aca="false">IF($A75="","",IF(ISNUMBER(X75),X75,IF(COUNTIFS(Despiece!$A$6:$A$705,$A75,Despiece!$E$6:$E$705,"Sublimada",Despiece!$F$6:$F$705,"&gt;0")&gt;0,SUMIFS(Despiece!$F$6:$F$705,Despiece!$A$6:$A$705,$A75,Despiece!$E$6:$E$705,"Sublimada")*(1+Parametros!$B$22),IF(COUNTIFS(Despiece!$A$6:$A$705,$A75,Despiece!$E$6:$E$705,"Sublimada")=0,0,""))))</f>
        <v/>
      </c>
      <c r="Z75" s="10" t="str">
        <f aca="false">IF($A75="","",IFERROR(IF(ISNUMBER(Q75),IF(Q75=0,0,Q75*INDEX(Telas!$I$6:$I$105,MATCH(K75,Telas!$A$6:$A$105,0))),NA())+IF(ISNUMBER(T75),IF(T75=0,0,T75*INDEX(Telas!$I$6:$I$105,MATCH(L75,Telas!$A$6:$A$105,0))),NA())+IF(ISNUMBER(W75),IF(W75=0,0,W75*INDEX(Telas!$I$6:$I$105,MATCH(IF(M75="",K75,M75),Telas!$A$6:$A$105,0))),NA()),""))</f>
        <v/>
      </c>
      <c r="AA75" s="10" t="str">
        <f aca="false">IF($A75="","",IF(ISNUMBER(Y75),Y75*Parametros!$B$19,""))</f>
        <v/>
      </c>
      <c r="AB75" s="10" t="str">
        <f aca="false">IF(OR($A75="",F75=""),"",IFERROR(INDEX(Confeccion!$B$6:$B$125,MATCH(F75,Confeccion!$A$6:$A$125,0)),""))</f>
        <v/>
      </c>
      <c r="AC75" s="10" t="str">
        <f aca="false">IF($A75="","",IFERROR(N(H75)*IF(G75="",0,INDEX(Avios!$C$6:$C$65,MATCH(G75,Avios!$A$6:$A$65,0)))+N(J75)*IF(I75="",0,INDEX(Avios!$C$6:$C$65,MATCH(I75,Avios!$A$6:$A$65,0))),""))</f>
        <v/>
      </c>
      <c r="AD75" s="11" t="str">
        <f aca="false">IF($A75="","",IFERROR(Z75+AA75+AB75+AC75,""))</f>
        <v/>
      </c>
      <c r="AE75" s="10" t="str">
        <f aca="false">IF(ISNUMBER(AD75),AD75*Parametros!$B$12,"")</f>
        <v/>
      </c>
      <c r="AF75" s="29" t="str">
        <f aca="false">IF(AND(ISNUMBER(Q75),K75&lt;&gt;""),IFERROR(1/(Q75*INDEX(Telas!$G$6:$G$105,MATCH(K75,Telas!$A$6:$A$105,0))),""),"")</f>
        <v/>
      </c>
      <c r="AG75" s="0" t="str">
        <f aca="false">IF($A75="","",IF(ISNUMBER(AD75),IF(AND(N(Y75)&gt;0,N(Parametros!$B$19)=0),"Lista, pero sin costo de impresión (Parametros)","Lista"),IF(Q75="","Consumo tela principal (Despiece o Mediciones). ","")&amp;IF(COUNTIFS(Mediciones!$C$6:$C$305,$A75,Mediciones!$K$6:$K$305,"")&gt;0,"Pesar 1 m de la tela medida (Telas, kg por metro). ","")&amp;IF(T75="","Consumo Tela 2. ","")&amp;IF(W75="","Consumo Tela 3. ","")&amp;IF(K75="","Elegir tela principal. ",IF(ISERROR(INDEX(Telas!$I$6:$I$105,MATCH(K75,Telas!$A$6:$A$105,0))*1),"Precio o peso por metro de "&amp;K75&amp;". ",""))&amp;IF(AND(N(T75)&gt;0,L75=""),"Elegir Tela 2. ",IF(AND(N(T75)&gt;0,ISERROR(INDEX(Telas!$I$6:$I$105,MATCH(L75,Telas!$A$6:$A$105,0))*1)),"Precio o peso por metro de "&amp;L75&amp;". ",""))&amp;IF(Y75="","Metros impresos. ","")&amp;IF(F75="","Tipo de confección. ",IF(AB75="","Precio de confección. ",""))))</f>
        <v/>
      </c>
      <c r="AH75" s="27"/>
    </row>
    <row r="76" customFormat="false" ht="15" hidden="false" customHeight="false" outlineLevel="0" collapsed="false">
      <c r="A76" s="27"/>
      <c r="B76" s="27"/>
      <c r="C76" s="27"/>
      <c r="D76" s="27"/>
      <c r="E76" s="27"/>
      <c r="F76" s="27"/>
      <c r="G76" s="8"/>
      <c r="H76" s="27"/>
      <c r="I76" s="8"/>
      <c r="J76" s="27"/>
      <c r="K76" s="8"/>
      <c r="L76" s="8"/>
      <c r="M76" s="8"/>
      <c r="N76" s="8"/>
      <c r="O76" s="9" t="str">
        <f aca="false">IF($A76="","",IF(COUNTIFS(Despiece!$A$6:$A$705,$A76,Despiece!$D$6:$D$705,"Tela principal",Despiece!$F$6:$F$705,"&gt;0")=0,"",SUMIFS(Despiece!$F$6:$F$705,Despiece!$A$6:$A$705,$A76,Despiece!$D$6:$D$705,"Tela principal")))</f>
        <v/>
      </c>
      <c r="P76" s="9" t="str">
        <f aca="false">IF($A76="","",IFERROR(AVERAGEIFS(Mediciones!$K$6:$K$305,Mediciones!$C$6:$C$305,$A76,Mediciones!$D$6:$D$305,"Tela principal"),""))</f>
        <v/>
      </c>
      <c r="Q76" s="28" t="str">
        <f aca="false">IF($A76="","",IF(N(IF($N76="Despiece",IF(ISNUMBER(O76),O76*(1+Parametros!$B$22),IF(COUNTIFS(Despiece!$A$6:$A$705,$A76,Despiece!$D$6:$D$705,"Tela principal")&gt;0,"",0)),IF($N76="Medición real",IF(ISNUMBER(P76),P76,IF(COUNTIFS(Mediciones!$C$6:$C$305,$A76,Mediciones!$D$6:$D$305,"Tela principal")&gt;0,"",0)),IF(ISNUMBER(P76),P76,IF(ISNUMBER(O76),O76*(1+Parametros!$B$22),IF(OR(COUNTIFS(Despiece!$A$6:$A$705,$A76,Despiece!$D$6:$D$705,"Tela principal")&gt;0,COUNTIFS(Mediciones!$C$6:$C$305,$A76,Mediciones!$D$6:$D$305,"Tela principal")&gt;0),"",0))))))=0,"",IF($N76="Despiece",IF(ISNUMBER(O76),O76*(1+Parametros!$B$22),IF(COUNTIFS(Despiece!$A$6:$A$705,$A76,Despiece!$D$6:$D$705,"Tela principal")&gt;0,"",0)),IF($N76="Medición real",IF(ISNUMBER(P76),P76,IF(COUNTIFS(Mediciones!$C$6:$C$305,$A76,Mediciones!$D$6:$D$305,"Tela principal")&gt;0,"",0)),IF(ISNUMBER(P76),P76,IF(ISNUMBER(O76),O76*(1+Parametros!$B$22),IF(OR(COUNTIFS(Despiece!$A$6:$A$705,$A76,Despiece!$D$6:$D$705,"Tela principal")&gt;0,COUNTIFS(Mediciones!$C$6:$C$305,$A76,Mediciones!$D$6:$D$305,"Tela principal")&gt;0),"",0)))))))</f>
        <v/>
      </c>
      <c r="R76" s="9" t="str">
        <f aca="false">IF($A76="","",IF(COUNTIFS(Despiece!$A$6:$A$705,$A76,Despiece!$D$6:$D$705,"Tela 2",Despiece!$F$6:$F$705,"&gt;0")=0,"",SUMIFS(Despiece!$F$6:$F$705,Despiece!$A$6:$A$705,$A76,Despiece!$D$6:$D$705,"Tela 2")))</f>
        <v/>
      </c>
      <c r="S76" s="9" t="str">
        <f aca="false">IF($A76="","",IFERROR(AVERAGEIFS(Mediciones!$K$6:$K$305,Mediciones!$C$6:$C$305,$A76,Mediciones!$D$6:$D$305,"Tela 2"),""))</f>
        <v/>
      </c>
      <c r="T76" s="28" t="str">
        <f aca="false">IF($A76="","",IF($N76="Despiece",IF(ISNUMBER(R76),R76*(1+Parametros!$B$22),IF(COUNTIFS(Despiece!$A$6:$A$705,$A76,Despiece!$D$6:$D$705,"Tela 2")&gt;0,"",0)),IF($N76="Medición real",IF(ISNUMBER(S76),S76,IF(COUNTIFS(Mediciones!$C$6:$C$305,$A76,Mediciones!$D$6:$D$305,"Tela 2")&gt;0,"",0)),IF(ISNUMBER(S76),S76,IF(ISNUMBER(R76),R76*(1+Parametros!$B$22),IF(OR(COUNTIFS(Despiece!$A$6:$A$705,$A76,Despiece!$D$6:$D$705,"Tela 2")&gt;0,COUNTIFS(Mediciones!$C$6:$C$305,$A76,Mediciones!$D$6:$D$305,"Tela 2")&gt;0),"",0))))))</f>
        <v/>
      </c>
      <c r="U76" s="9" t="str">
        <f aca="false">IF($A76="","",IF(COUNTIFS(Despiece!$A$6:$A$705,$A76,Despiece!$D$6:$D$705,"Tela 3",Despiece!$F$6:$F$705,"&gt;0")=0,"",SUMIFS(Despiece!$F$6:$F$705,Despiece!$A$6:$A$705,$A76,Despiece!$D$6:$D$705,"Tela 3")))</f>
        <v/>
      </c>
      <c r="V76" s="9" t="str">
        <f aca="false">IF($A76="","",IFERROR(AVERAGEIFS(Mediciones!$K$6:$K$305,Mediciones!$C$6:$C$305,$A76,Mediciones!$D$6:$D$305,"Tela 3"),""))</f>
        <v/>
      </c>
      <c r="W76" s="28" t="str">
        <f aca="false">IF($A76="","",IF($N76="Despiece",IF(ISNUMBER(U76),U76*(1+Parametros!$B$22),IF(COUNTIFS(Despiece!$A$6:$A$705,$A76,Despiece!$D$6:$D$705,"Tela 3")&gt;0,"",0)),IF($N76="Medición real",IF(ISNUMBER(V76),V76,IF(COUNTIFS(Mediciones!$C$6:$C$305,$A76,Mediciones!$D$6:$D$305,"Tela 3")&gt;0,"",0)),IF(ISNUMBER(V76),V76,IF(ISNUMBER(U76),U76*(1+Parametros!$B$22),IF(OR(COUNTIFS(Despiece!$A$6:$A$705,$A76,Despiece!$D$6:$D$705,"Tela 3")&gt;0,COUNTIFS(Mediciones!$C$6:$C$305,$A76,Mediciones!$D$6:$D$305,"Tela 3")&gt;0),"",0))))))</f>
        <v/>
      </c>
      <c r="X76" s="27"/>
      <c r="Y76" s="9" t="str">
        <f aca="false">IF($A76="","",IF(ISNUMBER(X76),X76,IF(COUNTIFS(Despiece!$A$6:$A$705,$A76,Despiece!$E$6:$E$705,"Sublimada",Despiece!$F$6:$F$705,"&gt;0")&gt;0,SUMIFS(Despiece!$F$6:$F$705,Despiece!$A$6:$A$705,$A76,Despiece!$E$6:$E$705,"Sublimada")*(1+Parametros!$B$22),IF(COUNTIFS(Despiece!$A$6:$A$705,$A76,Despiece!$E$6:$E$705,"Sublimada")=0,0,""))))</f>
        <v/>
      </c>
      <c r="Z76" s="10" t="str">
        <f aca="false">IF($A76="","",IFERROR(IF(ISNUMBER(Q76),IF(Q76=0,0,Q76*INDEX(Telas!$I$6:$I$105,MATCH(K76,Telas!$A$6:$A$105,0))),NA())+IF(ISNUMBER(T76),IF(T76=0,0,T76*INDEX(Telas!$I$6:$I$105,MATCH(L76,Telas!$A$6:$A$105,0))),NA())+IF(ISNUMBER(W76),IF(W76=0,0,W76*INDEX(Telas!$I$6:$I$105,MATCH(IF(M76="",K76,M76),Telas!$A$6:$A$105,0))),NA()),""))</f>
        <v/>
      </c>
      <c r="AA76" s="10" t="str">
        <f aca="false">IF($A76="","",IF(ISNUMBER(Y76),Y76*Parametros!$B$19,""))</f>
        <v/>
      </c>
      <c r="AB76" s="10" t="str">
        <f aca="false">IF(OR($A76="",F76=""),"",IFERROR(INDEX(Confeccion!$B$6:$B$125,MATCH(F76,Confeccion!$A$6:$A$125,0)),""))</f>
        <v/>
      </c>
      <c r="AC76" s="10" t="str">
        <f aca="false">IF($A76="","",IFERROR(N(H76)*IF(G76="",0,INDEX(Avios!$C$6:$C$65,MATCH(G76,Avios!$A$6:$A$65,0)))+N(J76)*IF(I76="",0,INDEX(Avios!$C$6:$C$65,MATCH(I76,Avios!$A$6:$A$65,0))),""))</f>
        <v/>
      </c>
      <c r="AD76" s="11" t="str">
        <f aca="false">IF($A76="","",IFERROR(Z76+AA76+AB76+AC76,""))</f>
        <v/>
      </c>
      <c r="AE76" s="10" t="str">
        <f aca="false">IF(ISNUMBER(AD76),AD76*Parametros!$B$12,"")</f>
        <v/>
      </c>
      <c r="AF76" s="29" t="str">
        <f aca="false">IF(AND(ISNUMBER(Q76),K76&lt;&gt;""),IFERROR(1/(Q76*INDEX(Telas!$G$6:$G$105,MATCH(K76,Telas!$A$6:$A$105,0))),""),"")</f>
        <v/>
      </c>
      <c r="AG76" s="0" t="str">
        <f aca="false">IF($A76="","",IF(ISNUMBER(AD76),IF(AND(N(Y76)&gt;0,N(Parametros!$B$19)=0),"Lista, pero sin costo de impresión (Parametros)","Lista"),IF(Q76="","Consumo tela principal (Despiece o Mediciones). ","")&amp;IF(COUNTIFS(Mediciones!$C$6:$C$305,$A76,Mediciones!$K$6:$K$305,"")&gt;0,"Pesar 1 m de la tela medida (Telas, kg por metro). ","")&amp;IF(T76="","Consumo Tela 2. ","")&amp;IF(W76="","Consumo Tela 3. ","")&amp;IF(K76="","Elegir tela principal. ",IF(ISERROR(INDEX(Telas!$I$6:$I$105,MATCH(K76,Telas!$A$6:$A$105,0))*1),"Precio o peso por metro de "&amp;K76&amp;". ",""))&amp;IF(AND(N(T76)&gt;0,L76=""),"Elegir Tela 2. ",IF(AND(N(T76)&gt;0,ISERROR(INDEX(Telas!$I$6:$I$105,MATCH(L76,Telas!$A$6:$A$105,0))*1)),"Precio o peso por metro de "&amp;L76&amp;". ",""))&amp;IF(Y76="","Metros impresos. ","")&amp;IF(F76="","Tipo de confección. ",IF(AB76="","Precio de confección. ",""))))</f>
        <v/>
      </c>
      <c r="AH76" s="27"/>
    </row>
    <row r="77" customFormat="false" ht="15" hidden="false" customHeight="false" outlineLevel="0" collapsed="false">
      <c r="A77" s="27"/>
      <c r="B77" s="27"/>
      <c r="C77" s="27"/>
      <c r="D77" s="27"/>
      <c r="E77" s="27"/>
      <c r="F77" s="27"/>
      <c r="G77" s="8"/>
      <c r="H77" s="27"/>
      <c r="I77" s="8"/>
      <c r="J77" s="27"/>
      <c r="K77" s="8"/>
      <c r="L77" s="8"/>
      <c r="M77" s="8"/>
      <c r="N77" s="8"/>
      <c r="O77" s="9" t="str">
        <f aca="false">IF($A77="","",IF(COUNTIFS(Despiece!$A$6:$A$705,$A77,Despiece!$D$6:$D$705,"Tela principal",Despiece!$F$6:$F$705,"&gt;0")=0,"",SUMIFS(Despiece!$F$6:$F$705,Despiece!$A$6:$A$705,$A77,Despiece!$D$6:$D$705,"Tela principal")))</f>
        <v/>
      </c>
      <c r="P77" s="9" t="str">
        <f aca="false">IF($A77="","",IFERROR(AVERAGEIFS(Mediciones!$K$6:$K$305,Mediciones!$C$6:$C$305,$A77,Mediciones!$D$6:$D$305,"Tela principal"),""))</f>
        <v/>
      </c>
      <c r="Q77" s="28" t="str">
        <f aca="false">IF($A77="","",IF(N(IF($N77="Despiece",IF(ISNUMBER(O77),O77*(1+Parametros!$B$22),IF(COUNTIFS(Despiece!$A$6:$A$705,$A77,Despiece!$D$6:$D$705,"Tela principal")&gt;0,"",0)),IF($N77="Medición real",IF(ISNUMBER(P77),P77,IF(COUNTIFS(Mediciones!$C$6:$C$305,$A77,Mediciones!$D$6:$D$305,"Tela principal")&gt;0,"",0)),IF(ISNUMBER(P77),P77,IF(ISNUMBER(O77),O77*(1+Parametros!$B$22),IF(OR(COUNTIFS(Despiece!$A$6:$A$705,$A77,Despiece!$D$6:$D$705,"Tela principal")&gt;0,COUNTIFS(Mediciones!$C$6:$C$305,$A77,Mediciones!$D$6:$D$305,"Tela principal")&gt;0),"",0))))))=0,"",IF($N77="Despiece",IF(ISNUMBER(O77),O77*(1+Parametros!$B$22),IF(COUNTIFS(Despiece!$A$6:$A$705,$A77,Despiece!$D$6:$D$705,"Tela principal")&gt;0,"",0)),IF($N77="Medición real",IF(ISNUMBER(P77),P77,IF(COUNTIFS(Mediciones!$C$6:$C$305,$A77,Mediciones!$D$6:$D$305,"Tela principal")&gt;0,"",0)),IF(ISNUMBER(P77),P77,IF(ISNUMBER(O77),O77*(1+Parametros!$B$22),IF(OR(COUNTIFS(Despiece!$A$6:$A$705,$A77,Despiece!$D$6:$D$705,"Tela principal")&gt;0,COUNTIFS(Mediciones!$C$6:$C$305,$A77,Mediciones!$D$6:$D$305,"Tela principal")&gt;0),"",0)))))))</f>
        <v/>
      </c>
      <c r="R77" s="9" t="str">
        <f aca="false">IF($A77="","",IF(COUNTIFS(Despiece!$A$6:$A$705,$A77,Despiece!$D$6:$D$705,"Tela 2",Despiece!$F$6:$F$705,"&gt;0")=0,"",SUMIFS(Despiece!$F$6:$F$705,Despiece!$A$6:$A$705,$A77,Despiece!$D$6:$D$705,"Tela 2")))</f>
        <v/>
      </c>
      <c r="S77" s="9" t="str">
        <f aca="false">IF($A77="","",IFERROR(AVERAGEIFS(Mediciones!$K$6:$K$305,Mediciones!$C$6:$C$305,$A77,Mediciones!$D$6:$D$305,"Tela 2"),""))</f>
        <v/>
      </c>
      <c r="T77" s="28" t="str">
        <f aca="false">IF($A77="","",IF($N77="Despiece",IF(ISNUMBER(R77),R77*(1+Parametros!$B$22),IF(COUNTIFS(Despiece!$A$6:$A$705,$A77,Despiece!$D$6:$D$705,"Tela 2")&gt;0,"",0)),IF($N77="Medición real",IF(ISNUMBER(S77),S77,IF(COUNTIFS(Mediciones!$C$6:$C$305,$A77,Mediciones!$D$6:$D$305,"Tela 2")&gt;0,"",0)),IF(ISNUMBER(S77),S77,IF(ISNUMBER(R77),R77*(1+Parametros!$B$22),IF(OR(COUNTIFS(Despiece!$A$6:$A$705,$A77,Despiece!$D$6:$D$705,"Tela 2")&gt;0,COUNTIFS(Mediciones!$C$6:$C$305,$A77,Mediciones!$D$6:$D$305,"Tela 2")&gt;0),"",0))))))</f>
        <v/>
      </c>
      <c r="U77" s="9" t="str">
        <f aca="false">IF($A77="","",IF(COUNTIFS(Despiece!$A$6:$A$705,$A77,Despiece!$D$6:$D$705,"Tela 3",Despiece!$F$6:$F$705,"&gt;0")=0,"",SUMIFS(Despiece!$F$6:$F$705,Despiece!$A$6:$A$705,$A77,Despiece!$D$6:$D$705,"Tela 3")))</f>
        <v/>
      </c>
      <c r="V77" s="9" t="str">
        <f aca="false">IF($A77="","",IFERROR(AVERAGEIFS(Mediciones!$K$6:$K$305,Mediciones!$C$6:$C$305,$A77,Mediciones!$D$6:$D$305,"Tela 3"),""))</f>
        <v/>
      </c>
      <c r="W77" s="28" t="str">
        <f aca="false">IF($A77="","",IF($N77="Despiece",IF(ISNUMBER(U77),U77*(1+Parametros!$B$22),IF(COUNTIFS(Despiece!$A$6:$A$705,$A77,Despiece!$D$6:$D$705,"Tela 3")&gt;0,"",0)),IF($N77="Medición real",IF(ISNUMBER(V77),V77,IF(COUNTIFS(Mediciones!$C$6:$C$305,$A77,Mediciones!$D$6:$D$305,"Tela 3")&gt;0,"",0)),IF(ISNUMBER(V77),V77,IF(ISNUMBER(U77),U77*(1+Parametros!$B$22),IF(OR(COUNTIFS(Despiece!$A$6:$A$705,$A77,Despiece!$D$6:$D$705,"Tela 3")&gt;0,COUNTIFS(Mediciones!$C$6:$C$305,$A77,Mediciones!$D$6:$D$305,"Tela 3")&gt;0),"",0))))))</f>
        <v/>
      </c>
      <c r="X77" s="27"/>
      <c r="Y77" s="9" t="str">
        <f aca="false">IF($A77="","",IF(ISNUMBER(X77),X77,IF(COUNTIFS(Despiece!$A$6:$A$705,$A77,Despiece!$E$6:$E$705,"Sublimada",Despiece!$F$6:$F$705,"&gt;0")&gt;0,SUMIFS(Despiece!$F$6:$F$705,Despiece!$A$6:$A$705,$A77,Despiece!$E$6:$E$705,"Sublimada")*(1+Parametros!$B$22),IF(COUNTIFS(Despiece!$A$6:$A$705,$A77,Despiece!$E$6:$E$705,"Sublimada")=0,0,""))))</f>
        <v/>
      </c>
      <c r="Z77" s="10" t="str">
        <f aca="false">IF($A77="","",IFERROR(IF(ISNUMBER(Q77),IF(Q77=0,0,Q77*INDEX(Telas!$I$6:$I$105,MATCH(K77,Telas!$A$6:$A$105,0))),NA())+IF(ISNUMBER(T77),IF(T77=0,0,T77*INDEX(Telas!$I$6:$I$105,MATCH(L77,Telas!$A$6:$A$105,0))),NA())+IF(ISNUMBER(W77),IF(W77=0,0,W77*INDEX(Telas!$I$6:$I$105,MATCH(IF(M77="",K77,M77),Telas!$A$6:$A$105,0))),NA()),""))</f>
        <v/>
      </c>
      <c r="AA77" s="10" t="str">
        <f aca="false">IF($A77="","",IF(ISNUMBER(Y77),Y77*Parametros!$B$19,""))</f>
        <v/>
      </c>
      <c r="AB77" s="10" t="str">
        <f aca="false">IF(OR($A77="",F77=""),"",IFERROR(INDEX(Confeccion!$B$6:$B$125,MATCH(F77,Confeccion!$A$6:$A$125,0)),""))</f>
        <v/>
      </c>
      <c r="AC77" s="10" t="str">
        <f aca="false">IF($A77="","",IFERROR(N(H77)*IF(G77="",0,INDEX(Avios!$C$6:$C$65,MATCH(G77,Avios!$A$6:$A$65,0)))+N(J77)*IF(I77="",0,INDEX(Avios!$C$6:$C$65,MATCH(I77,Avios!$A$6:$A$65,0))),""))</f>
        <v/>
      </c>
      <c r="AD77" s="11" t="str">
        <f aca="false">IF($A77="","",IFERROR(Z77+AA77+AB77+AC77,""))</f>
        <v/>
      </c>
      <c r="AE77" s="10" t="str">
        <f aca="false">IF(ISNUMBER(AD77),AD77*Parametros!$B$12,"")</f>
        <v/>
      </c>
      <c r="AF77" s="29" t="str">
        <f aca="false">IF(AND(ISNUMBER(Q77),K77&lt;&gt;""),IFERROR(1/(Q77*INDEX(Telas!$G$6:$G$105,MATCH(K77,Telas!$A$6:$A$105,0))),""),"")</f>
        <v/>
      </c>
      <c r="AG77" s="0" t="str">
        <f aca="false">IF($A77="","",IF(ISNUMBER(AD77),IF(AND(N(Y77)&gt;0,N(Parametros!$B$19)=0),"Lista, pero sin costo de impresión (Parametros)","Lista"),IF(Q77="","Consumo tela principal (Despiece o Mediciones). ","")&amp;IF(COUNTIFS(Mediciones!$C$6:$C$305,$A77,Mediciones!$K$6:$K$305,"")&gt;0,"Pesar 1 m de la tela medida (Telas, kg por metro). ","")&amp;IF(T77="","Consumo Tela 2. ","")&amp;IF(W77="","Consumo Tela 3. ","")&amp;IF(K77="","Elegir tela principal. ",IF(ISERROR(INDEX(Telas!$I$6:$I$105,MATCH(K77,Telas!$A$6:$A$105,0))*1),"Precio o peso por metro de "&amp;K77&amp;". ",""))&amp;IF(AND(N(T77)&gt;0,L77=""),"Elegir Tela 2. ",IF(AND(N(T77)&gt;0,ISERROR(INDEX(Telas!$I$6:$I$105,MATCH(L77,Telas!$A$6:$A$105,0))*1)),"Precio o peso por metro de "&amp;L77&amp;". ",""))&amp;IF(Y77="","Metros impresos. ","")&amp;IF(F77="","Tipo de confección. ",IF(AB77="","Precio de confección. ",""))))</f>
        <v/>
      </c>
      <c r="AH77" s="27"/>
    </row>
    <row r="78" customFormat="false" ht="15" hidden="false" customHeight="false" outlineLevel="0" collapsed="false">
      <c r="A78" s="27"/>
      <c r="B78" s="27"/>
      <c r="C78" s="27"/>
      <c r="D78" s="27"/>
      <c r="E78" s="27"/>
      <c r="F78" s="27"/>
      <c r="G78" s="8"/>
      <c r="H78" s="27"/>
      <c r="I78" s="8"/>
      <c r="J78" s="27"/>
      <c r="K78" s="8"/>
      <c r="L78" s="8"/>
      <c r="M78" s="8"/>
      <c r="N78" s="8"/>
      <c r="O78" s="9" t="str">
        <f aca="false">IF($A78="","",IF(COUNTIFS(Despiece!$A$6:$A$705,$A78,Despiece!$D$6:$D$705,"Tela principal",Despiece!$F$6:$F$705,"&gt;0")=0,"",SUMIFS(Despiece!$F$6:$F$705,Despiece!$A$6:$A$705,$A78,Despiece!$D$6:$D$705,"Tela principal")))</f>
        <v/>
      </c>
      <c r="P78" s="9" t="str">
        <f aca="false">IF($A78="","",IFERROR(AVERAGEIFS(Mediciones!$K$6:$K$305,Mediciones!$C$6:$C$305,$A78,Mediciones!$D$6:$D$305,"Tela principal"),""))</f>
        <v/>
      </c>
      <c r="Q78" s="28" t="str">
        <f aca="false">IF($A78="","",IF(N(IF($N78="Despiece",IF(ISNUMBER(O78),O78*(1+Parametros!$B$22),IF(COUNTIFS(Despiece!$A$6:$A$705,$A78,Despiece!$D$6:$D$705,"Tela principal")&gt;0,"",0)),IF($N78="Medición real",IF(ISNUMBER(P78),P78,IF(COUNTIFS(Mediciones!$C$6:$C$305,$A78,Mediciones!$D$6:$D$305,"Tela principal")&gt;0,"",0)),IF(ISNUMBER(P78),P78,IF(ISNUMBER(O78),O78*(1+Parametros!$B$22),IF(OR(COUNTIFS(Despiece!$A$6:$A$705,$A78,Despiece!$D$6:$D$705,"Tela principal")&gt;0,COUNTIFS(Mediciones!$C$6:$C$305,$A78,Mediciones!$D$6:$D$305,"Tela principal")&gt;0),"",0))))))=0,"",IF($N78="Despiece",IF(ISNUMBER(O78),O78*(1+Parametros!$B$22),IF(COUNTIFS(Despiece!$A$6:$A$705,$A78,Despiece!$D$6:$D$705,"Tela principal")&gt;0,"",0)),IF($N78="Medición real",IF(ISNUMBER(P78),P78,IF(COUNTIFS(Mediciones!$C$6:$C$305,$A78,Mediciones!$D$6:$D$305,"Tela principal")&gt;0,"",0)),IF(ISNUMBER(P78),P78,IF(ISNUMBER(O78),O78*(1+Parametros!$B$22),IF(OR(COUNTIFS(Despiece!$A$6:$A$705,$A78,Despiece!$D$6:$D$705,"Tela principal")&gt;0,COUNTIFS(Mediciones!$C$6:$C$305,$A78,Mediciones!$D$6:$D$305,"Tela principal")&gt;0),"",0)))))))</f>
        <v/>
      </c>
      <c r="R78" s="9" t="str">
        <f aca="false">IF($A78="","",IF(COUNTIFS(Despiece!$A$6:$A$705,$A78,Despiece!$D$6:$D$705,"Tela 2",Despiece!$F$6:$F$705,"&gt;0")=0,"",SUMIFS(Despiece!$F$6:$F$705,Despiece!$A$6:$A$705,$A78,Despiece!$D$6:$D$705,"Tela 2")))</f>
        <v/>
      </c>
      <c r="S78" s="9" t="str">
        <f aca="false">IF($A78="","",IFERROR(AVERAGEIFS(Mediciones!$K$6:$K$305,Mediciones!$C$6:$C$305,$A78,Mediciones!$D$6:$D$305,"Tela 2"),""))</f>
        <v/>
      </c>
      <c r="T78" s="28" t="str">
        <f aca="false">IF($A78="","",IF($N78="Despiece",IF(ISNUMBER(R78),R78*(1+Parametros!$B$22),IF(COUNTIFS(Despiece!$A$6:$A$705,$A78,Despiece!$D$6:$D$705,"Tela 2")&gt;0,"",0)),IF($N78="Medición real",IF(ISNUMBER(S78),S78,IF(COUNTIFS(Mediciones!$C$6:$C$305,$A78,Mediciones!$D$6:$D$305,"Tela 2")&gt;0,"",0)),IF(ISNUMBER(S78),S78,IF(ISNUMBER(R78),R78*(1+Parametros!$B$22),IF(OR(COUNTIFS(Despiece!$A$6:$A$705,$A78,Despiece!$D$6:$D$705,"Tela 2")&gt;0,COUNTIFS(Mediciones!$C$6:$C$305,$A78,Mediciones!$D$6:$D$305,"Tela 2")&gt;0),"",0))))))</f>
        <v/>
      </c>
      <c r="U78" s="9" t="str">
        <f aca="false">IF($A78="","",IF(COUNTIFS(Despiece!$A$6:$A$705,$A78,Despiece!$D$6:$D$705,"Tela 3",Despiece!$F$6:$F$705,"&gt;0")=0,"",SUMIFS(Despiece!$F$6:$F$705,Despiece!$A$6:$A$705,$A78,Despiece!$D$6:$D$705,"Tela 3")))</f>
        <v/>
      </c>
      <c r="V78" s="9" t="str">
        <f aca="false">IF($A78="","",IFERROR(AVERAGEIFS(Mediciones!$K$6:$K$305,Mediciones!$C$6:$C$305,$A78,Mediciones!$D$6:$D$305,"Tela 3"),""))</f>
        <v/>
      </c>
      <c r="W78" s="28" t="str">
        <f aca="false">IF($A78="","",IF($N78="Despiece",IF(ISNUMBER(U78),U78*(1+Parametros!$B$22),IF(COUNTIFS(Despiece!$A$6:$A$705,$A78,Despiece!$D$6:$D$705,"Tela 3")&gt;0,"",0)),IF($N78="Medición real",IF(ISNUMBER(V78),V78,IF(COUNTIFS(Mediciones!$C$6:$C$305,$A78,Mediciones!$D$6:$D$305,"Tela 3")&gt;0,"",0)),IF(ISNUMBER(V78),V78,IF(ISNUMBER(U78),U78*(1+Parametros!$B$22),IF(OR(COUNTIFS(Despiece!$A$6:$A$705,$A78,Despiece!$D$6:$D$705,"Tela 3")&gt;0,COUNTIFS(Mediciones!$C$6:$C$305,$A78,Mediciones!$D$6:$D$305,"Tela 3")&gt;0),"",0))))))</f>
        <v/>
      </c>
      <c r="X78" s="27"/>
      <c r="Y78" s="9" t="str">
        <f aca="false">IF($A78="","",IF(ISNUMBER(X78),X78,IF(COUNTIFS(Despiece!$A$6:$A$705,$A78,Despiece!$E$6:$E$705,"Sublimada",Despiece!$F$6:$F$705,"&gt;0")&gt;0,SUMIFS(Despiece!$F$6:$F$705,Despiece!$A$6:$A$705,$A78,Despiece!$E$6:$E$705,"Sublimada")*(1+Parametros!$B$22),IF(COUNTIFS(Despiece!$A$6:$A$705,$A78,Despiece!$E$6:$E$705,"Sublimada")=0,0,""))))</f>
        <v/>
      </c>
      <c r="Z78" s="10" t="str">
        <f aca="false">IF($A78="","",IFERROR(IF(ISNUMBER(Q78),IF(Q78=0,0,Q78*INDEX(Telas!$I$6:$I$105,MATCH(K78,Telas!$A$6:$A$105,0))),NA())+IF(ISNUMBER(T78),IF(T78=0,0,T78*INDEX(Telas!$I$6:$I$105,MATCH(L78,Telas!$A$6:$A$105,0))),NA())+IF(ISNUMBER(W78),IF(W78=0,0,W78*INDEX(Telas!$I$6:$I$105,MATCH(IF(M78="",K78,M78),Telas!$A$6:$A$105,0))),NA()),""))</f>
        <v/>
      </c>
      <c r="AA78" s="10" t="str">
        <f aca="false">IF($A78="","",IF(ISNUMBER(Y78),Y78*Parametros!$B$19,""))</f>
        <v/>
      </c>
      <c r="AB78" s="10" t="str">
        <f aca="false">IF(OR($A78="",F78=""),"",IFERROR(INDEX(Confeccion!$B$6:$B$125,MATCH(F78,Confeccion!$A$6:$A$125,0)),""))</f>
        <v/>
      </c>
      <c r="AC78" s="10" t="str">
        <f aca="false">IF($A78="","",IFERROR(N(H78)*IF(G78="",0,INDEX(Avios!$C$6:$C$65,MATCH(G78,Avios!$A$6:$A$65,0)))+N(J78)*IF(I78="",0,INDEX(Avios!$C$6:$C$65,MATCH(I78,Avios!$A$6:$A$65,0))),""))</f>
        <v/>
      </c>
      <c r="AD78" s="11" t="str">
        <f aca="false">IF($A78="","",IFERROR(Z78+AA78+AB78+AC78,""))</f>
        <v/>
      </c>
      <c r="AE78" s="10" t="str">
        <f aca="false">IF(ISNUMBER(AD78),AD78*Parametros!$B$12,"")</f>
        <v/>
      </c>
      <c r="AF78" s="29" t="str">
        <f aca="false">IF(AND(ISNUMBER(Q78),K78&lt;&gt;""),IFERROR(1/(Q78*INDEX(Telas!$G$6:$G$105,MATCH(K78,Telas!$A$6:$A$105,0))),""),"")</f>
        <v/>
      </c>
      <c r="AG78" s="0" t="str">
        <f aca="false">IF($A78="","",IF(ISNUMBER(AD78),IF(AND(N(Y78)&gt;0,N(Parametros!$B$19)=0),"Lista, pero sin costo de impresión (Parametros)","Lista"),IF(Q78="","Consumo tela principal (Despiece o Mediciones). ","")&amp;IF(COUNTIFS(Mediciones!$C$6:$C$305,$A78,Mediciones!$K$6:$K$305,"")&gt;0,"Pesar 1 m de la tela medida (Telas, kg por metro). ","")&amp;IF(T78="","Consumo Tela 2. ","")&amp;IF(W78="","Consumo Tela 3. ","")&amp;IF(K78="","Elegir tela principal. ",IF(ISERROR(INDEX(Telas!$I$6:$I$105,MATCH(K78,Telas!$A$6:$A$105,0))*1),"Precio o peso por metro de "&amp;K78&amp;". ",""))&amp;IF(AND(N(T78)&gt;0,L78=""),"Elegir Tela 2. ",IF(AND(N(T78)&gt;0,ISERROR(INDEX(Telas!$I$6:$I$105,MATCH(L78,Telas!$A$6:$A$105,0))*1)),"Precio o peso por metro de "&amp;L78&amp;". ",""))&amp;IF(Y78="","Metros impresos. ","")&amp;IF(F78="","Tipo de confección. ",IF(AB78="","Precio de confección. ",""))))</f>
        <v/>
      </c>
      <c r="AH78" s="27"/>
    </row>
    <row r="79" customFormat="false" ht="15" hidden="false" customHeight="false" outlineLevel="0" collapsed="false">
      <c r="A79" s="27"/>
      <c r="B79" s="27"/>
      <c r="C79" s="27"/>
      <c r="D79" s="27"/>
      <c r="E79" s="27"/>
      <c r="F79" s="27"/>
      <c r="G79" s="8"/>
      <c r="H79" s="27"/>
      <c r="I79" s="8"/>
      <c r="J79" s="27"/>
      <c r="K79" s="8"/>
      <c r="L79" s="8"/>
      <c r="M79" s="8"/>
      <c r="N79" s="8"/>
      <c r="O79" s="9" t="str">
        <f aca="false">IF($A79="","",IF(COUNTIFS(Despiece!$A$6:$A$705,$A79,Despiece!$D$6:$D$705,"Tela principal",Despiece!$F$6:$F$705,"&gt;0")=0,"",SUMIFS(Despiece!$F$6:$F$705,Despiece!$A$6:$A$705,$A79,Despiece!$D$6:$D$705,"Tela principal")))</f>
        <v/>
      </c>
      <c r="P79" s="9" t="str">
        <f aca="false">IF($A79="","",IFERROR(AVERAGEIFS(Mediciones!$K$6:$K$305,Mediciones!$C$6:$C$305,$A79,Mediciones!$D$6:$D$305,"Tela principal"),""))</f>
        <v/>
      </c>
      <c r="Q79" s="28" t="str">
        <f aca="false">IF($A79="","",IF(N(IF($N79="Despiece",IF(ISNUMBER(O79),O79*(1+Parametros!$B$22),IF(COUNTIFS(Despiece!$A$6:$A$705,$A79,Despiece!$D$6:$D$705,"Tela principal")&gt;0,"",0)),IF($N79="Medición real",IF(ISNUMBER(P79),P79,IF(COUNTIFS(Mediciones!$C$6:$C$305,$A79,Mediciones!$D$6:$D$305,"Tela principal")&gt;0,"",0)),IF(ISNUMBER(P79),P79,IF(ISNUMBER(O79),O79*(1+Parametros!$B$22),IF(OR(COUNTIFS(Despiece!$A$6:$A$705,$A79,Despiece!$D$6:$D$705,"Tela principal")&gt;0,COUNTIFS(Mediciones!$C$6:$C$305,$A79,Mediciones!$D$6:$D$305,"Tela principal")&gt;0),"",0))))))=0,"",IF($N79="Despiece",IF(ISNUMBER(O79),O79*(1+Parametros!$B$22),IF(COUNTIFS(Despiece!$A$6:$A$705,$A79,Despiece!$D$6:$D$705,"Tela principal")&gt;0,"",0)),IF($N79="Medición real",IF(ISNUMBER(P79),P79,IF(COUNTIFS(Mediciones!$C$6:$C$305,$A79,Mediciones!$D$6:$D$305,"Tela principal")&gt;0,"",0)),IF(ISNUMBER(P79),P79,IF(ISNUMBER(O79),O79*(1+Parametros!$B$22),IF(OR(COUNTIFS(Despiece!$A$6:$A$705,$A79,Despiece!$D$6:$D$705,"Tela principal")&gt;0,COUNTIFS(Mediciones!$C$6:$C$305,$A79,Mediciones!$D$6:$D$305,"Tela principal")&gt;0),"",0)))))))</f>
        <v/>
      </c>
      <c r="R79" s="9" t="str">
        <f aca="false">IF($A79="","",IF(COUNTIFS(Despiece!$A$6:$A$705,$A79,Despiece!$D$6:$D$705,"Tela 2",Despiece!$F$6:$F$705,"&gt;0")=0,"",SUMIFS(Despiece!$F$6:$F$705,Despiece!$A$6:$A$705,$A79,Despiece!$D$6:$D$705,"Tela 2")))</f>
        <v/>
      </c>
      <c r="S79" s="9" t="str">
        <f aca="false">IF($A79="","",IFERROR(AVERAGEIFS(Mediciones!$K$6:$K$305,Mediciones!$C$6:$C$305,$A79,Mediciones!$D$6:$D$305,"Tela 2"),""))</f>
        <v/>
      </c>
      <c r="T79" s="28" t="str">
        <f aca="false">IF($A79="","",IF($N79="Despiece",IF(ISNUMBER(R79),R79*(1+Parametros!$B$22),IF(COUNTIFS(Despiece!$A$6:$A$705,$A79,Despiece!$D$6:$D$705,"Tela 2")&gt;0,"",0)),IF($N79="Medición real",IF(ISNUMBER(S79),S79,IF(COUNTIFS(Mediciones!$C$6:$C$305,$A79,Mediciones!$D$6:$D$305,"Tela 2")&gt;0,"",0)),IF(ISNUMBER(S79),S79,IF(ISNUMBER(R79),R79*(1+Parametros!$B$22),IF(OR(COUNTIFS(Despiece!$A$6:$A$705,$A79,Despiece!$D$6:$D$705,"Tela 2")&gt;0,COUNTIFS(Mediciones!$C$6:$C$305,$A79,Mediciones!$D$6:$D$305,"Tela 2")&gt;0),"",0))))))</f>
        <v/>
      </c>
      <c r="U79" s="9" t="str">
        <f aca="false">IF($A79="","",IF(COUNTIFS(Despiece!$A$6:$A$705,$A79,Despiece!$D$6:$D$705,"Tela 3",Despiece!$F$6:$F$705,"&gt;0")=0,"",SUMIFS(Despiece!$F$6:$F$705,Despiece!$A$6:$A$705,$A79,Despiece!$D$6:$D$705,"Tela 3")))</f>
        <v/>
      </c>
      <c r="V79" s="9" t="str">
        <f aca="false">IF($A79="","",IFERROR(AVERAGEIFS(Mediciones!$K$6:$K$305,Mediciones!$C$6:$C$305,$A79,Mediciones!$D$6:$D$305,"Tela 3"),""))</f>
        <v/>
      </c>
      <c r="W79" s="28" t="str">
        <f aca="false">IF($A79="","",IF($N79="Despiece",IF(ISNUMBER(U79),U79*(1+Parametros!$B$22),IF(COUNTIFS(Despiece!$A$6:$A$705,$A79,Despiece!$D$6:$D$705,"Tela 3")&gt;0,"",0)),IF($N79="Medición real",IF(ISNUMBER(V79),V79,IF(COUNTIFS(Mediciones!$C$6:$C$305,$A79,Mediciones!$D$6:$D$305,"Tela 3")&gt;0,"",0)),IF(ISNUMBER(V79),V79,IF(ISNUMBER(U79),U79*(1+Parametros!$B$22),IF(OR(COUNTIFS(Despiece!$A$6:$A$705,$A79,Despiece!$D$6:$D$705,"Tela 3")&gt;0,COUNTIFS(Mediciones!$C$6:$C$305,$A79,Mediciones!$D$6:$D$305,"Tela 3")&gt;0),"",0))))))</f>
        <v/>
      </c>
      <c r="X79" s="27"/>
      <c r="Y79" s="9" t="str">
        <f aca="false">IF($A79="","",IF(ISNUMBER(X79),X79,IF(COUNTIFS(Despiece!$A$6:$A$705,$A79,Despiece!$E$6:$E$705,"Sublimada",Despiece!$F$6:$F$705,"&gt;0")&gt;0,SUMIFS(Despiece!$F$6:$F$705,Despiece!$A$6:$A$705,$A79,Despiece!$E$6:$E$705,"Sublimada")*(1+Parametros!$B$22),IF(COUNTIFS(Despiece!$A$6:$A$705,$A79,Despiece!$E$6:$E$705,"Sublimada")=0,0,""))))</f>
        <v/>
      </c>
      <c r="Z79" s="10" t="str">
        <f aca="false">IF($A79="","",IFERROR(IF(ISNUMBER(Q79),IF(Q79=0,0,Q79*INDEX(Telas!$I$6:$I$105,MATCH(K79,Telas!$A$6:$A$105,0))),NA())+IF(ISNUMBER(T79),IF(T79=0,0,T79*INDEX(Telas!$I$6:$I$105,MATCH(L79,Telas!$A$6:$A$105,0))),NA())+IF(ISNUMBER(W79),IF(W79=0,0,W79*INDEX(Telas!$I$6:$I$105,MATCH(IF(M79="",K79,M79),Telas!$A$6:$A$105,0))),NA()),""))</f>
        <v/>
      </c>
      <c r="AA79" s="10" t="str">
        <f aca="false">IF($A79="","",IF(ISNUMBER(Y79),Y79*Parametros!$B$19,""))</f>
        <v/>
      </c>
      <c r="AB79" s="10" t="str">
        <f aca="false">IF(OR($A79="",F79=""),"",IFERROR(INDEX(Confeccion!$B$6:$B$125,MATCH(F79,Confeccion!$A$6:$A$125,0)),""))</f>
        <v/>
      </c>
      <c r="AC79" s="10" t="str">
        <f aca="false">IF($A79="","",IFERROR(N(H79)*IF(G79="",0,INDEX(Avios!$C$6:$C$65,MATCH(G79,Avios!$A$6:$A$65,0)))+N(J79)*IF(I79="",0,INDEX(Avios!$C$6:$C$65,MATCH(I79,Avios!$A$6:$A$65,0))),""))</f>
        <v/>
      </c>
      <c r="AD79" s="11" t="str">
        <f aca="false">IF($A79="","",IFERROR(Z79+AA79+AB79+AC79,""))</f>
        <v/>
      </c>
      <c r="AE79" s="10" t="str">
        <f aca="false">IF(ISNUMBER(AD79),AD79*Parametros!$B$12,"")</f>
        <v/>
      </c>
      <c r="AF79" s="29" t="str">
        <f aca="false">IF(AND(ISNUMBER(Q79),K79&lt;&gt;""),IFERROR(1/(Q79*INDEX(Telas!$G$6:$G$105,MATCH(K79,Telas!$A$6:$A$105,0))),""),"")</f>
        <v/>
      </c>
      <c r="AG79" s="0" t="str">
        <f aca="false">IF($A79="","",IF(ISNUMBER(AD79),IF(AND(N(Y79)&gt;0,N(Parametros!$B$19)=0),"Lista, pero sin costo de impresión (Parametros)","Lista"),IF(Q79="","Consumo tela principal (Despiece o Mediciones). ","")&amp;IF(COUNTIFS(Mediciones!$C$6:$C$305,$A79,Mediciones!$K$6:$K$305,"")&gt;0,"Pesar 1 m de la tela medida (Telas, kg por metro). ","")&amp;IF(T79="","Consumo Tela 2. ","")&amp;IF(W79="","Consumo Tela 3. ","")&amp;IF(K79="","Elegir tela principal. ",IF(ISERROR(INDEX(Telas!$I$6:$I$105,MATCH(K79,Telas!$A$6:$A$105,0))*1),"Precio o peso por metro de "&amp;K79&amp;". ",""))&amp;IF(AND(N(T79)&gt;0,L79=""),"Elegir Tela 2. ",IF(AND(N(T79)&gt;0,ISERROR(INDEX(Telas!$I$6:$I$105,MATCH(L79,Telas!$A$6:$A$105,0))*1)),"Precio o peso por metro de "&amp;L79&amp;". ",""))&amp;IF(Y79="","Metros impresos. ","")&amp;IF(F79="","Tipo de confección. ",IF(AB79="","Precio de confección. ",""))))</f>
        <v/>
      </c>
      <c r="AH79" s="27"/>
    </row>
    <row r="80" customFormat="false" ht="15" hidden="false" customHeight="false" outlineLevel="0" collapsed="false">
      <c r="A80" s="27"/>
      <c r="B80" s="27"/>
      <c r="C80" s="27"/>
      <c r="D80" s="27"/>
      <c r="E80" s="27"/>
      <c r="F80" s="27"/>
      <c r="G80" s="8"/>
      <c r="H80" s="27"/>
      <c r="I80" s="8"/>
      <c r="J80" s="27"/>
      <c r="K80" s="8"/>
      <c r="L80" s="8"/>
      <c r="M80" s="8"/>
      <c r="N80" s="8"/>
      <c r="O80" s="9" t="str">
        <f aca="false">IF($A80="","",IF(COUNTIFS(Despiece!$A$6:$A$705,$A80,Despiece!$D$6:$D$705,"Tela principal",Despiece!$F$6:$F$705,"&gt;0")=0,"",SUMIFS(Despiece!$F$6:$F$705,Despiece!$A$6:$A$705,$A80,Despiece!$D$6:$D$705,"Tela principal")))</f>
        <v/>
      </c>
      <c r="P80" s="9" t="str">
        <f aca="false">IF($A80="","",IFERROR(AVERAGEIFS(Mediciones!$K$6:$K$305,Mediciones!$C$6:$C$305,$A80,Mediciones!$D$6:$D$305,"Tela principal"),""))</f>
        <v/>
      </c>
      <c r="Q80" s="28" t="str">
        <f aca="false">IF($A80="","",IF(N(IF($N80="Despiece",IF(ISNUMBER(O80),O80*(1+Parametros!$B$22),IF(COUNTIFS(Despiece!$A$6:$A$705,$A80,Despiece!$D$6:$D$705,"Tela principal")&gt;0,"",0)),IF($N80="Medición real",IF(ISNUMBER(P80),P80,IF(COUNTIFS(Mediciones!$C$6:$C$305,$A80,Mediciones!$D$6:$D$305,"Tela principal")&gt;0,"",0)),IF(ISNUMBER(P80),P80,IF(ISNUMBER(O80),O80*(1+Parametros!$B$22),IF(OR(COUNTIFS(Despiece!$A$6:$A$705,$A80,Despiece!$D$6:$D$705,"Tela principal")&gt;0,COUNTIFS(Mediciones!$C$6:$C$305,$A80,Mediciones!$D$6:$D$305,"Tela principal")&gt;0),"",0))))))=0,"",IF($N80="Despiece",IF(ISNUMBER(O80),O80*(1+Parametros!$B$22),IF(COUNTIFS(Despiece!$A$6:$A$705,$A80,Despiece!$D$6:$D$705,"Tela principal")&gt;0,"",0)),IF($N80="Medición real",IF(ISNUMBER(P80),P80,IF(COUNTIFS(Mediciones!$C$6:$C$305,$A80,Mediciones!$D$6:$D$305,"Tela principal")&gt;0,"",0)),IF(ISNUMBER(P80),P80,IF(ISNUMBER(O80),O80*(1+Parametros!$B$22),IF(OR(COUNTIFS(Despiece!$A$6:$A$705,$A80,Despiece!$D$6:$D$705,"Tela principal")&gt;0,COUNTIFS(Mediciones!$C$6:$C$305,$A80,Mediciones!$D$6:$D$305,"Tela principal")&gt;0),"",0)))))))</f>
        <v/>
      </c>
      <c r="R80" s="9" t="str">
        <f aca="false">IF($A80="","",IF(COUNTIFS(Despiece!$A$6:$A$705,$A80,Despiece!$D$6:$D$705,"Tela 2",Despiece!$F$6:$F$705,"&gt;0")=0,"",SUMIFS(Despiece!$F$6:$F$705,Despiece!$A$6:$A$705,$A80,Despiece!$D$6:$D$705,"Tela 2")))</f>
        <v/>
      </c>
      <c r="S80" s="9" t="str">
        <f aca="false">IF($A80="","",IFERROR(AVERAGEIFS(Mediciones!$K$6:$K$305,Mediciones!$C$6:$C$305,$A80,Mediciones!$D$6:$D$305,"Tela 2"),""))</f>
        <v/>
      </c>
      <c r="T80" s="28" t="str">
        <f aca="false">IF($A80="","",IF($N80="Despiece",IF(ISNUMBER(R80),R80*(1+Parametros!$B$22),IF(COUNTIFS(Despiece!$A$6:$A$705,$A80,Despiece!$D$6:$D$705,"Tela 2")&gt;0,"",0)),IF($N80="Medición real",IF(ISNUMBER(S80),S80,IF(COUNTIFS(Mediciones!$C$6:$C$305,$A80,Mediciones!$D$6:$D$305,"Tela 2")&gt;0,"",0)),IF(ISNUMBER(S80),S80,IF(ISNUMBER(R80),R80*(1+Parametros!$B$22),IF(OR(COUNTIFS(Despiece!$A$6:$A$705,$A80,Despiece!$D$6:$D$705,"Tela 2")&gt;0,COUNTIFS(Mediciones!$C$6:$C$305,$A80,Mediciones!$D$6:$D$305,"Tela 2")&gt;0),"",0))))))</f>
        <v/>
      </c>
      <c r="U80" s="9" t="str">
        <f aca="false">IF($A80="","",IF(COUNTIFS(Despiece!$A$6:$A$705,$A80,Despiece!$D$6:$D$705,"Tela 3",Despiece!$F$6:$F$705,"&gt;0")=0,"",SUMIFS(Despiece!$F$6:$F$705,Despiece!$A$6:$A$705,$A80,Despiece!$D$6:$D$705,"Tela 3")))</f>
        <v/>
      </c>
      <c r="V80" s="9" t="str">
        <f aca="false">IF($A80="","",IFERROR(AVERAGEIFS(Mediciones!$K$6:$K$305,Mediciones!$C$6:$C$305,$A80,Mediciones!$D$6:$D$305,"Tela 3"),""))</f>
        <v/>
      </c>
      <c r="W80" s="28" t="str">
        <f aca="false">IF($A80="","",IF($N80="Despiece",IF(ISNUMBER(U80),U80*(1+Parametros!$B$22),IF(COUNTIFS(Despiece!$A$6:$A$705,$A80,Despiece!$D$6:$D$705,"Tela 3")&gt;0,"",0)),IF($N80="Medición real",IF(ISNUMBER(V80),V80,IF(COUNTIFS(Mediciones!$C$6:$C$305,$A80,Mediciones!$D$6:$D$305,"Tela 3")&gt;0,"",0)),IF(ISNUMBER(V80),V80,IF(ISNUMBER(U80),U80*(1+Parametros!$B$22),IF(OR(COUNTIFS(Despiece!$A$6:$A$705,$A80,Despiece!$D$6:$D$705,"Tela 3")&gt;0,COUNTIFS(Mediciones!$C$6:$C$305,$A80,Mediciones!$D$6:$D$305,"Tela 3")&gt;0),"",0))))))</f>
        <v/>
      </c>
      <c r="X80" s="27"/>
      <c r="Y80" s="9" t="str">
        <f aca="false">IF($A80="","",IF(ISNUMBER(X80),X80,IF(COUNTIFS(Despiece!$A$6:$A$705,$A80,Despiece!$E$6:$E$705,"Sublimada",Despiece!$F$6:$F$705,"&gt;0")&gt;0,SUMIFS(Despiece!$F$6:$F$705,Despiece!$A$6:$A$705,$A80,Despiece!$E$6:$E$705,"Sublimada")*(1+Parametros!$B$22),IF(COUNTIFS(Despiece!$A$6:$A$705,$A80,Despiece!$E$6:$E$705,"Sublimada")=0,0,""))))</f>
        <v/>
      </c>
      <c r="Z80" s="10" t="str">
        <f aca="false">IF($A80="","",IFERROR(IF(ISNUMBER(Q80),IF(Q80=0,0,Q80*INDEX(Telas!$I$6:$I$105,MATCH(K80,Telas!$A$6:$A$105,0))),NA())+IF(ISNUMBER(T80),IF(T80=0,0,T80*INDEX(Telas!$I$6:$I$105,MATCH(L80,Telas!$A$6:$A$105,0))),NA())+IF(ISNUMBER(W80),IF(W80=0,0,W80*INDEX(Telas!$I$6:$I$105,MATCH(IF(M80="",K80,M80),Telas!$A$6:$A$105,0))),NA()),""))</f>
        <v/>
      </c>
      <c r="AA80" s="10" t="str">
        <f aca="false">IF($A80="","",IF(ISNUMBER(Y80),Y80*Parametros!$B$19,""))</f>
        <v/>
      </c>
      <c r="AB80" s="10" t="str">
        <f aca="false">IF(OR($A80="",F80=""),"",IFERROR(INDEX(Confeccion!$B$6:$B$125,MATCH(F80,Confeccion!$A$6:$A$125,0)),""))</f>
        <v/>
      </c>
      <c r="AC80" s="10" t="str">
        <f aca="false">IF($A80="","",IFERROR(N(H80)*IF(G80="",0,INDEX(Avios!$C$6:$C$65,MATCH(G80,Avios!$A$6:$A$65,0)))+N(J80)*IF(I80="",0,INDEX(Avios!$C$6:$C$65,MATCH(I80,Avios!$A$6:$A$65,0))),""))</f>
        <v/>
      </c>
      <c r="AD80" s="11" t="str">
        <f aca="false">IF($A80="","",IFERROR(Z80+AA80+AB80+AC80,""))</f>
        <v/>
      </c>
      <c r="AE80" s="10" t="str">
        <f aca="false">IF(ISNUMBER(AD80),AD80*Parametros!$B$12,"")</f>
        <v/>
      </c>
      <c r="AF80" s="29" t="str">
        <f aca="false">IF(AND(ISNUMBER(Q80),K80&lt;&gt;""),IFERROR(1/(Q80*INDEX(Telas!$G$6:$G$105,MATCH(K80,Telas!$A$6:$A$105,0))),""),"")</f>
        <v/>
      </c>
      <c r="AG80" s="0" t="str">
        <f aca="false">IF($A80="","",IF(ISNUMBER(AD80),IF(AND(N(Y80)&gt;0,N(Parametros!$B$19)=0),"Lista, pero sin costo de impresión (Parametros)","Lista"),IF(Q80="","Consumo tela principal (Despiece o Mediciones). ","")&amp;IF(COUNTIFS(Mediciones!$C$6:$C$305,$A80,Mediciones!$K$6:$K$305,"")&gt;0,"Pesar 1 m de la tela medida (Telas, kg por metro). ","")&amp;IF(T80="","Consumo Tela 2. ","")&amp;IF(W80="","Consumo Tela 3. ","")&amp;IF(K80="","Elegir tela principal. ",IF(ISERROR(INDEX(Telas!$I$6:$I$105,MATCH(K80,Telas!$A$6:$A$105,0))*1),"Precio o peso por metro de "&amp;K80&amp;". ",""))&amp;IF(AND(N(T80)&gt;0,L80=""),"Elegir Tela 2. ",IF(AND(N(T80)&gt;0,ISERROR(INDEX(Telas!$I$6:$I$105,MATCH(L80,Telas!$A$6:$A$105,0))*1)),"Precio o peso por metro de "&amp;L80&amp;". ",""))&amp;IF(Y80="","Metros impresos. ","")&amp;IF(F80="","Tipo de confección. ",IF(AB80="","Precio de confección. ",""))))</f>
        <v/>
      </c>
      <c r="AH80" s="27"/>
    </row>
    <row r="81" customFormat="false" ht="15" hidden="false" customHeight="false" outlineLevel="0" collapsed="false">
      <c r="A81" s="27"/>
      <c r="B81" s="27"/>
      <c r="C81" s="27"/>
      <c r="D81" s="27"/>
      <c r="E81" s="27"/>
      <c r="F81" s="27"/>
      <c r="G81" s="8"/>
      <c r="H81" s="27"/>
      <c r="I81" s="8"/>
      <c r="J81" s="27"/>
      <c r="K81" s="8"/>
      <c r="L81" s="8"/>
      <c r="M81" s="8"/>
      <c r="N81" s="8"/>
      <c r="O81" s="9" t="str">
        <f aca="false">IF($A81="","",IF(COUNTIFS(Despiece!$A$6:$A$705,$A81,Despiece!$D$6:$D$705,"Tela principal",Despiece!$F$6:$F$705,"&gt;0")=0,"",SUMIFS(Despiece!$F$6:$F$705,Despiece!$A$6:$A$705,$A81,Despiece!$D$6:$D$705,"Tela principal")))</f>
        <v/>
      </c>
      <c r="P81" s="9" t="str">
        <f aca="false">IF($A81="","",IFERROR(AVERAGEIFS(Mediciones!$K$6:$K$305,Mediciones!$C$6:$C$305,$A81,Mediciones!$D$6:$D$305,"Tela principal"),""))</f>
        <v/>
      </c>
      <c r="Q81" s="28" t="str">
        <f aca="false">IF($A81="","",IF(N(IF($N81="Despiece",IF(ISNUMBER(O81),O81*(1+Parametros!$B$22),IF(COUNTIFS(Despiece!$A$6:$A$705,$A81,Despiece!$D$6:$D$705,"Tela principal")&gt;0,"",0)),IF($N81="Medición real",IF(ISNUMBER(P81),P81,IF(COUNTIFS(Mediciones!$C$6:$C$305,$A81,Mediciones!$D$6:$D$305,"Tela principal")&gt;0,"",0)),IF(ISNUMBER(P81),P81,IF(ISNUMBER(O81),O81*(1+Parametros!$B$22),IF(OR(COUNTIFS(Despiece!$A$6:$A$705,$A81,Despiece!$D$6:$D$705,"Tela principal")&gt;0,COUNTIFS(Mediciones!$C$6:$C$305,$A81,Mediciones!$D$6:$D$305,"Tela principal")&gt;0),"",0))))))=0,"",IF($N81="Despiece",IF(ISNUMBER(O81),O81*(1+Parametros!$B$22),IF(COUNTIFS(Despiece!$A$6:$A$705,$A81,Despiece!$D$6:$D$705,"Tela principal")&gt;0,"",0)),IF($N81="Medición real",IF(ISNUMBER(P81),P81,IF(COUNTIFS(Mediciones!$C$6:$C$305,$A81,Mediciones!$D$6:$D$305,"Tela principal")&gt;0,"",0)),IF(ISNUMBER(P81),P81,IF(ISNUMBER(O81),O81*(1+Parametros!$B$22),IF(OR(COUNTIFS(Despiece!$A$6:$A$705,$A81,Despiece!$D$6:$D$705,"Tela principal")&gt;0,COUNTIFS(Mediciones!$C$6:$C$305,$A81,Mediciones!$D$6:$D$305,"Tela principal")&gt;0),"",0)))))))</f>
        <v/>
      </c>
      <c r="R81" s="9" t="str">
        <f aca="false">IF($A81="","",IF(COUNTIFS(Despiece!$A$6:$A$705,$A81,Despiece!$D$6:$D$705,"Tela 2",Despiece!$F$6:$F$705,"&gt;0")=0,"",SUMIFS(Despiece!$F$6:$F$705,Despiece!$A$6:$A$705,$A81,Despiece!$D$6:$D$705,"Tela 2")))</f>
        <v/>
      </c>
      <c r="S81" s="9" t="str">
        <f aca="false">IF($A81="","",IFERROR(AVERAGEIFS(Mediciones!$K$6:$K$305,Mediciones!$C$6:$C$305,$A81,Mediciones!$D$6:$D$305,"Tela 2"),""))</f>
        <v/>
      </c>
      <c r="T81" s="28" t="str">
        <f aca="false">IF($A81="","",IF($N81="Despiece",IF(ISNUMBER(R81),R81*(1+Parametros!$B$22),IF(COUNTIFS(Despiece!$A$6:$A$705,$A81,Despiece!$D$6:$D$705,"Tela 2")&gt;0,"",0)),IF($N81="Medición real",IF(ISNUMBER(S81),S81,IF(COUNTIFS(Mediciones!$C$6:$C$305,$A81,Mediciones!$D$6:$D$305,"Tela 2")&gt;0,"",0)),IF(ISNUMBER(S81),S81,IF(ISNUMBER(R81),R81*(1+Parametros!$B$22),IF(OR(COUNTIFS(Despiece!$A$6:$A$705,$A81,Despiece!$D$6:$D$705,"Tela 2")&gt;0,COUNTIFS(Mediciones!$C$6:$C$305,$A81,Mediciones!$D$6:$D$305,"Tela 2")&gt;0),"",0))))))</f>
        <v/>
      </c>
      <c r="U81" s="9" t="str">
        <f aca="false">IF($A81="","",IF(COUNTIFS(Despiece!$A$6:$A$705,$A81,Despiece!$D$6:$D$705,"Tela 3",Despiece!$F$6:$F$705,"&gt;0")=0,"",SUMIFS(Despiece!$F$6:$F$705,Despiece!$A$6:$A$705,$A81,Despiece!$D$6:$D$705,"Tela 3")))</f>
        <v/>
      </c>
      <c r="V81" s="9" t="str">
        <f aca="false">IF($A81="","",IFERROR(AVERAGEIFS(Mediciones!$K$6:$K$305,Mediciones!$C$6:$C$305,$A81,Mediciones!$D$6:$D$305,"Tela 3"),""))</f>
        <v/>
      </c>
      <c r="W81" s="28" t="str">
        <f aca="false">IF($A81="","",IF($N81="Despiece",IF(ISNUMBER(U81),U81*(1+Parametros!$B$22),IF(COUNTIFS(Despiece!$A$6:$A$705,$A81,Despiece!$D$6:$D$705,"Tela 3")&gt;0,"",0)),IF($N81="Medición real",IF(ISNUMBER(V81),V81,IF(COUNTIFS(Mediciones!$C$6:$C$305,$A81,Mediciones!$D$6:$D$305,"Tela 3")&gt;0,"",0)),IF(ISNUMBER(V81),V81,IF(ISNUMBER(U81),U81*(1+Parametros!$B$22),IF(OR(COUNTIFS(Despiece!$A$6:$A$705,$A81,Despiece!$D$6:$D$705,"Tela 3")&gt;0,COUNTIFS(Mediciones!$C$6:$C$305,$A81,Mediciones!$D$6:$D$305,"Tela 3")&gt;0),"",0))))))</f>
        <v/>
      </c>
      <c r="X81" s="27"/>
      <c r="Y81" s="9" t="str">
        <f aca="false">IF($A81="","",IF(ISNUMBER(X81),X81,IF(COUNTIFS(Despiece!$A$6:$A$705,$A81,Despiece!$E$6:$E$705,"Sublimada",Despiece!$F$6:$F$705,"&gt;0")&gt;0,SUMIFS(Despiece!$F$6:$F$705,Despiece!$A$6:$A$705,$A81,Despiece!$E$6:$E$705,"Sublimada")*(1+Parametros!$B$22),IF(COUNTIFS(Despiece!$A$6:$A$705,$A81,Despiece!$E$6:$E$705,"Sublimada")=0,0,""))))</f>
        <v/>
      </c>
      <c r="Z81" s="10" t="str">
        <f aca="false">IF($A81="","",IFERROR(IF(ISNUMBER(Q81),IF(Q81=0,0,Q81*INDEX(Telas!$I$6:$I$105,MATCH(K81,Telas!$A$6:$A$105,0))),NA())+IF(ISNUMBER(T81),IF(T81=0,0,T81*INDEX(Telas!$I$6:$I$105,MATCH(L81,Telas!$A$6:$A$105,0))),NA())+IF(ISNUMBER(W81),IF(W81=0,0,W81*INDEX(Telas!$I$6:$I$105,MATCH(IF(M81="",K81,M81),Telas!$A$6:$A$105,0))),NA()),""))</f>
        <v/>
      </c>
      <c r="AA81" s="10" t="str">
        <f aca="false">IF($A81="","",IF(ISNUMBER(Y81),Y81*Parametros!$B$19,""))</f>
        <v/>
      </c>
      <c r="AB81" s="10" t="str">
        <f aca="false">IF(OR($A81="",F81=""),"",IFERROR(INDEX(Confeccion!$B$6:$B$125,MATCH(F81,Confeccion!$A$6:$A$125,0)),""))</f>
        <v/>
      </c>
      <c r="AC81" s="10" t="str">
        <f aca="false">IF($A81="","",IFERROR(N(H81)*IF(G81="",0,INDEX(Avios!$C$6:$C$65,MATCH(G81,Avios!$A$6:$A$65,0)))+N(J81)*IF(I81="",0,INDEX(Avios!$C$6:$C$65,MATCH(I81,Avios!$A$6:$A$65,0))),""))</f>
        <v/>
      </c>
      <c r="AD81" s="11" t="str">
        <f aca="false">IF($A81="","",IFERROR(Z81+AA81+AB81+AC81,""))</f>
        <v/>
      </c>
      <c r="AE81" s="10" t="str">
        <f aca="false">IF(ISNUMBER(AD81),AD81*Parametros!$B$12,"")</f>
        <v/>
      </c>
      <c r="AF81" s="29" t="str">
        <f aca="false">IF(AND(ISNUMBER(Q81),K81&lt;&gt;""),IFERROR(1/(Q81*INDEX(Telas!$G$6:$G$105,MATCH(K81,Telas!$A$6:$A$105,0))),""),"")</f>
        <v/>
      </c>
      <c r="AG81" s="0" t="str">
        <f aca="false">IF($A81="","",IF(ISNUMBER(AD81),IF(AND(N(Y81)&gt;0,N(Parametros!$B$19)=0),"Lista, pero sin costo de impresión (Parametros)","Lista"),IF(Q81="","Consumo tela principal (Despiece o Mediciones). ","")&amp;IF(COUNTIFS(Mediciones!$C$6:$C$305,$A81,Mediciones!$K$6:$K$305,"")&gt;0,"Pesar 1 m de la tela medida (Telas, kg por metro). ","")&amp;IF(T81="","Consumo Tela 2. ","")&amp;IF(W81="","Consumo Tela 3. ","")&amp;IF(K81="","Elegir tela principal. ",IF(ISERROR(INDEX(Telas!$I$6:$I$105,MATCH(K81,Telas!$A$6:$A$105,0))*1),"Precio o peso por metro de "&amp;K81&amp;". ",""))&amp;IF(AND(N(T81)&gt;0,L81=""),"Elegir Tela 2. ",IF(AND(N(T81)&gt;0,ISERROR(INDEX(Telas!$I$6:$I$105,MATCH(L81,Telas!$A$6:$A$105,0))*1)),"Precio o peso por metro de "&amp;L81&amp;". ",""))&amp;IF(Y81="","Metros impresos. ","")&amp;IF(F81="","Tipo de confección. ",IF(AB81="","Precio de confección. ",""))))</f>
        <v/>
      </c>
      <c r="AH81" s="27"/>
    </row>
    <row r="82" customFormat="false" ht="15" hidden="false" customHeight="false" outlineLevel="0" collapsed="false">
      <c r="A82" s="27"/>
      <c r="B82" s="27"/>
      <c r="C82" s="27"/>
      <c r="D82" s="27"/>
      <c r="E82" s="27"/>
      <c r="F82" s="27"/>
      <c r="G82" s="8"/>
      <c r="H82" s="27"/>
      <c r="I82" s="8"/>
      <c r="J82" s="27"/>
      <c r="K82" s="8"/>
      <c r="L82" s="8"/>
      <c r="M82" s="8"/>
      <c r="N82" s="8"/>
      <c r="O82" s="9" t="str">
        <f aca="false">IF($A82="","",IF(COUNTIFS(Despiece!$A$6:$A$705,$A82,Despiece!$D$6:$D$705,"Tela principal",Despiece!$F$6:$F$705,"&gt;0")=0,"",SUMIFS(Despiece!$F$6:$F$705,Despiece!$A$6:$A$705,$A82,Despiece!$D$6:$D$705,"Tela principal")))</f>
        <v/>
      </c>
      <c r="P82" s="9" t="str">
        <f aca="false">IF($A82="","",IFERROR(AVERAGEIFS(Mediciones!$K$6:$K$305,Mediciones!$C$6:$C$305,$A82,Mediciones!$D$6:$D$305,"Tela principal"),""))</f>
        <v/>
      </c>
      <c r="Q82" s="28" t="str">
        <f aca="false">IF($A82="","",IF(N(IF($N82="Despiece",IF(ISNUMBER(O82),O82*(1+Parametros!$B$22),IF(COUNTIFS(Despiece!$A$6:$A$705,$A82,Despiece!$D$6:$D$705,"Tela principal")&gt;0,"",0)),IF($N82="Medición real",IF(ISNUMBER(P82),P82,IF(COUNTIFS(Mediciones!$C$6:$C$305,$A82,Mediciones!$D$6:$D$305,"Tela principal")&gt;0,"",0)),IF(ISNUMBER(P82),P82,IF(ISNUMBER(O82),O82*(1+Parametros!$B$22),IF(OR(COUNTIFS(Despiece!$A$6:$A$705,$A82,Despiece!$D$6:$D$705,"Tela principal")&gt;0,COUNTIFS(Mediciones!$C$6:$C$305,$A82,Mediciones!$D$6:$D$305,"Tela principal")&gt;0),"",0))))))=0,"",IF($N82="Despiece",IF(ISNUMBER(O82),O82*(1+Parametros!$B$22),IF(COUNTIFS(Despiece!$A$6:$A$705,$A82,Despiece!$D$6:$D$705,"Tela principal")&gt;0,"",0)),IF($N82="Medición real",IF(ISNUMBER(P82),P82,IF(COUNTIFS(Mediciones!$C$6:$C$305,$A82,Mediciones!$D$6:$D$305,"Tela principal")&gt;0,"",0)),IF(ISNUMBER(P82),P82,IF(ISNUMBER(O82),O82*(1+Parametros!$B$22),IF(OR(COUNTIFS(Despiece!$A$6:$A$705,$A82,Despiece!$D$6:$D$705,"Tela principal")&gt;0,COUNTIFS(Mediciones!$C$6:$C$305,$A82,Mediciones!$D$6:$D$305,"Tela principal")&gt;0),"",0)))))))</f>
        <v/>
      </c>
      <c r="R82" s="9" t="str">
        <f aca="false">IF($A82="","",IF(COUNTIFS(Despiece!$A$6:$A$705,$A82,Despiece!$D$6:$D$705,"Tela 2",Despiece!$F$6:$F$705,"&gt;0")=0,"",SUMIFS(Despiece!$F$6:$F$705,Despiece!$A$6:$A$705,$A82,Despiece!$D$6:$D$705,"Tela 2")))</f>
        <v/>
      </c>
      <c r="S82" s="9" t="str">
        <f aca="false">IF($A82="","",IFERROR(AVERAGEIFS(Mediciones!$K$6:$K$305,Mediciones!$C$6:$C$305,$A82,Mediciones!$D$6:$D$305,"Tela 2"),""))</f>
        <v/>
      </c>
      <c r="T82" s="28" t="str">
        <f aca="false">IF($A82="","",IF($N82="Despiece",IF(ISNUMBER(R82),R82*(1+Parametros!$B$22),IF(COUNTIFS(Despiece!$A$6:$A$705,$A82,Despiece!$D$6:$D$705,"Tela 2")&gt;0,"",0)),IF($N82="Medición real",IF(ISNUMBER(S82),S82,IF(COUNTIFS(Mediciones!$C$6:$C$305,$A82,Mediciones!$D$6:$D$305,"Tela 2")&gt;0,"",0)),IF(ISNUMBER(S82),S82,IF(ISNUMBER(R82),R82*(1+Parametros!$B$22),IF(OR(COUNTIFS(Despiece!$A$6:$A$705,$A82,Despiece!$D$6:$D$705,"Tela 2")&gt;0,COUNTIFS(Mediciones!$C$6:$C$305,$A82,Mediciones!$D$6:$D$305,"Tela 2")&gt;0),"",0))))))</f>
        <v/>
      </c>
      <c r="U82" s="9" t="str">
        <f aca="false">IF($A82="","",IF(COUNTIFS(Despiece!$A$6:$A$705,$A82,Despiece!$D$6:$D$705,"Tela 3",Despiece!$F$6:$F$705,"&gt;0")=0,"",SUMIFS(Despiece!$F$6:$F$705,Despiece!$A$6:$A$705,$A82,Despiece!$D$6:$D$705,"Tela 3")))</f>
        <v/>
      </c>
      <c r="V82" s="9" t="str">
        <f aca="false">IF($A82="","",IFERROR(AVERAGEIFS(Mediciones!$K$6:$K$305,Mediciones!$C$6:$C$305,$A82,Mediciones!$D$6:$D$305,"Tela 3"),""))</f>
        <v/>
      </c>
      <c r="W82" s="28" t="str">
        <f aca="false">IF($A82="","",IF($N82="Despiece",IF(ISNUMBER(U82),U82*(1+Parametros!$B$22),IF(COUNTIFS(Despiece!$A$6:$A$705,$A82,Despiece!$D$6:$D$705,"Tela 3")&gt;0,"",0)),IF($N82="Medición real",IF(ISNUMBER(V82),V82,IF(COUNTIFS(Mediciones!$C$6:$C$305,$A82,Mediciones!$D$6:$D$305,"Tela 3")&gt;0,"",0)),IF(ISNUMBER(V82),V82,IF(ISNUMBER(U82),U82*(1+Parametros!$B$22),IF(OR(COUNTIFS(Despiece!$A$6:$A$705,$A82,Despiece!$D$6:$D$705,"Tela 3")&gt;0,COUNTIFS(Mediciones!$C$6:$C$305,$A82,Mediciones!$D$6:$D$305,"Tela 3")&gt;0),"",0))))))</f>
        <v/>
      </c>
      <c r="X82" s="27"/>
      <c r="Y82" s="9" t="str">
        <f aca="false">IF($A82="","",IF(ISNUMBER(X82),X82,IF(COUNTIFS(Despiece!$A$6:$A$705,$A82,Despiece!$E$6:$E$705,"Sublimada",Despiece!$F$6:$F$705,"&gt;0")&gt;0,SUMIFS(Despiece!$F$6:$F$705,Despiece!$A$6:$A$705,$A82,Despiece!$E$6:$E$705,"Sublimada")*(1+Parametros!$B$22),IF(COUNTIFS(Despiece!$A$6:$A$705,$A82,Despiece!$E$6:$E$705,"Sublimada")=0,0,""))))</f>
        <v/>
      </c>
      <c r="Z82" s="10" t="str">
        <f aca="false">IF($A82="","",IFERROR(IF(ISNUMBER(Q82),IF(Q82=0,0,Q82*INDEX(Telas!$I$6:$I$105,MATCH(K82,Telas!$A$6:$A$105,0))),NA())+IF(ISNUMBER(T82),IF(T82=0,0,T82*INDEX(Telas!$I$6:$I$105,MATCH(L82,Telas!$A$6:$A$105,0))),NA())+IF(ISNUMBER(W82),IF(W82=0,0,W82*INDEX(Telas!$I$6:$I$105,MATCH(IF(M82="",K82,M82),Telas!$A$6:$A$105,0))),NA()),""))</f>
        <v/>
      </c>
      <c r="AA82" s="10" t="str">
        <f aca="false">IF($A82="","",IF(ISNUMBER(Y82),Y82*Parametros!$B$19,""))</f>
        <v/>
      </c>
      <c r="AB82" s="10" t="str">
        <f aca="false">IF(OR($A82="",F82=""),"",IFERROR(INDEX(Confeccion!$B$6:$B$125,MATCH(F82,Confeccion!$A$6:$A$125,0)),""))</f>
        <v/>
      </c>
      <c r="AC82" s="10" t="str">
        <f aca="false">IF($A82="","",IFERROR(N(H82)*IF(G82="",0,INDEX(Avios!$C$6:$C$65,MATCH(G82,Avios!$A$6:$A$65,0)))+N(J82)*IF(I82="",0,INDEX(Avios!$C$6:$C$65,MATCH(I82,Avios!$A$6:$A$65,0))),""))</f>
        <v/>
      </c>
      <c r="AD82" s="11" t="str">
        <f aca="false">IF($A82="","",IFERROR(Z82+AA82+AB82+AC82,""))</f>
        <v/>
      </c>
      <c r="AE82" s="10" t="str">
        <f aca="false">IF(ISNUMBER(AD82),AD82*Parametros!$B$12,"")</f>
        <v/>
      </c>
      <c r="AF82" s="29" t="str">
        <f aca="false">IF(AND(ISNUMBER(Q82),K82&lt;&gt;""),IFERROR(1/(Q82*INDEX(Telas!$G$6:$G$105,MATCH(K82,Telas!$A$6:$A$105,0))),""),"")</f>
        <v/>
      </c>
      <c r="AG82" s="0" t="str">
        <f aca="false">IF($A82="","",IF(ISNUMBER(AD82),IF(AND(N(Y82)&gt;0,N(Parametros!$B$19)=0),"Lista, pero sin costo de impresión (Parametros)","Lista"),IF(Q82="","Consumo tela principal (Despiece o Mediciones). ","")&amp;IF(COUNTIFS(Mediciones!$C$6:$C$305,$A82,Mediciones!$K$6:$K$305,"")&gt;0,"Pesar 1 m de la tela medida (Telas, kg por metro). ","")&amp;IF(T82="","Consumo Tela 2. ","")&amp;IF(W82="","Consumo Tela 3. ","")&amp;IF(K82="","Elegir tela principal. ",IF(ISERROR(INDEX(Telas!$I$6:$I$105,MATCH(K82,Telas!$A$6:$A$105,0))*1),"Precio o peso por metro de "&amp;K82&amp;". ",""))&amp;IF(AND(N(T82)&gt;0,L82=""),"Elegir Tela 2. ",IF(AND(N(T82)&gt;0,ISERROR(INDEX(Telas!$I$6:$I$105,MATCH(L82,Telas!$A$6:$A$105,0))*1)),"Precio o peso por metro de "&amp;L82&amp;". ",""))&amp;IF(Y82="","Metros impresos. ","")&amp;IF(F82="","Tipo de confección. ",IF(AB82="","Precio de confección. ",""))))</f>
        <v/>
      </c>
      <c r="AH82" s="27"/>
    </row>
    <row r="83" customFormat="false" ht="15" hidden="false" customHeight="false" outlineLevel="0" collapsed="false">
      <c r="A83" s="27"/>
      <c r="B83" s="27"/>
      <c r="C83" s="27"/>
      <c r="D83" s="27"/>
      <c r="E83" s="27"/>
      <c r="F83" s="27"/>
      <c r="G83" s="8"/>
      <c r="H83" s="27"/>
      <c r="I83" s="8"/>
      <c r="J83" s="27"/>
      <c r="K83" s="8"/>
      <c r="L83" s="8"/>
      <c r="M83" s="8"/>
      <c r="N83" s="8"/>
      <c r="O83" s="9" t="str">
        <f aca="false">IF($A83="","",IF(COUNTIFS(Despiece!$A$6:$A$705,$A83,Despiece!$D$6:$D$705,"Tela principal",Despiece!$F$6:$F$705,"&gt;0")=0,"",SUMIFS(Despiece!$F$6:$F$705,Despiece!$A$6:$A$705,$A83,Despiece!$D$6:$D$705,"Tela principal")))</f>
        <v/>
      </c>
      <c r="P83" s="9" t="str">
        <f aca="false">IF($A83="","",IFERROR(AVERAGEIFS(Mediciones!$K$6:$K$305,Mediciones!$C$6:$C$305,$A83,Mediciones!$D$6:$D$305,"Tela principal"),""))</f>
        <v/>
      </c>
      <c r="Q83" s="28" t="str">
        <f aca="false">IF($A83="","",IF(N(IF($N83="Despiece",IF(ISNUMBER(O83),O83*(1+Parametros!$B$22),IF(COUNTIFS(Despiece!$A$6:$A$705,$A83,Despiece!$D$6:$D$705,"Tela principal")&gt;0,"",0)),IF($N83="Medición real",IF(ISNUMBER(P83),P83,IF(COUNTIFS(Mediciones!$C$6:$C$305,$A83,Mediciones!$D$6:$D$305,"Tela principal")&gt;0,"",0)),IF(ISNUMBER(P83),P83,IF(ISNUMBER(O83),O83*(1+Parametros!$B$22),IF(OR(COUNTIFS(Despiece!$A$6:$A$705,$A83,Despiece!$D$6:$D$705,"Tela principal")&gt;0,COUNTIFS(Mediciones!$C$6:$C$305,$A83,Mediciones!$D$6:$D$305,"Tela principal")&gt;0),"",0))))))=0,"",IF($N83="Despiece",IF(ISNUMBER(O83),O83*(1+Parametros!$B$22),IF(COUNTIFS(Despiece!$A$6:$A$705,$A83,Despiece!$D$6:$D$705,"Tela principal")&gt;0,"",0)),IF($N83="Medición real",IF(ISNUMBER(P83),P83,IF(COUNTIFS(Mediciones!$C$6:$C$305,$A83,Mediciones!$D$6:$D$305,"Tela principal")&gt;0,"",0)),IF(ISNUMBER(P83),P83,IF(ISNUMBER(O83),O83*(1+Parametros!$B$22),IF(OR(COUNTIFS(Despiece!$A$6:$A$705,$A83,Despiece!$D$6:$D$705,"Tela principal")&gt;0,COUNTIFS(Mediciones!$C$6:$C$305,$A83,Mediciones!$D$6:$D$305,"Tela principal")&gt;0),"",0)))))))</f>
        <v/>
      </c>
      <c r="R83" s="9" t="str">
        <f aca="false">IF($A83="","",IF(COUNTIFS(Despiece!$A$6:$A$705,$A83,Despiece!$D$6:$D$705,"Tela 2",Despiece!$F$6:$F$705,"&gt;0")=0,"",SUMIFS(Despiece!$F$6:$F$705,Despiece!$A$6:$A$705,$A83,Despiece!$D$6:$D$705,"Tela 2")))</f>
        <v/>
      </c>
      <c r="S83" s="9" t="str">
        <f aca="false">IF($A83="","",IFERROR(AVERAGEIFS(Mediciones!$K$6:$K$305,Mediciones!$C$6:$C$305,$A83,Mediciones!$D$6:$D$305,"Tela 2"),""))</f>
        <v/>
      </c>
      <c r="T83" s="28" t="str">
        <f aca="false">IF($A83="","",IF($N83="Despiece",IF(ISNUMBER(R83),R83*(1+Parametros!$B$22),IF(COUNTIFS(Despiece!$A$6:$A$705,$A83,Despiece!$D$6:$D$705,"Tela 2")&gt;0,"",0)),IF($N83="Medición real",IF(ISNUMBER(S83),S83,IF(COUNTIFS(Mediciones!$C$6:$C$305,$A83,Mediciones!$D$6:$D$305,"Tela 2")&gt;0,"",0)),IF(ISNUMBER(S83),S83,IF(ISNUMBER(R83),R83*(1+Parametros!$B$22),IF(OR(COUNTIFS(Despiece!$A$6:$A$705,$A83,Despiece!$D$6:$D$705,"Tela 2")&gt;0,COUNTIFS(Mediciones!$C$6:$C$305,$A83,Mediciones!$D$6:$D$305,"Tela 2")&gt;0),"",0))))))</f>
        <v/>
      </c>
      <c r="U83" s="9" t="str">
        <f aca="false">IF($A83="","",IF(COUNTIFS(Despiece!$A$6:$A$705,$A83,Despiece!$D$6:$D$705,"Tela 3",Despiece!$F$6:$F$705,"&gt;0")=0,"",SUMIFS(Despiece!$F$6:$F$705,Despiece!$A$6:$A$705,$A83,Despiece!$D$6:$D$705,"Tela 3")))</f>
        <v/>
      </c>
      <c r="V83" s="9" t="str">
        <f aca="false">IF($A83="","",IFERROR(AVERAGEIFS(Mediciones!$K$6:$K$305,Mediciones!$C$6:$C$305,$A83,Mediciones!$D$6:$D$305,"Tela 3"),""))</f>
        <v/>
      </c>
      <c r="W83" s="28" t="str">
        <f aca="false">IF($A83="","",IF($N83="Despiece",IF(ISNUMBER(U83),U83*(1+Parametros!$B$22),IF(COUNTIFS(Despiece!$A$6:$A$705,$A83,Despiece!$D$6:$D$705,"Tela 3")&gt;0,"",0)),IF($N83="Medición real",IF(ISNUMBER(V83),V83,IF(COUNTIFS(Mediciones!$C$6:$C$305,$A83,Mediciones!$D$6:$D$305,"Tela 3")&gt;0,"",0)),IF(ISNUMBER(V83),V83,IF(ISNUMBER(U83),U83*(1+Parametros!$B$22),IF(OR(COUNTIFS(Despiece!$A$6:$A$705,$A83,Despiece!$D$6:$D$705,"Tela 3")&gt;0,COUNTIFS(Mediciones!$C$6:$C$305,$A83,Mediciones!$D$6:$D$305,"Tela 3")&gt;0),"",0))))))</f>
        <v/>
      </c>
      <c r="X83" s="27"/>
      <c r="Y83" s="9" t="str">
        <f aca="false">IF($A83="","",IF(ISNUMBER(X83),X83,IF(COUNTIFS(Despiece!$A$6:$A$705,$A83,Despiece!$E$6:$E$705,"Sublimada",Despiece!$F$6:$F$705,"&gt;0")&gt;0,SUMIFS(Despiece!$F$6:$F$705,Despiece!$A$6:$A$705,$A83,Despiece!$E$6:$E$705,"Sublimada")*(1+Parametros!$B$22),IF(COUNTIFS(Despiece!$A$6:$A$705,$A83,Despiece!$E$6:$E$705,"Sublimada")=0,0,""))))</f>
        <v/>
      </c>
      <c r="Z83" s="10" t="str">
        <f aca="false">IF($A83="","",IFERROR(IF(ISNUMBER(Q83),IF(Q83=0,0,Q83*INDEX(Telas!$I$6:$I$105,MATCH(K83,Telas!$A$6:$A$105,0))),NA())+IF(ISNUMBER(T83),IF(T83=0,0,T83*INDEX(Telas!$I$6:$I$105,MATCH(L83,Telas!$A$6:$A$105,0))),NA())+IF(ISNUMBER(W83),IF(W83=0,0,W83*INDEX(Telas!$I$6:$I$105,MATCH(IF(M83="",K83,M83),Telas!$A$6:$A$105,0))),NA()),""))</f>
        <v/>
      </c>
      <c r="AA83" s="10" t="str">
        <f aca="false">IF($A83="","",IF(ISNUMBER(Y83),Y83*Parametros!$B$19,""))</f>
        <v/>
      </c>
      <c r="AB83" s="10" t="str">
        <f aca="false">IF(OR($A83="",F83=""),"",IFERROR(INDEX(Confeccion!$B$6:$B$125,MATCH(F83,Confeccion!$A$6:$A$125,0)),""))</f>
        <v/>
      </c>
      <c r="AC83" s="10" t="str">
        <f aca="false">IF($A83="","",IFERROR(N(H83)*IF(G83="",0,INDEX(Avios!$C$6:$C$65,MATCH(G83,Avios!$A$6:$A$65,0)))+N(J83)*IF(I83="",0,INDEX(Avios!$C$6:$C$65,MATCH(I83,Avios!$A$6:$A$65,0))),""))</f>
        <v/>
      </c>
      <c r="AD83" s="11" t="str">
        <f aca="false">IF($A83="","",IFERROR(Z83+AA83+AB83+AC83,""))</f>
        <v/>
      </c>
      <c r="AE83" s="10" t="str">
        <f aca="false">IF(ISNUMBER(AD83),AD83*Parametros!$B$12,"")</f>
        <v/>
      </c>
      <c r="AF83" s="29" t="str">
        <f aca="false">IF(AND(ISNUMBER(Q83),K83&lt;&gt;""),IFERROR(1/(Q83*INDEX(Telas!$G$6:$G$105,MATCH(K83,Telas!$A$6:$A$105,0))),""),"")</f>
        <v/>
      </c>
      <c r="AG83" s="0" t="str">
        <f aca="false">IF($A83="","",IF(ISNUMBER(AD83),IF(AND(N(Y83)&gt;0,N(Parametros!$B$19)=0),"Lista, pero sin costo de impresión (Parametros)","Lista"),IF(Q83="","Consumo tela principal (Despiece o Mediciones). ","")&amp;IF(COUNTIFS(Mediciones!$C$6:$C$305,$A83,Mediciones!$K$6:$K$305,"")&gt;0,"Pesar 1 m de la tela medida (Telas, kg por metro). ","")&amp;IF(T83="","Consumo Tela 2. ","")&amp;IF(W83="","Consumo Tela 3. ","")&amp;IF(K83="","Elegir tela principal. ",IF(ISERROR(INDEX(Telas!$I$6:$I$105,MATCH(K83,Telas!$A$6:$A$105,0))*1),"Precio o peso por metro de "&amp;K83&amp;". ",""))&amp;IF(AND(N(T83)&gt;0,L83=""),"Elegir Tela 2. ",IF(AND(N(T83)&gt;0,ISERROR(INDEX(Telas!$I$6:$I$105,MATCH(L83,Telas!$A$6:$A$105,0))*1)),"Precio o peso por metro de "&amp;L83&amp;". ",""))&amp;IF(Y83="","Metros impresos. ","")&amp;IF(F83="","Tipo de confección. ",IF(AB83="","Precio de confección. ",""))))</f>
        <v/>
      </c>
      <c r="AH83" s="27"/>
    </row>
    <row r="84" customFormat="false" ht="15" hidden="false" customHeight="false" outlineLevel="0" collapsed="false">
      <c r="A84" s="27"/>
      <c r="B84" s="27"/>
      <c r="C84" s="27"/>
      <c r="D84" s="27"/>
      <c r="E84" s="27"/>
      <c r="F84" s="27"/>
      <c r="G84" s="8"/>
      <c r="H84" s="27"/>
      <c r="I84" s="8"/>
      <c r="J84" s="27"/>
      <c r="K84" s="8"/>
      <c r="L84" s="8"/>
      <c r="M84" s="8"/>
      <c r="N84" s="8"/>
      <c r="O84" s="9" t="str">
        <f aca="false">IF($A84="","",IF(COUNTIFS(Despiece!$A$6:$A$705,$A84,Despiece!$D$6:$D$705,"Tela principal",Despiece!$F$6:$F$705,"&gt;0")=0,"",SUMIFS(Despiece!$F$6:$F$705,Despiece!$A$6:$A$705,$A84,Despiece!$D$6:$D$705,"Tela principal")))</f>
        <v/>
      </c>
      <c r="P84" s="9" t="str">
        <f aca="false">IF($A84="","",IFERROR(AVERAGEIFS(Mediciones!$K$6:$K$305,Mediciones!$C$6:$C$305,$A84,Mediciones!$D$6:$D$305,"Tela principal"),""))</f>
        <v/>
      </c>
      <c r="Q84" s="28" t="str">
        <f aca="false">IF($A84="","",IF(N(IF($N84="Despiece",IF(ISNUMBER(O84),O84*(1+Parametros!$B$22),IF(COUNTIFS(Despiece!$A$6:$A$705,$A84,Despiece!$D$6:$D$705,"Tela principal")&gt;0,"",0)),IF($N84="Medición real",IF(ISNUMBER(P84),P84,IF(COUNTIFS(Mediciones!$C$6:$C$305,$A84,Mediciones!$D$6:$D$305,"Tela principal")&gt;0,"",0)),IF(ISNUMBER(P84),P84,IF(ISNUMBER(O84),O84*(1+Parametros!$B$22),IF(OR(COUNTIFS(Despiece!$A$6:$A$705,$A84,Despiece!$D$6:$D$705,"Tela principal")&gt;0,COUNTIFS(Mediciones!$C$6:$C$305,$A84,Mediciones!$D$6:$D$305,"Tela principal")&gt;0),"",0))))))=0,"",IF($N84="Despiece",IF(ISNUMBER(O84),O84*(1+Parametros!$B$22),IF(COUNTIFS(Despiece!$A$6:$A$705,$A84,Despiece!$D$6:$D$705,"Tela principal")&gt;0,"",0)),IF($N84="Medición real",IF(ISNUMBER(P84),P84,IF(COUNTIFS(Mediciones!$C$6:$C$305,$A84,Mediciones!$D$6:$D$305,"Tela principal")&gt;0,"",0)),IF(ISNUMBER(P84),P84,IF(ISNUMBER(O84),O84*(1+Parametros!$B$22),IF(OR(COUNTIFS(Despiece!$A$6:$A$705,$A84,Despiece!$D$6:$D$705,"Tela principal")&gt;0,COUNTIFS(Mediciones!$C$6:$C$305,$A84,Mediciones!$D$6:$D$305,"Tela principal")&gt;0),"",0)))))))</f>
        <v/>
      </c>
      <c r="R84" s="9" t="str">
        <f aca="false">IF($A84="","",IF(COUNTIFS(Despiece!$A$6:$A$705,$A84,Despiece!$D$6:$D$705,"Tela 2",Despiece!$F$6:$F$705,"&gt;0")=0,"",SUMIFS(Despiece!$F$6:$F$705,Despiece!$A$6:$A$705,$A84,Despiece!$D$6:$D$705,"Tela 2")))</f>
        <v/>
      </c>
      <c r="S84" s="9" t="str">
        <f aca="false">IF($A84="","",IFERROR(AVERAGEIFS(Mediciones!$K$6:$K$305,Mediciones!$C$6:$C$305,$A84,Mediciones!$D$6:$D$305,"Tela 2"),""))</f>
        <v/>
      </c>
      <c r="T84" s="28" t="str">
        <f aca="false">IF($A84="","",IF($N84="Despiece",IF(ISNUMBER(R84),R84*(1+Parametros!$B$22),IF(COUNTIFS(Despiece!$A$6:$A$705,$A84,Despiece!$D$6:$D$705,"Tela 2")&gt;0,"",0)),IF($N84="Medición real",IF(ISNUMBER(S84),S84,IF(COUNTIFS(Mediciones!$C$6:$C$305,$A84,Mediciones!$D$6:$D$305,"Tela 2")&gt;0,"",0)),IF(ISNUMBER(S84),S84,IF(ISNUMBER(R84),R84*(1+Parametros!$B$22),IF(OR(COUNTIFS(Despiece!$A$6:$A$705,$A84,Despiece!$D$6:$D$705,"Tela 2")&gt;0,COUNTIFS(Mediciones!$C$6:$C$305,$A84,Mediciones!$D$6:$D$305,"Tela 2")&gt;0),"",0))))))</f>
        <v/>
      </c>
      <c r="U84" s="9" t="str">
        <f aca="false">IF($A84="","",IF(COUNTIFS(Despiece!$A$6:$A$705,$A84,Despiece!$D$6:$D$705,"Tela 3",Despiece!$F$6:$F$705,"&gt;0")=0,"",SUMIFS(Despiece!$F$6:$F$705,Despiece!$A$6:$A$705,$A84,Despiece!$D$6:$D$705,"Tela 3")))</f>
        <v/>
      </c>
      <c r="V84" s="9" t="str">
        <f aca="false">IF($A84="","",IFERROR(AVERAGEIFS(Mediciones!$K$6:$K$305,Mediciones!$C$6:$C$305,$A84,Mediciones!$D$6:$D$305,"Tela 3"),""))</f>
        <v/>
      </c>
      <c r="W84" s="28" t="str">
        <f aca="false">IF($A84="","",IF($N84="Despiece",IF(ISNUMBER(U84),U84*(1+Parametros!$B$22),IF(COUNTIFS(Despiece!$A$6:$A$705,$A84,Despiece!$D$6:$D$705,"Tela 3")&gt;0,"",0)),IF($N84="Medición real",IF(ISNUMBER(V84),V84,IF(COUNTIFS(Mediciones!$C$6:$C$305,$A84,Mediciones!$D$6:$D$305,"Tela 3")&gt;0,"",0)),IF(ISNUMBER(V84),V84,IF(ISNUMBER(U84),U84*(1+Parametros!$B$22),IF(OR(COUNTIFS(Despiece!$A$6:$A$705,$A84,Despiece!$D$6:$D$705,"Tela 3")&gt;0,COUNTIFS(Mediciones!$C$6:$C$305,$A84,Mediciones!$D$6:$D$305,"Tela 3")&gt;0),"",0))))))</f>
        <v/>
      </c>
      <c r="X84" s="27"/>
      <c r="Y84" s="9" t="str">
        <f aca="false">IF($A84="","",IF(ISNUMBER(X84),X84,IF(COUNTIFS(Despiece!$A$6:$A$705,$A84,Despiece!$E$6:$E$705,"Sublimada",Despiece!$F$6:$F$705,"&gt;0")&gt;0,SUMIFS(Despiece!$F$6:$F$705,Despiece!$A$6:$A$705,$A84,Despiece!$E$6:$E$705,"Sublimada")*(1+Parametros!$B$22),IF(COUNTIFS(Despiece!$A$6:$A$705,$A84,Despiece!$E$6:$E$705,"Sublimada")=0,0,""))))</f>
        <v/>
      </c>
      <c r="Z84" s="10" t="str">
        <f aca="false">IF($A84="","",IFERROR(IF(ISNUMBER(Q84),IF(Q84=0,0,Q84*INDEX(Telas!$I$6:$I$105,MATCH(K84,Telas!$A$6:$A$105,0))),NA())+IF(ISNUMBER(T84),IF(T84=0,0,T84*INDEX(Telas!$I$6:$I$105,MATCH(L84,Telas!$A$6:$A$105,0))),NA())+IF(ISNUMBER(W84),IF(W84=0,0,W84*INDEX(Telas!$I$6:$I$105,MATCH(IF(M84="",K84,M84),Telas!$A$6:$A$105,0))),NA()),""))</f>
        <v/>
      </c>
      <c r="AA84" s="10" t="str">
        <f aca="false">IF($A84="","",IF(ISNUMBER(Y84),Y84*Parametros!$B$19,""))</f>
        <v/>
      </c>
      <c r="AB84" s="10" t="str">
        <f aca="false">IF(OR($A84="",F84=""),"",IFERROR(INDEX(Confeccion!$B$6:$B$125,MATCH(F84,Confeccion!$A$6:$A$125,0)),""))</f>
        <v/>
      </c>
      <c r="AC84" s="10" t="str">
        <f aca="false">IF($A84="","",IFERROR(N(H84)*IF(G84="",0,INDEX(Avios!$C$6:$C$65,MATCH(G84,Avios!$A$6:$A$65,0)))+N(J84)*IF(I84="",0,INDEX(Avios!$C$6:$C$65,MATCH(I84,Avios!$A$6:$A$65,0))),""))</f>
        <v/>
      </c>
      <c r="AD84" s="11" t="str">
        <f aca="false">IF($A84="","",IFERROR(Z84+AA84+AB84+AC84,""))</f>
        <v/>
      </c>
      <c r="AE84" s="10" t="str">
        <f aca="false">IF(ISNUMBER(AD84),AD84*Parametros!$B$12,"")</f>
        <v/>
      </c>
      <c r="AF84" s="29" t="str">
        <f aca="false">IF(AND(ISNUMBER(Q84),K84&lt;&gt;""),IFERROR(1/(Q84*INDEX(Telas!$G$6:$G$105,MATCH(K84,Telas!$A$6:$A$105,0))),""),"")</f>
        <v/>
      </c>
      <c r="AG84" s="0" t="str">
        <f aca="false">IF($A84="","",IF(ISNUMBER(AD84),IF(AND(N(Y84)&gt;0,N(Parametros!$B$19)=0),"Lista, pero sin costo de impresión (Parametros)","Lista"),IF(Q84="","Consumo tela principal (Despiece o Mediciones). ","")&amp;IF(COUNTIFS(Mediciones!$C$6:$C$305,$A84,Mediciones!$K$6:$K$305,"")&gt;0,"Pesar 1 m de la tela medida (Telas, kg por metro). ","")&amp;IF(T84="","Consumo Tela 2. ","")&amp;IF(W84="","Consumo Tela 3. ","")&amp;IF(K84="","Elegir tela principal. ",IF(ISERROR(INDEX(Telas!$I$6:$I$105,MATCH(K84,Telas!$A$6:$A$105,0))*1),"Precio o peso por metro de "&amp;K84&amp;". ",""))&amp;IF(AND(N(T84)&gt;0,L84=""),"Elegir Tela 2. ",IF(AND(N(T84)&gt;0,ISERROR(INDEX(Telas!$I$6:$I$105,MATCH(L84,Telas!$A$6:$A$105,0))*1)),"Precio o peso por metro de "&amp;L84&amp;". ",""))&amp;IF(Y84="","Metros impresos. ","")&amp;IF(F84="","Tipo de confección. ",IF(AB84="","Precio de confección. ",""))))</f>
        <v/>
      </c>
      <c r="AH84" s="27"/>
    </row>
    <row r="85" customFormat="false" ht="15" hidden="false" customHeight="false" outlineLevel="0" collapsed="false">
      <c r="A85" s="27"/>
      <c r="B85" s="27"/>
      <c r="C85" s="27"/>
      <c r="D85" s="27"/>
      <c r="E85" s="27"/>
      <c r="F85" s="27"/>
      <c r="G85" s="8"/>
      <c r="H85" s="27"/>
      <c r="I85" s="8"/>
      <c r="J85" s="27"/>
      <c r="K85" s="8"/>
      <c r="L85" s="8"/>
      <c r="M85" s="8"/>
      <c r="N85" s="8"/>
      <c r="O85" s="9" t="str">
        <f aca="false">IF($A85="","",IF(COUNTIFS(Despiece!$A$6:$A$705,$A85,Despiece!$D$6:$D$705,"Tela principal",Despiece!$F$6:$F$705,"&gt;0")=0,"",SUMIFS(Despiece!$F$6:$F$705,Despiece!$A$6:$A$705,$A85,Despiece!$D$6:$D$705,"Tela principal")))</f>
        <v/>
      </c>
      <c r="P85" s="9" t="str">
        <f aca="false">IF($A85="","",IFERROR(AVERAGEIFS(Mediciones!$K$6:$K$305,Mediciones!$C$6:$C$305,$A85,Mediciones!$D$6:$D$305,"Tela principal"),""))</f>
        <v/>
      </c>
      <c r="Q85" s="28" t="str">
        <f aca="false">IF($A85="","",IF(N(IF($N85="Despiece",IF(ISNUMBER(O85),O85*(1+Parametros!$B$22),IF(COUNTIFS(Despiece!$A$6:$A$705,$A85,Despiece!$D$6:$D$705,"Tela principal")&gt;0,"",0)),IF($N85="Medición real",IF(ISNUMBER(P85),P85,IF(COUNTIFS(Mediciones!$C$6:$C$305,$A85,Mediciones!$D$6:$D$305,"Tela principal")&gt;0,"",0)),IF(ISNUMBER(P85),P85,IF(ISNUMBER(O85),O85*(1+Parametros!$B$22),IF(OR(COUNTIFS(Despiece!$A$6:$A$705,$A85,Despiece!$D$6:$D$705,"Tela principal")&gt;0,COUNTIFS(Mediciones!$C$6:$C$305,$A85,Mediciones!$D$6:$D$305,"Tela principal")&gt;0),"",0))))))=0,"",IF($N85="Despiece",IF(ISNUMBER(O85),O85*(1+Parametros!$B$22),IF(COUNTIFS(Despiece!$A$6:$A$705,$A85,Despiece!$D$6:$D$705,"Tela principal")&gt;0,"",0)),IF($N85="Medición real",IF(ISNUMBER(P85),P85,IF(COUNTIFS(Mediciones!$C$6:$C$305,$A85,Mediciones!$D$6:$D$305,"Tela principal")&gt;0,"",0)),IF(ISNUMBER(P85),P85,IF(ISNUMBER(O85),O85*(1+Parametros!$B$22),IF(OR(COUNTIFS(Despiece!$A$6:$A$705,$A85,Despiece!$D$6:$D$705,"Tela principal")&gt;0,COUNTIFS(Mediciones!$C$6:$C$305,$A85,Mediciones!$D$6:$D$305,"Tela principal")&gt;0),"",0)))))))</f>
        <v/>
      </c>
      <c r="R85" s="9" t="str">
        <f aca="false">IF($A85="","",IF(COUNTIFS(Despiece!$A$6:$A$705,$A85,Despiece!$D$6:$D$705,"Tela 2",Despiece!$F$6:$F$705,"&gt;0")=0,"",SUMIFS(Despiece!$F$6:$F$705,Despiece!$A$6:$A$705,$A85,Despiece!$D$6:$D$705,"Tela 2")))</f>
        <v/>
      </c>
      <c r="S85" s="9" t="str">
        <f aca="false">IF($A85="","",IFERROR(AVERAGEIFS(Mediciones!$K$6:$K$305,Mediciones!$C$6:$C$305,$A85,Mediciones!$D$6:$D$305,"Tela 2"),""))</f>
        <v/>
      </c>
      <c r="T85" s="28" t="str">
        <f aca="false">IF($A85="","",IF($N85="Despiece",IF(ISNUMBER(R85),R85*(1+Parametros!$B$22),IF(COUNTIFS(Despiece!$A$6:$A$705,$A85,Despiece!$D$6:$D$705,"Tela 2")&gt;0,"",0)),IF($N85="Medición real",IF(ISNUMBER(S85),S85,IF(COUNTIFS(Mediciones!$C$6:$C$305,$A85,Mediciones!$D$6:$D$305,"Tela 2")&gt;0,"",0)),IF(ISNUMBER(S85),S85,IF(ISNUMBER(R85),R85*(1+Parametros!$B$22),IF(OR(COUNTIFS(Despiece!$A$6:$A$705,$A85,Despiece!$D$6:$D$705,"Tela 2")&gt;0,COUNTIFS(Mediciones!$C$6:$C$305,$A85,Mediciones!$D$6:$D$305,"Tela 2")&gt;0),"",0))))))</f>
        <v/>
      </c>
      <c r="U85" s="9" t="str">
        <f aca="false">IF($A85="","",IF(COUNTIFS(Despiece!$A$6:$A$705,$A85,Despiece!$D$6:$D$705,"Tela 3",Despiece!$F$6:$F$705,"&gt;0")=0,"",SUMIFS(Despiece!$F$6:$F$705,Despiece!$A$6:$A$705,$A85,Despiece!$D$6:$D$705,"Tela 3")))</f>
        <v/>
      </c>
      <c r="V85" s="9" t="str">
        <f aca="false">IF($A85="","",IFERROR(AVERAGEIFS(Mediciones!$K$6:$K$305,Mediciones!$C$6:$C$305,$A85,Mediciones!$D$6:$D$305,"Tela 3"),""))</f>
        <v/>
      </c>
      <c r="W85" s="28" t="str">
        <f aca="false">IF($A85="","",IF($N85="Despiece",IF(ISNUMBER(U85),U85*(1+Parametros!$B$22),IF(COUNTIFS(Despiece!$A$6:$A$705,$A85,Despiece!$D$6:$D$705,"Tela 3")&gt;0,"",0)),IF($N85="Medición real",IF(ISNUMBER(V85),V85,IF(COUNTIFS(Mediciones!$C$6:$C$305,$A85,Mediciones!$D$6:$D$305,"Tela 3")&gt;0,"",0)),IF(ISNUMBER(V85),V85,IF(ISNUMBER(U85),U85*(1+Parametros!$B$22),IF(OR(COUNTIFS(Despiece!$A$6:$A$705,$A85,Despiece!$D$6:$D$705,"Tela 3")&gt;0,COUNTIFS(Mediciones!$C$6:$C$305,$A85,Mediciones!$D$6:$D$305,"Tela 3")&gt;0),"",0))))))</f>
        <v/>
      </c>
      <c r="X85" s="27"/>
      <c r="Y85" s="9" t="str">
        <f aca="false">IF($A85="","",IF(ISNUMBER(X85),X85,IF(COUNTIFS(Despiece!$A$6:$A$705,$A85,Despiece!$E$6:$E$705,"Sublimada",Despiece!$F$6:$F$705,"&gt;0")&gt;0,SUMIFS(Despiece!$F$6:$F$705,Despiece!$A$6:$A$705,$A85,Despiece!$E$6:$E$705,"Sublimada")*(1+Parametros!$B$22),IF(COUNTIFS(Despiece!$A$6:$A$705,$A85,Despiece!$E$6:$E$705,"Sublimada")=0,0,""))))</f>
        <v/>
      </c>
      <c r="Z85" s="10" t="str">
        <f aca="false">IF($A85="","",IFERROR(IF(ISNUMBER(Q85),IF(Q85=0,0,Q85*INDEX(Telas!$I$6:$I$105,MATCH(K85,Telas!$A$6:$A$105,0))),NA())+IF(ISNUMBER(T85),IF(T85=0,0,T85*INDEX(Telas!$I$6:$I$105,MATCH(L85,Telas!$A$6:$A$105,0))),NA())+IF(ISNUMBER(W85),IF(W85=0,0,W85*INDEX(Telas!$I$6:$I$105,MATCH(IF(M85="",K85,M85),Telas!$A$6:$A$105,0))),NA()),""))</f>
        <v/>
      </c>
      <c r="AA85" s="10" t="str">
        <f aca="false">IF($A85="","",IF(ISNUMBER(Y85),Y85*Parametros!$B$19,""))</f>
        <v/>
      </c>
      <c r="AB85" s="10" t="str">
        <f aca="false">IF(OR($A85="",F85=""),"",IFERROR(INDEX(Confeccion!$B$6:$B$125,MATCH(F85,Confeccion!$A$6:$A$125,0)),""))</f>
        <v/>
      </c>
      <c r="AC85" s="10" t="str">
        <f aca="false">IF($A85="","",IFERROR(N(H85)*IF(G85="",0,INDEX(Avios!$C$6:$C$65,MATCH(G85,Avios!$A$6:$A$65,0)))+N(J85)*IF(I85="",0,INDEX(Avios!$C$6:$C$65,MATCH(I85,Avios!$A$6:$A$65,0))),""))</f>
        <v/>
      </c>
      <c r="AD85" s="11" t="str">
        <f aca="false">IF($A85="","",IFERROR(Z85+AA85+AB85+AC85,""))</f>
        <v/>
      </c>
      <c r="AE85" s="10" t="str">
        <f aca="false">IF(ISNUMBER(AD85),AD85*Parametros!$B$12,"")</f>
        <v/>
      </c>
      <c r="AF85" s="29" t="str">
        <f aca="false">IF(AND(ISNUMBER(Q85),K85&lt;&gt;""),IFERROR(1/(Q85*INDEX(Telas!$G$6:$G$105,MATCH(K85,Telas!$A$6:$A$105,0))),""),"")</f>
        <v/>
      </c>
      <c r="AG85" s="0" t="str">
        <f aca="false">IF($A85="","",IF(ISNUMBER(AD85),IF(AND(N(Y85)&gt;0,N(Parametros!$B$19)=0),"Lista, pero sin costo de impresión (Parametros)","Lista"),IF(Q85="","Consumo tela principal (Despiece o Mediciones). ","")&amp;IF(COUNTIFS(Mediciones!$C$6:$C$305,$A85,Mediciones!$K$6:$K$305,"")&gt;0,"Pesar 1 m de la tela medida (Telas, kg por metro). ","")&amp;IF(T85="","Consumo Tela 2. ","")&amp;IF(W85="","Consumo Tela 3. ","")&amp;IF(K85="","Elegir tela principal. ",IF(ISERROR(INDEX(Telas!$I$6:$I$105,MATCH(K85,Telas!$A$6:$A$105,0))*1),"Precio o peso por metro de "&amp;K85&amp;". ",""))&amp;IF(AND(N(T85)&gt;0,L85=""),"Elegir Tela 2. ",IF(AND(N(T85)&gt;0,ISERROR(INDEX(Telas!$I$6:$I$105,MATCH(L85,Telas!$A$6:$A$105,0))*1)),"Precio o peso por metro de "&amp;L85&amp;". ",""))&amp;IF(Y85="","Metros impresos. ","")&amp;IF(F85="","Tipo de confección. ",IF(AB85="","Precio de confección. ",""))))</f>
        <v/>
      </c>
      <c r="AH85" s="27"/>
    </row>
    <row r="86" customFormat="false" ht="15" hidden="false" customHeight="false" outlineLevel="0" collapsed="false">
      <c r="A86" s="27"/>
      <c r="B86" s="27"/>
      <c r="C86" s="27"/>
      <c r="D86" s="27"/>
      <c r="E86" s="27"/>
      <c r="F86" s="27"/>
      <c r="G86" s="8"/>
      <c r="H86" s="27"/>
      <c r="I86" s="8"/>
      <c r="J86" s="27"/>
      <c r="K86" s="8"/>
      <c r="L86" s="8"/>
      <c r="M86" s="8"/>
      <c r="N86" s="8"/>
      <c r="O86" s="9" t="str">
        <f aca="false">IF($A86="","",IF(COUNTIFS(Despiece!$A$6:$A$705,$A86,Despiece!$D$6:$D$705,"Tela principal",Despiece!$F$6:$F$705,"&gt;0")=0,"",SUMIFS(Despiece!$F$6:$F$705,Despiece!$A$6:$A$705,$A86,Despiece!$D$6:$D$705,"Tela principal")))</f>
        <v/>
      </c>
      <c r="P86" s="9" t="str">
        <f aca="false">IF($A86="","",IFERROR(AVERAGEIFS(Mediciones!$K$6:$K$305,Mediciones!$C$6:$C$305,$A86,Mediciones!$D$6:$D$305,"Tela principal"),""))</f>
        <v/>
      </c>
      <c r="Q86" s="28" t="str">
        <f aca="false">IF($A86="","",IF(N(IF($N86="Despiece",IF(ISNUMBER(O86),O86*(1+Parametros!$B$22),IF(COUNTIFS(Despiece!$A$6:$A$705,$A86,Despiece!$D$6:$D$705,"Tela principal")&gt;0,"",0)),IF($N86="Medición real",IF(ISNUMBER(P86),P86,IF(COUNTIFS(Mediciones!$C$6:$C$305,$A86,Mediciones!$D$6:$D$305,"Tela principal")&gt;0,"",0)),IF(ISNUMBER(P86),P86,IF(ISNUMBER(O86),O86*(1+Parametros!$B$22),IF(OR(COUNTIFS(Despiece!$A$6:$A$705,$A86,Despiece!$D$6:$D$705,"Tela principal")&gt;0,COUNTIFS(Mediciones!$C$6:$C$305,$A86,Mediciones!$D$6:$D$305,"Tela principal")&gt;0),"",0))))))=0,"",IF($N86="Despiece",IF(ISNUMBER(O86),O86*(1+Parametros!$B$22),IF(COUNTIFS(Despiece!$A$6:$A$705,$A86,Despiece!$D$6:$D$705,"Tela principal")&gt;0,"",0)),IF($N86="Medición real",IF(ISNUMBER(P86),P86,IF(COUNTIFS(Mediciones!$C$6:$C$305,$A86,Mediciones!$D$6:$D$305,"Tela principal")&gt;0,"",0)),IF(ISNUMBER(P86),P86,IF(ISNUMBER(O86),O86*(1+Parametros!$B$22),IF(OR(COUNTIFS(Despiece!$A$6:$A$705,$A86,Despiece!$D$6:$D$705,"Tela principal")&gt;0,COUNTIFS(Mediciones!$C$6:$C$305,$A86,Mediciones!$D$6:$D$305,"Tela principal")&gt;0),"",0)))))))</f>
        <v/>
      </c>
      <c r="R86" s="9" t="str">
        <f aca="false">IF($A86="","",IF(COUNTIFS(Despiece!$A$6:$A$705,$A86,Despiece!$D$6:$D$705,"Tela 2",Despiece!$F$6:$F$705,"&gt;0")=0,"",SUMIFS(Despiece!$F$6:$F$705,Despiece!$A$6:$A$705,$A86,Despiece!$D$6:$D$705,"Tela 2")))</f>
        <v/>
      </c>
      <c r="S86" s="9" t="str">
        <f aca="false">IF($A86="","",IFERROR(AVERAGEIFS(Mediciones!$K$6:$K$305,Mediciones!$C$6:$C$305,$A86,Mediciones!$D$6:$D$305,"Tela 2"),""))</f>
        <v/>
      </c>
      <c r="T86" s="28" t="str">
        <f aca="false">IF($A86="","",IF($N86="Despiece",IF(ISNUMBER(R86),R86*(1+Parametros!$B$22),IF(COUNTIFS(Despiece!$A$6:$A$705,$A86,Despiece!$D$6:$D$705,"Tela 2")&gt;0,"",0)),IF($N86="Medición real",IF(ISNUMBER(S86),S86,IF(COUNTIFS(Mediciones!$C$6:$C$305,$A86,Mediciones!$D$6:$D$305,"Tela 2")&gt;0,"",0)),IF(ISNUMBER(S86),S86,IF(ISNUMBER(R86),R86*(1+Parametros!$B$22),IF(OR(COUNTIFS(Despiece!$A$6:$A$705,$A86,Despiece!$D$6:$D$705,"Tela 2")&gt;0,COUNTIFS(Mediciones!$C$6:$C$305,$A86,Mediciones!$D$6:$D$305,"Tela 2")&gt;0),"",0))))))</f>
        <v/>
      </c>
      <c r="U86" s="9" t="str">
        <f aca="false">IF($A86="","",IF(COUNTIFS(Despiece!$A$6:$A$705,$A86,Despiece!$D$6:$D$705,"Tela 3",Despiece!$F$6:$F$705,"&gt;0")=0,"",SUMIFS(Despiece!$F$6:$F$705,Despiece!$A$6:$A$705,$A86,Despiece!$D$6:$D$705,"Tela 3")))</f>
        <v/>
      </c>
      <c r="V86" s="9" t="str">
        <f aca="false">IF($A86="","",IFERROR(AVERAGEIFS(Mediciones!$K$6:$K$305,Mediciones!$C$6:$C$305,$A86,Mediciones!$D$6:$D$305,"Tela 3"),""))</f>
        <v/>
      </c>
      <c r="W86" s="28" t="str">
        <f aca="false">IF($A86="","",IF($N86="Despiece",IF(ISNUMBER(U86),U86*(1+Parametros!$B$22),IF(COUNTIFS(Despiece!$A$6:$A$705,$A86,Despiece!$D$6:$D$705,"Tela 3")&gt;0,"",0)),IF($N86="Medición real",IF(ISNUMBER(V86),V86,IF(COUNTIFS(Mediciones!$C$6:$C$305,$A86,Mediciones!$D$6:$D$305,"Tela 3")&gt;0,"",0)),IF(ISNUMBER(V86),V86,IF(ISNUMBER(U86),U86*(1+Parametros!$B$22),IF(OR(COUNTIFS(Despiece!$A$6:$A$705,$A86,Despiece!$D$6:$D$705,"Tela 3")&gt;0,COUNTIFS(Mediciones!$C$6:$C$305,$A86,Mediciones!$D$6:$D$305,"Tela 3")&gt;0),"",0))))))</f>
        <v/>
      </c>
      <c r="X86" s="27"/>
      <c r="Y86" s="9" t="str">
        <f aca="false">IF($A86="","",IF(ISNUMBER(X86),X86,IF(COUNTIFS(Despiece!$A$6:$A$705,$A86,Despiece!$E$6:$E$705,"Sublimada",Despiece!$F$6:$F$705,"&gt;0")&gt;0,SUMIFS(Despiece!$F$6:$F$705,Despiece!$A$6:$A$705,$A86,Despiece!$E$6:$E$705,"Sublimada")*(1+Parametros!$B$22),IF(COUNTIFS(Despiece!$A$6:$A$705,$A86,Despiece!$E$6:$E$705,"Sublimada")=0,0,""))))</f>
        <v/>
      </c>
      <c r="Z86" s="10" t="str">
        <f aca="false">IF($A86="","",IFERROR(IF(ISNUMBER(Q86),IF(Q86=0,0,Q86*INDEX(Telas!$I$6:$I$105,MATCH(K86,Telas!$A$6:$A$105,0))),NA())+IF(ISNUMBER(T86),IF(T86=0,0,T86*INDEX(Telas!$I$6:$I$105,MATCH(L86,Telas!$A$6:$A$105,0))),NA())+IF(ISNUMBER(W86),IF(W86=0,0,W86*INDEX(Telas!$I$6:$I$105,MATCH(IF(M86="",K86,M86),Telas!$A$6:$A$105,0))),NA()),""))</f>
        <v/>
      </c>
      <c r="AA86" s="10" t="str">
        <f aca="false">IF($A86="","",IF(ISNUMBER(Y86),Y86*Parametros!$B$19,""))</f>
        <v/>
      </c>
      <c r="AB86" s="10" t="str">
        <f aca="false">IF(OR($A86="",F86=""),"",IFERROR(INDEX(Confeccion!$B$6:$B$125,MATCH(F86,Confeccion!$A$6:$A$125,0)),""))</f>
        <v/>
      </c>
      <c r="AC86" s="10" t="str">
        <f aca="false">IF($A86="","",IFERROR(N(H86)*IF(G86="",0,INDEX(Avios!$C$6:$C$65,MATCH(G86,Avios!$A$6:$A$65,0)))+N(J86)*IF(I86="",0,INDEX(Avios!$C$6:$C$65,MATCH(I86,Avios!$A$6:$A$65,0))),""))</f>
        <v/>
      </c>
      <c r="AD86" s="11" t="str">
        <f aca="false">IF($A86="","",IFERROR(Z86+AA86+AB86+AC86,""))</f>
        <v/>
      </c>
      <c r="AE86" s="10" t="str">
        <f aca="false">IF(ISNUMBER(AD86),AD86*Parametros!$B$12,"")</f>
        <v/>
      </c>
      <c r="AF86" s="29" t="str">
        <f aca="false">IF(AND(ISNUMBER(Q86),K86&lt;&gt;""),IFERROR(1/(Q86*INDEX(Telas!$G$6:$G$105,MATCH(K86,Telas!$A$6:$A$105,0))),""),"")</f>
        <v/>
      </c>
      <c r="AG86" s="0" t="str">
        <f aca="false">IF($A86="","",IF(ISNUMBER(AD86),IF(AND(N(Y86)&gt;0,N(Parametros!$B$19)=0),"Lista, pero sin costo de impresión (Parametros)","Lista"),IF(Q86="","Consumo tela principal (Despiece o Mediciones). ","")&amp;IF(COUNTIFS(Mediciones!$C$6:$C$305,$A86,Mediciones!$K$6:$K$305,"")&gt;0,"Pesar 1 m de la tela medida (Telas, kg por metro). ","")&amp;IF(T86="","Consumo Tela 2. ","")&amp;IF(W86="","Consumo Tela 3. ","")&amp;IF(K86="","Elegir tela principal. ",IF(ISERROR(INDEX(Telas!$I$6:$I$105,MATCH(K86,Telas!$A$6:$A$105,0))*1),"Precio o peso por metro de "&amp;K86&amp;". ",""))&amp;IF(AND(N(T86)&gt;0,L86=""),"Elegir Tela 2. ",IF(AND(N(T86)&gt;0,ISERROR(INDEX(Telas!$I$6:$I$105,MATCH(L86,Telas!$A$6:$A$105,0))*1)),"Precio o peso por metro de "&amp;L86&amp;". ",""))&amp;IF(Y86="","Metros impresos. ","")&amp;IF(F86="","Tipo de confección. ",IF(AB86="","Precio de confección. ",""))))</f>
        <v/>
      </c>
      <c r="AH86" s="27"/>
    </row>
    <row r="87" customFormat="false" ht="15" hidden="false" customHeight="false" outlineLevel="0" collapsed="false">
      <c r="A87" s="27"/>
      <c r="B87" s="27"/>
      <c r="C87" s="27"/>
      <c r="D87" s="27"/>
      <c r="E87" s="27"/>
      <c r="F87" s="27"/>
      <c r="G87" s="8"/>
      <c r="H87" s="27"/>
      <c r="I87" s="8"/>
      <c r="J87" s="27"/>
      <c r="K87" s="8"/>
      <c r="L87" s="8"/>
      <c r="M87" s="8"/>
      <c r="N87" s="8"/>
      <c r="O87" s="9" t="str">
        <f aca="false">IF($A87="","",IF(COUNTIFS(Despiece!$A$6:$A$705,$A87,Despiece!$D$6:$D$705,"Tela principal",Despiece!$F$6:$F$705,"&gt;0")=0,"",SUMIFS(Despiece!$F$6:$F$705,Despiece!$A$6:$A$705,$A87,Despiece!$D$6:$D$705,"Tela principal")))</f>
        <v/>
      </c>
      <c r="P87" s="9" t="str">
        <f aca="false">IF($A87="","",IFERROR(AVERAGEIFS(Mediciones!$K$6:$K$305,Mediciones!$C$6:$C$305,$A87,Mediciones!$D$6:$D$305,"Tela principal"),""))</f>
        <v/>
      </c>
      <c r="Q87" s="28" t="str">
        <f aca="false">IF($A87="","",IF(N(IF($N87="Despiece",IF(ISNUMBER(O87),O87*(1+Parametros!$B$22),IF(COUNTIFS(Despiece!$A$6:$A$705,$A87,Despiece!$D$6:$D$705,"Tela principal")&gt;0,"",0)),IF($N87="Medición real",IF(ISNUMBER(P87),P87,IF(COUNTIFS(Mediciones!$C$6:$C$305,$A87,Mediciones!$D$6:$D$305,"Tela principal")&gt;0,"",0)),IF(ISNUMBER(P87),P87,IF(ISNUMBER(O87),O87*(1+Parametros!$B$22),IF(OR(COUNTIFS(Despiece!$A$6:$A$705,$A87,Despiece!$D$6:$D$705,"Tela principal")&gt;0,COUNTIFS(Mediciones!$C$6:$C$305,$A87,Mediciones!$D$6:$D$305,"Tela principal")&gt;0),"",0))))))=0,"",IF($N87="Despiece",IF(ISNUMBER(O87),O87*(1+Parametros!$B$22),IF(COUNTIFS(Despiece!$A$6:$A$705,$A87,Despiece!$D$6:$D$705,"Tela principal")&gt;0,"",0)),IF($N87="Medición real",IF(ISNUMBER(P87),P87,IF(COUNTIFS(Mediciones!$C$6:$C$305,$A87,Mediciones!$D$6:$D$305,"Tela principal")&gt;0,"",0)),IF(ISNUMBER(P87),P87,IF(ISNUMBER(O87),O87*(1+Parametros!$B$22),IF(OR(COUNTIFS(Despiece!$A$6:$A$705,$A87,Despiece!$D$6:$D$705,"Tela principal")&gt;0,COUNTIFS(Mediciones!$C$6:$C$305,$A87,Mediciones!$D$6:$D$305,"Tela principal")&gt;0),"",0)))))))</f>
        <v/>
      </c>
      <c r="R87" s="9" t="str">
        <f aca="false">IF($A87="","",IF(COUNTIFS(Despiece!$A$6:$A$705,$A87,Despiece!$D$6:$D$705,"Tela 2",Despiece!$F$6:$F$705,"&gt;0")=0,"",SUMIFS(Despiece!$F$6:$F$705,Despiece!$A$6:$A$705,$A87,Despiece!$D$6:$D$705,"Tela 2")))</f>
        <v/>
      </c>
      <c r="S87" s="9" t="str">
        <f aca="false">IF($A87="","",IFERROR(AVERAGEIFS(Mediciones!$K$6:$K$305,Mediciones!$C$6:$C$305,$A87,Mediciones!$D$6:$D$305,"Tela 2"),""))</f>
        <v/>
      </c>
      <c r="T87" s="28" t="str">
        <f aca="false">IF($A87="","",IF($N87="Despiece",IF(ISNUMBER(R87),R87*(1+Parametros!$B$22),IF(COUNTIFS(Despiece!$A$6:$A$705,$A87,Despiece!$D$6:$D$705,"Tela 2")&gt;0,"",0)),IF($N87="Medición real",IF(ISNUMBER(S87),S87,IF(COUNTIFS(Mediciones!$C$6:$C$305,$A87,Mediciones!$D$6:$D$305,"Tela 2")&gt;0,"",0)),IF(ISNUMBER(S87),S87,IF(ISNUMBER(R87),R87*(1+Parametros!$B$22),IF(OR(COUNTIFS(Despiece!$A$6:$A$705,$A87,Despiece!$D$6:$D$705,"Tela 2")&gt;0,COUNTIFS(Mediciones!$C$6:$C$305,$A87,Mediciones!$D$6:$D$305,"Tela 2")&gt;0),"",0))))))</f>
        <v/>
      </c>
      <c r="U87" s="9" t="str">
        <f aca="false">IF($A87="","",IF(COUNTIFS(Despiece!$A$6:$A$705,$A87,Despiece!$D$6:$D$705,"Tela 3",Despiece!$F$6:$F$705,"&gt;0")=0,"",SUMIFS(Despiece!$F$6:$F$705,Despiece!$A$6:$A$705,$A87,Despiece!$D$6:$D$705,"Tela 3")))</f>
        <v/>
      </c>
      <c r="V87" s="9" t="str">
        <f aca="false">IF($A87="","",IFERROR(AVERAGEIFS(Mediciones!$K$6:$K$305,Mediciones!$C$6:$C$305,$A87,Mediciones!$D$6:$D$305,"Tela 3"),""))</f>
        <v/>
      </c>
      <c r="W87" s="28" t="str">
        <f aca="false">IF($A87="","",IF($N87="Despiece",IF(ISNUMBER(U87),U87*(1+Parametros!$B$22),IF(COUNTIFS(Despiece!$A$6:$A$705,$A87,Despiece!$D$6:$D$705,"Tela 3")&gt;0,"",0)),IF($N87="Medición real",IF(ISNUMBER(V87),V87,IF(COUNTIFS(Mediciones!$C$6:$C$305,$A87,Mediciones!$D$6:$D$305,"Tela 3")&gt;0,"",0)),IF(ISNUMBER(V87),V87,IF(ISNUMBER(U87),U87*(1+Parametros!$B$22),IF(OR(COUNTIFS(Despiece!$A$6:$A$705,$A87,Despiece!$D$6:$D$705,"Tela 3")&gt;0,COUNTIFS(Mediciones!$C$6:$C$305,$A87,Mediciones!$D$6:$D$305,"Tela 3")&gt;0),"",0))))))</f>
        <v/>
      </c>
      <c r="X87" s="27"/>
      <c r="Y87" s="9" t="str">
        <f aca="false">IF($A87="","",IF(ISNUMBER(X87),X87,IF(COUNTIFS(Despiece!$A$6:$A$705,$A87,Despiece!$E$6:$E$705,"Sublimada",Despiece!$F$6:$F$705,"&gt;0")&gt;0,SUMIFS(Despiece!$F$6:$F$705,Despiece!$A$6:$A$705,$A87,Despiece!$E$6:$E$705,"Sublimada")*(1+Parametros!$B$22),IF(COUNTIFS(Despiece!$A$6:$A$705,$A87,Despiece!$E$6:$E$705,"Sublimada")=0,0,""))))</f>
        <v/>
      </c>
      <c r="Z87" s="10" t="str">
        <f aca="false">IF($A87="","",IFERROR(IF(ISNUMBER(Q87),IF(Q87=0,0,Q87*INDEX(Telas!$I$6:$I$105,MATCH(K87,Telas!$A$6:$A$105,0))),NA())+IF(ISNUMBER(T87),IF(T87=0,0,T87*INDEX(Telas!$I$6:$I$105,MATCH(L87,Telas!$A$6:$A$105,0))),NA())+IF(ISNUMBER(W87),IF(W87=0,0,W87*INDEX(Telas!$I$6:$I$105,MATCH(IF(M87="",K87,M87),Telas!$A$6:$A$105,0))),NA()),""))</f>
        <v/>
      </c>
      <c r="AA87" s="10" t="str">
        <f aca="false">IF($A87="","",IF(ISNUMBER(Y87),Y87*Parametros!$B$19,""))</f>
        <v/>
      </c>
      <c r="AB87" s="10" t="str">
        <f aca="false">IF(OR($A87="",F87=""),"",IFERROR(INDEX(Confeccion!$B$6:$B$125,MATCH(F87,Confeccion!$A$6:$A$125,0)),""))</f>
        <v/>
      </c>
      <c r="AC87" s="10" t="str">
        <f aca="false">IF($A87="","",IFERROR(N(H87)*IF(G87="",0,INDEX(Avios!$C$6:$C$65,MATCH(G87,Avios!$A$6:$A$65,0)))+N(J87)*IF(I87="",0,INDEX(Avios!$C$6:$C$65,MATCH(I87,Avios!$A$6:$A$65,0))),""))</f>
        <v/>
      </c>
      <c r="AD87" s="11" t="str">
        <f aca="false">IF($A87="","",IFERROR(Z87+AA87+AB87+AC87,""))</f>
        <v/>
      </c>
      <c r="AE87" s="10" t="str">
        <f aca="false">IF(ISNUMBER(AD87),AD87*Parametros!$B$12,"")</f>
        <v/>
      </c>
      <c r="AF87" s="29" t="str">
        <f aca="false">IF(AND(ISNUMBER(Q87),K87&lt;&gt;""),IFERROR(1/(Q87*INDEX(Telas!$G$6:$G$105,MATCH(K87,Telas!$A$6:$A$105,0))),""),"")</f>
        <v/>
      </c>
      <c r="AG87" s="0" t="str">
        <f aca="false">IF($A87="","",IF(ISNUMBER(AD87),IF(AND(N(Y87)&gt;0,N(Parametros!$B$19)=0),"Lista, pero sin costo de impresión (Parametros)","Lista"),IF(Q87="","Consumo tela principal (Despiece o Mediciones). ","")&amp;IF(COUNTIFS(Mediciones!$C$6:$C$305,$A87,Mediciones!$K$6:$K$305,"")&gt;0,"Pesar 1 m de la tela medida (Telas, kg por metro). ","")&amp;IF(T87="","Consumo Tela 2. ","")&amp;IF(W87="","Consumo Tela 3. ","")&amp;IF(K87="","Elegir tela principal. ",IF(ISERROR(INDEX(Telas!$I$6:$I$105,MATCH(K87,Telas!$A$6:$A$105,0))*1),"Precio o peso por metro de "&amp;K87&amp;". ",""))&amp;IF(AND(N(T87)&gt;0,L87=""),"Elegir Tela 2. ",IF(AND(N(T87)&gt;0,ISERROR(INDEX(Telas!$I$6:$I$105,MATCH(L87,Telas!$A$6:$A$105,0))*1)),"Precio o peso por metro de "&amp;L87&amp;". ",""))&amp;IF(Y87="","Metros impresos. ","")&amp;IF(F87="","Tipo de confección. ",IF(AB87="","Precio de confección. ",""))))</f>
        <v/>
      </c>
      <c r="AH87" s="27"/>
    </row>
    <row r="88" customFormat="false" ht="15" hidden="false" customHeight="false" outlineLevel="0" collapsed="false">
      <c r="A88" s="27"/>
      <c r="B88" s="27"/>
      <c r="C88" s="27"/>
      <c r="D88" s="27"/>
      <c r="E88" s="27"/>
      <c r="F88" s="27"/>
      <c r="G88" s="8"/>
      <c r="H88" s="27"/>
      <c r="I88" s="8"/>
      <c r="J88" s="27"/>
      <c r="K88" s="8"/>
      <c r="L88" s="8"/>
      <c r="M88" s="8"/>
      <c r="N88" s="8"/>
      <c r="O88" s="9" t="str">
        <f aca="false">IF($A88="","",IF(COUNTIFS(Despiece!$A$6:$A$705,$A88,Despiece!$D$6:$D$705,"Tela principal",Despiece!$F$6:$F$705,"&gt;0")=0,"",SUMIFS(Despiece!$F$6:$F$705,Despiece!$A$6:$A$705,$A88,Despiece!$D$6:$D$705,"Tela principal")))</f>
        <v/>
      </c>
      <c r="P88" s="9" t="str">
        <f aca="false">IF($A88="","",IFERROR(AVERAGEIFS(Mediciones!$K$6:$K$305,Mediciones!$C$6:$C$305,$A88,Mediciones!$D$6:$D$305,"Tela principal"),""))</f>
        <v/>
      </c>
      <c r="Q88" s="28" t="str">
        <f aca="false">IF($A88="","",IF(N(IF($N88="Despiece",IF(ISNUMBER(O88),O88*(1+Parametros!$B$22),IF(COUNTIFS(Despiece!$A$6:$A$705,$A88,Despiece!$D$6:$D$705,"Tela principal")&gt;0,"",0)),IF($N88="Medición real",IF(ISNUMBER(P88),P88,IF(COUNTIFS(Mediciones!$C$6:$C$305,$A88,Mediciones!$D$6:$D$305,"Tela principal")&gt;0,"",0)),IF(ISNUMBER(P88),P88,IF(ISNUMBER(O88),O88*(1+Parametros!$B$22),IF(OR(COUNTIFS(Despiece!$A$6:$A$705,$A88,Despiece!$D$6:$D$705,"Tela principal")&gt;0,COUNTIFS(Mediciones!$C$6:$C$305,$A88,Mediciones!$D$6:$D$305,"Tela principal")&gt;0),"",0))))))=0,"",IF($N88="Despiece",IF(ISNUMBER(O88),O88*(1+Parametros!$B$22),IF(COUNTIFS(Despiece!$A$6:$A$705,$A88,Despiece!$D$6:$D$705,"Tela principal")&gt;0,"",0)),IF($N88="Medición real",IF(ISNUMBER(P88),P88,IF(COUNTIFS(Mediciones!$C$6:$C$305,$A88,Mediciones!$D$6:$D$305,"Tela principal")&gt;0,"",0)),IF(ISNUMBER(P88),P88,IF(ISNUMBER(O88),O88*(1+Parametros!$B$22),IF(OR(COUNTIFS(Despiece!$A$6:$A$705,$A88,Despiece!$D$6:$D$705,"Tela principal")&gt;0,COUNTIFS(Mediciones!$C$6:$C$305,$A88,Mediciones!$D$6:$D$305,"Tela principal")&gt;0),"",0)))))))</f>
        <v/>
      </c>
      <c r="R88" s="9" t="str">
        <f aca="false">IF($A88="","",IF(COUNTIFS(Despiece!$A$6:$A$705,$A88,Despiece!$D$6:$D$705,"Tela 2",Despiece!$F$6:$F$705,"&gt;0")=0,"",SUMIFS(Despiece!$F$6:$F$705,Despiece!$A$6:$A$705,$A88,Despiece!$D$6:$D$705,"Tela 2")))</f>
        <v/>
      </c>
      <c r="S88" s="9" t="str">
        <f aca="false">IF($A88="","",IFERROR(AVERAGEIFS(Mediciones!$K$6:$K$305,Mediciones!$C$6:$C$305,$A88,Mediciones!$D$6:$D$305,"Tela 2"),""))</f>
        <v/>
      </c>
      <c r="T88" s="28" t="str">
        <f aca="false">IF($A88="","",IF($N88="Despiece",IF(ISNUMBER(R88),R88*(1+Parametros!$B$22),IF(COUNTIFS(Despiece!$A$6:$A$705,$A88,Despiece!$D$6:$D$705,"Tela 2")&gt;0,"",0)),IF($N88="Medición real",IF(ISNUMBER(S88),S88,IF(COUNTIFS(Mediciones!$C$6:$C$305,$A88,Mediciones!$D$6:$D$305,"Tela 2")&gt;0,"",0)),IF(ISNUMBER(S88),S88,IF(ISNUMBER(R88),R88*(1+Parametros!$B$22),IF(OR(COUNTIFS(Despiece!$A$6:$A$705,$A88,Despiece!$D$6:$D$705,"Tela 2")&gt;0,COUNTIFS(Mediciones!$C$6:$C$305,$A88,Mediciones!$D$6:$D$305,"Tela 2")&gt;0),"",0))))))</f>
        <v/>
      </c>
      <c r="U88" s="9" t="str">
        <f aca="false">IF($A88="","",IF(COUNTIFS(Despiece!$A$6:$A$705,$A88,Despiece!$D$6:$D$705,"Tela 3",Despiece!$F$6:$F$705,"&gt;0")=0,"",SUMIFS(Despiece!$F$6:$F$705,Despiece!$A$6:$A$705,$A88,Despiece!$D$6:$D$705,"Tela 3")))</f>
        <v/>
      </c>
      <c r="V88" s="9" t="str">
        <f aca="false">IF($A88="","",IFERROR(AVERAGEIFS(Mediciones!$K$6:$K$305,Mediciones!$C$6:$C$305,$A88,Mediciones!$D$6:$D$305,"Tela 3"),""))</f>
        <v/>
      </c>
      <c r="W88" s="28" t="str">
        <f aca="false">IF($A88="","",IF($N88="Despiece",IF(ISNUMBER(U88),U88*(1+Parametros!$B$22),IF(COUNTIFS(Despiece!$A$6:$A$705,$A88,Despiece!$D$6:$D$705,"Tela 3")&gt;0,"",0)),IF($N88="Medición real",IF(ISNUMBER(V88),V88,IF(COUNTIFS(Mediciones!$C$6:$C$305,$A88,Mediciones!$D$6:$D$305,"Tela 3")&gt;0,"",0)),IF(ISNUMBER(V88),V88,IF(ISNUMBER(U88),U88*(1+Parametros!$B$22),IF(OR(COUNTIFS(Despiece!$A$6:$A$705,$A88,Despiece!$D$6:$D$705,"Tela 3")&gt;0,COUNTIFS(Mediciones!$C$6:$C$305,$A88,Mediciones!$D$6:$D$305,"Tela 3")&gt;0),"",0))))))</f>
        <v/>
      </c>
      <c r="X88" s="27"/>
      <c r="Y88" s="9" t="str">
        <f aca="false">IF($A88="","",IF(ISNUMBER(X88),X88,IF(COUNTIFS(Despiece!$A$6:$A$705,$A88,Despiece!$E$6:$E$705,"Sublimada",Despiece!$F$6:$F$705,"&gt;0")&gt;0,SUMIFS(Despiece!$F$6:$F$705,Despiece!$A$6:$A$705,$A88,Despiece!$E$6:$E$705,"Sublimada")*(1+Parametros!$B$22),IF(COUNTIFS(Despiece!$A$6:$A$705,$A88,Despiece!$E$6:$E$705,"Sublimada")=0,0,""))))</f>
        <v/>
      </c>
      <c r="Z88" s="10" t="str">
        <f aca="false">IF($A88="","",IFERROR(IF(ISNUMBER(Q88),IF(Q88=0,0,Q88*INDEX(Telas!$I$6:$I$105,MATCH(K88,Telas!$A$6:$A$105,0))),NA())+IF(ISNUMBER(T88),IF(T88=0,0,T88*INDEX(Telas!$I$6:$I$105,MATCH(L88,Telas!$A$6:$A$105,0))),NA())+IF(ISNUMBER(W88),IF(W88=0,0,W88*INDEX(Telas!$I$6:$I$105,MATCH(IF(M88="",K88,M88),Telas!$A$6:$A$105,0))),NA()),""))</f>
        <v/>
      </c>
      <c r="AA88" s="10" t="str">
        <f aca="false">IF($A88="","",IF(ISNUMBER(Y88),Y88*Parametros!$B$19,""))</f>
        <v/>
      </c>
      <c r="AB88" s="10" t="str">
        <f aca="false">IF(OR($A88="",F88=""),"",IFERROR(INDEX(Confeccion!$B$6:$B$125,MATCH(F88,Confeccion!$A$6:$A$125,0)),""))</f>
        <v/>
      </c>
      <c r="AC88" s="10" t="str">
        <f aca="false">IF($A88="","",IFERROR(N(H88)*IF(G88="",0,INDEX(Avios!$C$6:$C$65,MATCH(G88,Avios!$A$6:$A$65,0)))+N(J88)*IF(I88="",0,INDEX(Avios!$C$6:$C$65,MATCH(I88,Avios!$A$6:$A$65,0))),""))</f>
        <v/>
      </c>
      <c r="AD88" s="11" t="str">
        <f aca="false">IF($A88="","",IFERROR(Z88+AA88+AB88+AC88,""))</f>
        <v/>
      </c>
      <c r="AE88" s="10" t="str">
        <f aca="false">IF(ISNUMBER(AD88),AD88*Parametros!$B$12,"")</f>
        <v/>
      </c>
      <c r="AF88" s="29" t="str">
        <f aca="false">IF(AND(ISNUMBER(Q88),K88&lt;&gt;""),IFERROR(1/(Q88*INDEX(Telas!$G$6:$G$105,MATCH(K88,Telas!$A$6:$A$105,0))),""),"")</f>
        <v/>
      </c>
      <c r="AG88" s="0" t="str">
        <f aca="false">IF($A88="","",IF(ISNUMBER(AD88),IF(AND(N(Y88)&gt;0,N(Parametros!$B$19)=0),"Lista, pero sin costo de impresión (Parametros)","Lista"),IF(Q88="","Consumo tela principal (Despiece o Mediciones). ","")&amp;IF(COUNTIFS(Mediciones!$C$6:$C$305,$A88,Mediciones!$K$6:$K$305,"")&gt;0,"Pesar 1 m de la tela medida (Telas, kg por metro). ","")&amp;IF(T88="","Consumo Tela 2. ","")&amp;IF(W88="","Consumo Tela 3. ","")&amp;IF(K88="","Elegir tela principal. ",IF(ISERROR(INDEX(Telas!$I$6:$I$105,MATCH(K88,Telas!$A$6:$A$105,0))*1),"Precio o peso por metro de "&amp;K88&amp;". ",""))&amp;IF(AND(N(T88)&gt;0,L88=""),"Elegir Tela 2. ",IF(AND(N(T88)&gt;0,ISERROR(INDEX(Telas!$I$6:$I$105,MATCH(L88,Telas!$A$6:$A$105,0))*1)),"Precio o peso por metro de "&amp;L88&amp;". ",""))&amp;IF(Y88="","Metros impresos. ","")&amp;IF(F88="","Tipo de confección. ",IF(AB88="","Precio de confección. ",""))))</f>
        <v/>
      </c>
      <c r="AH88" s="27"/>
    </row>
    <row r="89" customFormat="false" ht="15" hidden="false" customHeight="false" outlineLevel="0" collapsed="false">
      <c r="A89" s="27"/>
      <c r="B89" s="27"/>
      <c r="C89" s="27"/>
      <c r="D89" s="27"/>
      <c r="E89" s="27"/>
      <c r="F89" s="27"/>
      <c r="G89" s="8"/>
      <c r="H89" s="27"/>
      <c r="I89" s="8"/>
      <c r="J89" s="27"/>
      <c r="K89" s="8"/>
      <c r="L89" s="8"/>
      <c r="M89" s="8"/>
      <c r="N89" s="8"/>
      <c r="O89" s="9" t="str">
        <f aca="false">IF($A89="","",IF(COUNTIFS(Despiece!$A$6:$A$705,$A89,Despiece!$D$6:$D$705,"Tela principal",Despiece!$F$6:$F$705,"&gt;0")=0,"",SUMIFS(Despiece!$F$6:$F$705,Despiece!$A$6:$A$705,$A89,Despiece!$D$6:$D$705,"Tela principal")))</f>
        <v/>
      </c>
      <c r="P89" s="9" t="str">
        <f aca="false">IF($A89="","",IFERROR(AVERAGEIFS(Mediciones!$K$6:$K$305,Mediciones!$C$6:$C$305,$A89,Mediciones!$D$6:$D$305,"Tela principal"),""))</f>
        <v/>
      </c>
      <c r="Q89" s="28" t="str">
        <f aca="false">IF($A89="","",IF(N(IF($N89="Despiece",IF(ISNUMBER(O89),O89*(1+Parametros!$B$22),IF(COUNTIFS(Despiece!$A$6:$A$705,$A89,Despiece!$D$6:$D$705,"Tela principal")&gt;0,"",0)),IF($N89="Medición real",IF(ISNUMBER(P89),P89,IF(COUNTIFS(Mediciones!$C$6:$C$305,$A89,Mediciones!$D$6:$D$305,"Tela principal")&gt;0,"",0)),IF(ISNUMBER(P89),P89,IF(ISNUMBER(O89),O89*(1+Parametros!$B$22),IF(OR(COUNTIFS(Despiece!$A$6:$A$705,$A89,Despiece!$D$6:$D$705,"Tela principal")&gt;0,COUNTIFS(Mediciones!$C$6:$C$305,$A89,Mediciones!$D$6:$D$305,"Tela principal")&gt;0),"",0))))))=0,"",IF($N89="Despiece",IF(ISNUMBER(O89),O89*(1+Parametros!$B$22),IF(COUNTIFS(Despiece!$A$6:$A$705,$A89,Despiece!$D$6:$D$705,"Tela principal")&gt;0,"",0)),IF($N89="Medición real",IF(ISNUMBER(P89),P89,IF(COUNTIFS(Mediciones!$C$6:$C$305,$A89,Mediciones!$D$6:$D$305,"Tela principal")&gt;0,"",0)),IF(ISNUMBER(P89),P89,IF(ISNUMBER(O89),O89*(1+Parametros!$B$22),IF(OR(COUNTIFS(Despiece!$A$6:$A$705,$A89,Despiece!$D$6:$D$705,"Tela principal")&gt;0,COUNTIFS(Mediciones!$C$6:$C$305,$A89,Mediciones!$D$6:$D$305,"Tela principal")&gt;0),"",0)))))))</f>
        <v/>
      </c>
      <c r="R89" s="9" t="str">
        <f aca="false">IF($A89="","",IF(COUNTIFS(Despiece!$A$6:$A$705,$A89,Despiece!$D$6:$D$705,"Tela 2",Despiece!$F$6:$F$705,"&gt;0")=0,"",SUMIFS(Despiece!$F$6:$F$705,Despiece!$A$6:$A$705,$A89,Despiece!$D$6:$D$705,"Tela 2")))</f>
        <v/>
      </c>
      <c r="S89" s="9" t="str">
        <f aca="false">IF($A89="","",IFERROR(AVERAGEIFS(Mediciones!$K$6:$K$305,Mediciones!$C$6:$C$305,$A89,Mediciones!$D$6:$D$305,"Tela 2"),""))</f>
        <v/>
      </c>
      <c r="T89" s="28" t="str">
        <f aca="false">IF($A89="","",IF($N89="Despiece",IF(ISNUMBER(R89),R89*(1+Parametros!$B$22),IF(COUNTIFS(Despiece!$A$6:$A$705,$A89,Despiece!$D$6:$D$705,"Tela 2")&gt;0,"",0)),IF($N89="Medición real",IF(ISNUMBER(S89),S89,IF(COUNTIFS(Mediciones!$C$6:$C$305,$A89,Mediciones!$D$6:$D$305,"Tela 2")&gt;0,"",0)),IF(ISNUMBER(S89),S89,IF(ISNUMBER(R89),R89*(1+Parametros!$B$22),IF(OR(COUNTIFS(Despiece!$A$6:$A$705,$A89,Despiece!$D$6:$D$705,"Tela 2")&gt;0,COUNTIFS(Mediciones!$C$6:$C$305,$A89,Mediciones!$D$6:$D$305,"Tela 2")&gt;0),"",0))))))</f>
        <v/>
      </c>
      <c r="U89" s="9" t="str">
        <f aca="false">IF($A89="","",IF(COUNTIFS(Despiece!$A$6:$A$705,$A89,Despiece!$D$6:$D$705,"Tela 3",Despiece!$F$6:$F$705,"&gt;0")=0,"",SUMIFS(Despiece!$F$6:$F$705,Despiece!$A$6:$A$705,$A89,Despiece!$D$6:$D$705,"Tela 3")))</f>
        <v/>
      </c>
      <c r="V89" s="9" t="str">
        <f aca="false">IF($A89="","",IFERROR(AVERAGEIFS(Mediciones!$K$6:$K$305,Mediciones!$C$6:$C$305,$A89,Mediciones!$D$6:$D$305,"Tela 3"),""))</f>
        <v/>
      </c>
      <c r="W89" s="28" t="str">
        <f aca="false">IF($A89="","",IF($N89="Despiece",IF(ISNUMBER(U89),U89*(1+Parametros!$B$22),IF(COUNTIFS(Despiece!$A$6:$A$705,$A89,Despiece!$D$6:$D$705,"Tela 3")&gt;0,"",0)),IF($N89="Medición real",IF(ISNUMBER(V89),V89,IF(COUNTIFS(Mediciones!$C$6:$C$305,$A89,Mediciones!$D$6:$D$305,"Tela 3")&gt;0,"",0)),IF(ISNUMBER(V89),V89,IF(ISNUMBER(U89),U89*(1+Parametros!$B$22),IF(OR(COUNTIFS(Despiece!$A$6:$A$705,$A89,Despiece!$D$6:$D$705,"Tela 3")&gt;0,COUNTIFS(Mediciones!$C$6:$C$305,$A89,Mediciones!$D$6:$D$305,"Tela 3")&gt;0),"",0))))))</f>
        <v/>
      </c>
      <c r="X89" s="27"/>
      <c r="Y89" s="9" t="str">
        <f aca="false">IF($A89="","",IF(ISNUMBER(X89),X89,IF(COUNTIFS(Despiece!$A$6:$A$705,$A89,Despiece!$E$6:$E$705,"Sublimada",Despiece!$F$6:$F$705,"&gt;0")&gt;0,SUMIFS(Despiece!$F$6:$F$705,Despiece!$A$6:$A$705,$A89,Despiece!$E$6:$E$705,"Sublimada")*(1+Parametros!$B$22),IF(COUNTIFS(Despiece!$A$6:$A$705,$A89,Despiece!$E$6:$E$705,"Sublimada")=0,0,""))))</f>
        <v/>
      </c>
      <c r="Z89" s="10" t="str">
        <f aca="false">IF($A89="","",IFERROR(IF(ISNUMBER(Q89),IF(Q89=0,0,Q89*INDEX(Telas!$I$6:$I$105,MATCH(K89,Telas!$A$6:$A$105,0))),NA())+IF(ISNUMBER(T89),IF(T89=0,0,T89*INDEX(Telas!$I$6:$I$105,MATCH(L89,Telas!$A$6:$A$105,0))),NA())+IF(ISNUMBER(W89),IF(W89=0,0,W89*INDEX(Telas!$I$6:$I$105,MATCH(IF(M89="",K89,M89),Telas!$A$6:$A$105,0))),NA()),""))</f>
        <v/>
      </c>
      <c r="AA89" s="10" t="str">
        <f aca="false">IF($A89="","",IF(ISNUMBER(Y89),Y89*Parametros!$B$19,""))</f>
        <v/>
      </c>
      <c r="AB89" s="10" t="str">
        <f aca="false">IF(OR($A89="",F89=""),"",IFERROR(INDEX(Confeccion!$B$6:$B$125,MATCH(F89,Confeccion!$A$6:$A$125,0)),""))</f>
        <v/>
      </c>
      <c r="AC89" s="10" t="str">
        <f aca="false">IF($A89="","",IFERROR(N(H89)*IF(G89="",0,INDEX(Avios!$C$6:$C$65,MATCH(G89,Avios!$A$6:$A$65,0)))+N(J89)*IF(I89="",0,INDEX(Avios!$C$6:$C$65,MATCH(I89,Avios!$A$6:$A$65,0))),""))</f>
        <v/>
      </c>
      <c r="AD89" s="11" t="str">
        <f aca="false">IF($A89="","",IFERROR(Z89+AA89+AB89+AC89,""))</f>
        <v/>
      </c>
      <c r="AE89" s="10" t="str">
        <f aca="false">IF(ISNUMBER(AD89),AD89*Parametros!$B$12,"")</f>
        <v/>
      </c>
      <c r="AF89" s="29" t="str">
        <f aca="false">IF(AND(ISNUMBER(Q89),K89&lt;&gt;""),IFERROR(1/(Q89*INDEX(Telas!$G$6:$G$105,MATCH(K89,Telas!$A$6:$A$105,0))),""),"")</f>
        <v/>
      </c>
      <c r="AG89" s="0" t="str">
        <f aca="false">IF($A89="","",IF(ISNUMBER(AD89),IF(AND(N(Y89)&gt;0,N(Parametros!$B$19)=0),"Lista, pero sin costo de impresión (Parametros)","Lista"),IF(Q89="","Consumo tela principal (Despiece o Mediciones). ","")&amp;IF(COUNTIFS(Mediciones!$C$6:$C$305,$A89,Mediciones!$K$6:$K$305,"")&gt;0,"Pesar 1 m de la tela medida (Telas, kg por metro). ","")&amp;IF(T89="","Consumo Tela 2. ","")&amp;IF(W89="","Consumo Tela 3. ","")&amp;IF(K89="","Elegir tela principal. ",IF(ISERROR(INDEX(Telas!$I$6:$I$105,MATCH(K89,Telas!$A$6:$A$105,0))*1),"Precio o peso por metro de "&amp;K89&amp;". ",""))&amp;IF(AND(N(T89)&gt;0,L89=""),"Elegir Tela 2. ",IF(AND(N(T89)&gt;0,ISERROR(INDEX(Telas!$I$6:$I$105,MATCH(L89,Telas!$A$6:$A$105,0))*1)),"Precio o peso por metro de "&amp;L89&amp;". ",""))&amp;IF(Y89="","Metros impresos. ","")&amp;IF(F89="","Tipo de confección. ",IF(AB89="","Precio de confección. ",""))))</f>
        <v/>
      </c>
      <c r="AH89" s="27"/>
    </row>
    <row r="90" customFormat="false" ht="15" hidden="false" customHeight="false" outlineLevel="0" collapsed="false">
      <c r="A90" s="27"/>
      <c r="B90" s="27"/>
      <c r="C90" s="27"/>
      <c r="D90" s="27"/>
      <c r="E90" s="27"/>
      <c r="F90" s="27"/>
      <c r="G90" s="8"/>
      <c r="H90" s="27"/>
      <c r="I90" s="8"/>
      <c r="J90" s="27"/>
      <c r="K90" s="8"/>
      <c r="L90" s="8"/>
      <c r="M90" s="8"/>
      <c r="N90" s="8"/>
      <c r="O90" s="9" t="str">
        <f aca="false">IF($A90="","",IF(COUNTIFS(Despiece!$A$6:$A$705,$A90,Despiece!$D$6:$D$705,"Tela principal",Despiece!$F$6:$F$705,"&gt;0")=0,"",SUMIFS(Despiece!$F$6:$F$705,Despiece!$A$6:$A$705,$A90,Despiece!$D$6:$D$705,"Tela principal")))</f>
        <v/>
      </c>
      <c r="P90" s="9" t="str">
        <f aca="false">IF($A90="","",IFERROR(AVERAGEIFS(Mediciones!$K$6:$K$305,Mediciones!$C$6:$C$305,$A90,Mediciones!$D$6:$D$305,"Tela principal"),""))</f>
        <v/>
      </c>
      <c r="Q90" s="28" t="str">
        <f aca="false">IF($A90="","",IF(N(IF($N90="Despiece",IF(ISNUMBER(O90),O90*(1+Parametros!$B$22),IF(COUNTIFS(Despiece!$A$6:$A$705,$A90,Despiece!$D$6:$D$705,"Tela principal")&gt;0,"",0)),IF($N90="Medición real",IF(ISNUMBER(P90),P90,IF(COUNTIFS(Mediciones!$C$6:$C$305,$A90,Mediciones!$D$6:$D$305,"Tela principal")&gt;0,"",0)),IF(ISNUMBER(P90),P90,IF(ISNUMBER(O90),O90*(1+Parametros!$B$22),IF(OR(COUNTIFS(Despiece!$A$6:$A$705,$A90,Despiece!$D$6:$D$705,"Tela principal")&gt;0,COUNTIFS(Mediciones!$C$6:$C$305,$A90,Mediciones!$D$6:$D$305,"Tela principal")&gt;0),"",0))))))=0,"",IF($N90="Despiece",IF(ISNUMBER(O90),O90*(1+Parametros!$B$22),IF(COUNTIFS(Despiece!$A$6:$A$705,$A90,Despiece!$D$6:$D$705,"Tela principal")&gt;0,"",0)),IF($N90="Medición real",IF(ISNUMBER(P90),P90,IF(COUNTIFS(Mediciones!$C$6:$C$305,$A90,Mediciones!$D$6:$D$305,"Tela principal")&gt;0,"",0)),IF(ISNUMBER(P90),P90,IF(ISNUMBER(O90),O90*(1+Parametros!$B$22),IF(OR(COUNTIFS(Despiece!$A$6:$A$705,$A90,Despiece!$D$6:$D$705,"Tela principal")&gt;0,COUNTIFS(Mediciones!$C$6:$C$305,$A90,Mediciones!$D$6:$D$305,"Tela principal")&gt;0),"",0)))))))</f>
        <v/>
      </c>
      <c r="R90" s="9" t="str">
        <f aca="false">IF($A90="","",IF(COUNTIFS(Despiece!$A$6:$A$705,$A90,Despiece!$D$6:$D$705,"Tela 2",Despiece!$F$6:$F$705,"&gt;0")=0,"",SUMIFS(Despiece!$F$6:$F$705,Despiece!$A$6:$A$705,$A90,Despiece!$D$6:$D$705,"Tela 2")))</f>
        <v/>
      </c>
      <c r="S90" s="9" t="str">
        <f aca="false">IF($A90="","",IFERROR(AVERAGEIFS(Mediciones!$K$6:$K$305,Mediciones!$C$6:$C$305,$A90,Mediciones!$D$6:$D$305,"Tela 2"),""))</f>
        <v/>
      </c>
      <c r="T90" s="28" t="str">
        <f aca="false">IF($A90="","",IF($N90="Despiece",IF(ISNUMBER(R90),R90*(1+Parametros!$B$22),IF(COUNTIFS(Despiece!$A$6:$A$705,$A90,Despiece!$D$6:$D$705,"Tela 2")&gt;0,"",0)),IF($N90="Medición real",IF(ISNUMBER(S90),S90,IF(COUNTIFS(Mediciones!$C$6:$C$305,$A90,Mediciones!$D$6:$D$305,"Tela 2")&gt;0,"",0)),IF(ISNUMBER(S90),S90,IF(ISNUMBER(R90),R90*(1+Parametros!$B$22),IF(OR(COUNTIFS(Despiece!$A$6:$A$705,$A90,Despiece!$D$6:$D$705,"Tela 2")&gt;0,COUNTIFS(Mediciones!$C$6:$C$305,$A90,Mediciones!$D$6:$D$305,"Tela 2")&gt;0),"",0))))))</f>
        <v/>
      </c>
      <c r="U90" s="9" t="str">
        <f aca="false">IF($A90="","",IF(COUNTIFS(Despiece!$A$6:$A$705,$A90,Despiece!$D$6:$D$705,"Tela 3",Despiece!$F$6:$F$705,"&gt;0")=0,"",SUMIFS(Despiece!$F$6:$F$705,Despiece!$A$6:$A$705,$A90,Despiece!$D$6:$D$705,"Tela 3")))</f>
        <v/>
      </c>
      <c r="V90" s="9" t="str">
        <f aca="false">IF($A90="","",IFERROR(AVERAGEIFS(Mediciones!$K$6:$K$305,Mediciones!$C$6:$C$305,$A90,Mediciones!$D$6:$D$305,"Tela 3"),""))</f>
        <v/>
      </c>
      <c r="W90" s="28" t="str">
        <f aca="false">IF($A90="","",IF($N90="Despiece",IF(ISNUMBER(U90),U90*(1+Parametros!$B$22),IF(COUNTIFS(Despiece!$A$6:$A$705,$A90,Despiece!$D$6:$D$705,"Tela 3")&gt;0,"",0)),IF($N90="Medición real",IF(ISNUMBER(V90),V90,IF(COUNTIFS(Mediciones!$C$6:$C$305,$A90,Mediciones!$D$6:$D$305,"Tela 3")&gt;0,"",0)),IF(ISNUMBER(V90),V90,IF(ISNUMBER(U90),U90*(1+Parametros!$B$22),IF(OR(COUNTIFS(Despiece!$A$6:$A$705,$A90,Despiece!$D$6:$D$705,"Tela 3")&gt;0,COUNTIFS(Mediciones!$C$6:$C$305,$A90,Mediciones!$D$6:$D$305,"Tela 3")&gt;0),"",0))))))</f>
        <v/>
      </c>
      <c r="X90" s="27"/>
      <c r="Y90" s="9" t="str">
        <f aca="false">IF($A90="","",IF(ISNUMBER(X90),X90,IF(COUNTIFS(Despiece!$A$6:$A$705,$A90,Despiece!$E$6:$E$705,"Sublimada",Despiece!$F$6:$F$705,"&gt;0")&gt;0,SUMIFS(Despiece!$F$6:$F$705,Despiece!$A$6:$A$705,$A90,Despiece!$E$6:$E$705,"Sublimada")*(1+Parametros!$B$22),IF(COUNTIFS(Despiece!$A$6:$A$705,$A90,Despiece!$E$6:$E$705,"Sublimada")=0,0,""))))</f>
        <v/>
      </c>
      <c r="Z90" s="10" t="str">
        <f aca="false">IF($A90="","",IFERROR(IF(ISNUMBER(Q90),IF(Q90=0,0,Q90*INDEX(Telas!$I$6:$I$105,MATCH(K90,Telas!$A$6:$A$105,0))),NA())+IF(ISNUMBER(T90),IF(T90=0,0,T90*INDEX(Telas!$I$6:$I$105,MATCH(L90,Telas!$A$6:$A$105,0))),NA())+IF(ISNUMBER(W90),IF(W90=0,0,W90*INDEX(Telas!$I$6:$I$105,MATCH(IF(M90="",K90,M90),Telas!$A$6:$A$105,0))),NA()),""))</f>
        <v/>
      </c>
      <c r="AA90" s="10" t="str">
        <f aca="false">IF($A90="","",IF(ISNUMBER(Y90),Y90*Parametros!$B$19,""))</f>
        <v/>
      </c>
      <c r="AB90" s="10" t="str">
        <f aca="false">IF(OR($A90="",F90=""),"",IFERROR(INDEX(Confeccion!$B$6:$B$125,MATCH(F90,Confeccion!$A$6:$A$125,0)),""))</f>
        <v/>
      </c>
      <c r="AC90" s="10" t="str">
        <f aca="false">IF($A90="","",IFERROR(N(H90)*IF(G90="",0,INDEX(Avios!$C$6:$C$65,MATCH(G90,Avios!$A$6:$A$65,0)))+N(J90)*IF(I90="",0,INDEX(Avios!$C$6:$C$65,MATCH(I90,Avios!$A$6:$A$65,0))),""))</f>
        <v/>
      </c>
      <c r="AD90" s="11" t="str">
        <f aca="false">IF($A90="","",IFERROR(Z90+AA90+AB90+AC90,""))</f>
        <v/>
      </c>
      <c r="AE90" s="10" t="str">
        <f aca="false">IF(ISNUMBER(AD90),AD90*Parametros!$B$12,"")</f>
        <v/>
      </c>
      <c r="AF90" s="29" t="str">
        <f aca="false">IF(AND(ISNUMBER(Q90),K90&lt;&gt;""),IFERROR(1/(Q90*INDEX(Telas!$G$6:$G$105,MATCH(K90,Telas!$A$6:$A$105,0))),""),"")</f>
        <v/>
      </c>
      <c r="AG90" s="0" t="str">
        <f aca="false">IF($A90="","",IF(ISNUMBER(AD90),IF(AND(N(Y90)&gt;0,N(Parametros!$B$19)=0),"Lista, pero sin costo de impresión (Parametros)","Lista"),IF(Q90="","Consumo tela principal (Despiece o Mediciones). ","")&amp;IF(COUNTIFS(Mediciones!$C$6:$C$305,$A90,Mediciones!$K$6:$K$305,"")&gt;0,"Pesar 1 m de la tela medida (Telas, kg por metro). ","")&amp;IF(T90="","Consumo Tela 2. ","")&amp;IF(W90="","Consumo Tela 3. ","")&amp;IF(K90="","Elegir tela principal. ",IF(ISERROR(INDEX(Telas!$I$6:$I$105,MATCH(K90,Telas!$A$6:$A$105,0))*1),"Precio o peso por metro de "&amp;K90&amp;". ",""))&amp;IF(AND(N(T90)&gt;0,L90=""),"Elegir Tela 2. ",IF(AND(N(T90)&gt;0,ISERROR(INDEX(Telas!$I$6:$I$105,MATCH(L90,Telas!$A$6:$A$105,0))*1)),"Precio o peso por metro de "&amp;L90&amp;". ",""))&amp;IF(Y90="","Metros impresos. ","")&amp;IF(F90="","Tipo de confección. ",IF(AB90="","Precio de confección. ",""))))</f>
        <v/>
      </c>
      <c r="AH90" s="27"/>
    </row>
    <row r="91" customFormat="false" ht="15" hidden="false" customHeight="false" outlineLevel="0" collapsed="false">
      <c r="A91" s="27"/>
      <c r="B91" s="27"/>
      <c r="C91" s="27"/>
      <c r="D91" s="27"/>
      <c r="E91" s="27"/>
      <c r="F91" s="27"/>
      <c r="G91" s="8"/>
      <c r="H91" s="27"/>
      <c r="I91" s="8"/>
      <c r="J91" s="27"/>
      <c r="K91" s="8"/>
      <c r="L91" s="8"/>
      <c r="M91" s="8"/>
      <c r="N91" s="8"/>
      <c r="O91" s="9" t="str">
        <f aca="false">IF($A91="","",IF(COUNTIFS(Despiece!$A$6:$A$705,$A91,Despiece!$D$6:$D$705,"Tela principal",Despiece!$F$6:$F$705,"&gt;0")=0,"",SUMIFS(Despiece!$F$6:$F$705,Despiece!$A$6:$A$705,$A91,Despiece!$D$6:$D$705,"Tela principal")))</f>
        <v/>
      </c>
      <c r="P91" s="9" t="str">
        <f aca="false">IF($A91="","",IFERROR(AVERAGEIFS(Mediciones!$K$6:$K$305,Mediciones!$C$6:$C$305,$A91,Mediciones!$D$6:$D$305,"Tela principal"),""))</f>
        <v/>
      </c>
      <c r="Q91" s="28" t="str">
        <f aca="false">IF($A91="","",IF(N(IF($N91="Despiece",IF(ISNUMBER(O91),O91*(1+Parametros!$B$22),IF(COUNTIFS(Despiece!$A$6:$A$705,$A91,Despiece!$D$6:$D$705,"Tela principal")&gt;0,"",0)),IF($N91="Medición real",IF(ISNUMBER(P91),P91,IF(COUNTIFS(Mediciones!$C$6:$C$305,$A91,Mediciones!$D$6:$D$305,"Tela principal")&gt;0,"",0)),IF(ISNUMBER(P91),P91,IF(ISNUMBER(O91),O91*(1+Parametros!$B$22),IF(OR(COUNTIFS(Despiece!$A$6:$A$705,$A91,Despiece!$D$6:$D$705,"Tela principal")&gt;0,COUNTIFS(Mediciones!$C$6:$C$305,$A91,Mediciones!$D$6:$D$305,"Tela principal")&gt;0),"",0))))))=0,"",IF($N91="Despiece",IF(ISNUMBER(O91),O91*(1+Parametros!$B$22),IF(COUNTIFS(Despiece!$A$6:$A$705,$A91,Despiece!$D$6:$D$705,"Tela principal")&gt;0,"",0)),IF($N91="Medición real",IF(ISNUMBER(P91),P91,IF(COUNTIFS(Mediciones!$C$6:$C$305,$A91,Mediciones!$D$6:$D$305,"Tela principal")&gt;0,"",0)),IF(ISNUMBER(P91),P91,IF(ISNUMBER(O91),O91*(1+Parametros!$B$22),IF(OR(COUNTIFS(Despiece!$A$6:$A$705,$A91,Despiece!$D$6:$D$705,"Tela principal")&gt;0,COUNTIFS(Mediciones!$C$6:$C$305,$A91,Mediciones!$D$6:$D$305,"Tela principal")&gt;0),"",0)))))))</f>
        <v/>
      </c>
      <c r="R91" s="9" t="str">
        <f aca="false">IF($A91="","",IF(COUNTIFS(Despiece!$A$6:$A$705,$A91,Despiece!$D$6:$D$705,"Tela 2",Despiece!$F$6:$F$705,"&gt;0")=0,"",SUMIFS(Despiece!$F$6:$F$705,Despiece!$A$6:$A$705,$A91,Despiece!$D$6:$D$705,"Tela 2")))</f>
        <v/>
      </c>
      <c r="S91" s="9" t="str">
        <f aca="false">IF($A91="","",IFERROR(AVERAGEIFS(Mediciones!$K$6:$K$305,Mediciones!$C$6:$C$305,$A91,Mediciones!$D$6:$D$305,"Tela 2"),""))</f>
        <v/>
      </c>
      <c r="T91" s="28" t="str">
        <f aca="false">IF($A91="","",IF($N91="Despiece",IF(ISNUMBER(R91),R91*(1+Parametros!$B$22),IF(COUNTIFS(Despiece!$A$6:$A$705,$A91,Despiece!$D$6:$D$705,"Tela 2")&gt;0,"",0)),IF($N91="Medición real",IF(ISNUMBER(S91),S91,IF(COUNTIFS(Mediciones!$C$6:$C$305,$A91,Mediciones!$D$6:$D$305,"Tela 2")&gt;0,"",0)),IF(ISNUMBER(S91),S91,IF(ISNUMBER(R91),R91*(1+Parametros!$B$22),IF(OR(COUNTIFS(Despiece!$A$6:$A$705,$A91,Despiece!$D$6:$D$705,"Tela 2")&gt;0,COUNTIFS(Mediciones!$C$6:$C$305,$A91,Mediciones!$D$6:$D$305,"Tela 2")&gt;0),"",0))))))</f>
        <v/>
      </c>
      <c r="U91" s="9" t="str">
        <f aca="false">IF($A91="","",IF(COUNTIFS(Despiece!$A$6:$A$705,$A91,Despiece!$D$6:$D$705,"Tela 3",Despiece!$F$6:$F$705,"&gt;0")=0,"",SUMIFS(Despiece!$F$6:$F$705,Despiece!$A$6:$A$705,$A91,Despiece!$D$6:$D$705,"Tela 3")))</f>
        <v/>
      </c>
      <c r="V91" s="9" t="str">
        <f aca="false">IF($A91="","",IFERROR(AVERAGEIFS(Mediciones!$K$6:$K$305,Mediciones!$C$6:$C$305,$A91,Mediciones!$D$6:$D$305,"Tela 3"),""))</f>
        <v/>
      </c>
      <c r="W91" s="28" t="str">
        <f aca="false">IF($A91="","",IF($N91="Despiece",IF(ISNUMBER(U91),U91*(1+Parametros!$B$22),IF(COUNTIFS(Despiece!$A$6:$A$705,$A91,Despiece!$D$6:$D$705,"Tela 3")&gt;0,"",0)),IF($N91="Medición real",IF(ISNUMBER(V91),V91,IF(COUNTIFS(Mediciones!$C$6:$C$305,$A91,Mediciones!$D$6:$D$305,"Tela 3")&gt;0,"",0)),IF(ISNUMBER(V91),V91,IF(ISNUMBER(U91),U91*(1+Parametros!$B$22),IF(OR(COUNTIFS(Despiece!$A$6:$A$705,$A91,Despiece!$D$6:$D$705,"Tela 3")&gt;0,COUNTIFS(Mediciones!$C$6:$C$305,$A91,Mediciones!$D$6:$D$305,"Tela 3")&gt;0),"",0))))))</f>
        <v/>
      </c>
      <c r="X91" s="27"/>
      <c r="Y91" s="9" t="str">
        <f aca="false">IF($A91="","",IF(ISNUMBER(X91),X91,IF(COUNTIFS(Despiece!$A$6:$A$705,$A91,Despiece!$E$6:$E$705,"Sublimada",Despiece!$F$6:$F$705,"&gt;0")&gt;0,SUMIFS(Despiece!$F$6:$F$705,Despiece!$A$6:$A$705,$A91,Despiece!$E$6:$E$705,"Sublimada")*(1+Parametros!$B$22),IF(COUNTIFS(Despiece!$A$6:$A$705,$A91,Despiece!$E$6:$E$705,"Sublimada")=0,0,""))))</f>
        <v/>
      </c>
      <c r="Z91" s="10" t="str">
        <f aca="false">IF($A91="","",IFERROR(IF(ISNUMBER(Q91),IF(Q91=0,0,Q91*INDEX(Telas!$I$6:$I$105,MATCH(K91,Telas!$A$6:$A$105,0))),NA())+IF(ISNUMBER(T91),IF(T91=0,0,T91*INDEX(Telas!$I$6:$I$105,MATCH(L91,Telas!$A$6:$A$105,0))),NA())+IF(ISNUMBER(W91),IF(W91=0,0,W91*INDEX(Telas!$I$6:$I$105,MATCH(IF(M91="",K91,M91),Telas!$A$6:$A$105,0))),NA()),""))</f>
        <v/>
      </c>
      <c r="AA91" s="10" t="str">
        <f aca="false">IF($A91="","",IF(ISNUMBER(Y91),Y91*Parametros!$B$19,""))</f>
        <v/>
      </c>
      <c r="AB91" s="10" t="str">
        <f aca="false">IF(OR($A91="",F91=""),"",IFERROR(INDEX(Confeccion!$B$6:$B$125,MATCH(F91,Confeccion!$A$6:$A$125,0)),""))</f>
        <v/>
      </c>
      <c r="AC91" s="10" t="str">
        <f aca="false">IF($A91="","",IFERROR(N(H91)*IF(G91="",0,INDEX(Avios!$C$6:$C$65,MATCH(G91,Avios!$A$6:$A$65,0)))+N(J91)*IF(I91="",0,INDEX(Avios!$C$6:$C$65,MATCH(I91,Avios!$A$6:$A$65,0))),""))</f>
        <v/>
      </c>
      <c r="AD91" s="11" t="str">
        <f aca="false">IF($A91="","",IFERROR(Z91+AA91+AB91+AC91,""))</f>
        <v/>
      </c>
      <c r="AE91" s="10" t="str">
        <f aca="false">IF(ISNUMBER(AD91),AD91*Parametros!$B$12,"")</f>
        <v/>
      </c>
      <c r="AF91" s="29" t="str">
        <f aca="false">IF(AND(ISNUMBER(Q91),K91&lt;&gt;""),IFERROR(1/(Q91*INDEX(Telas!$G$6:$G$105,MATCH(K91,Telas!$A$6:$A$105,0))),""),"")</f>
        <v/>
      </c>
      <c r="AG91" s="0" t="str">
        <f aca="false">IF($A91="","",IF(ISNUMBER(AD91),IF(AND(N(Y91)&gt;0,N(Parametros!$B$19)=0),"Lista, pero sin costo de impresión (Parametros)","Lista"),IF(Q91="","Consumo tela principal (Despiece o Mediciones). ","")&amp;IF(COUNTIFS(Mediciones!$C$6:$C$305,$A91,Mediciones!$K$6:$K$305,"")&gt;0,"Pesar 1 m de la tela medida (Telas, kg por metro). ","")&amp;IF(T91="","Consumo Tela 2. ","")&amp;IF(W91="","Consumo Tela 3. ","")&amp;IF(K91="","Elegir tela principal. ",IF(ISERROR(INDEX(Telas!$I$6:$I$105,MATCH(K91,Telas!$A$6:$A$105,0))*1),"Precio o peso por metro de "&amp;K91&amp;". ",""))&amp;IF(AND(N(T91)&gt;0,L91=""),"Elegir Tela 2. ",IF(AND(N(T91)&gt;0,ISERROR(INDEX(Telas!$I$6:$I$105,MATCH(L91,Telas!$A$6:$A$105,0))*1)),"Precio o peso por metro de "&amp;L91&amp;". ",""))&amp;IF(Y91="","Metros impresos. ","")&amp;IF(F91="","Tipo de confección. ",IF(AB91="","Precio de confección. ",""))))</f>
        <v/>
      </c>
      <c r="AH91" s="27"/>
    </row>
    <row r="92" customFormat="false" ht="15" hidden="false" customHeight="false" outlineLevel="0" collapsed="false">
      <c r="A92" s="27"/>
      <c r="B92" s="27"/>
      <c r="C92" s="27"/>
      <c r="D92" s="27"/>
      <c r="E92" s="27"/>
      <c r="F92" s="27"/>
      <c r="G92" s="8"/>
      <c r="H92" s="27"/>
      <c r="I92" s="8"/>
      <c r="J92" s="27"/>
      <c r="K92" s="8"/>
      <c r="L92" s="8"/>
      <c r="M92" s="8"/>
      <c r="N92" s="8"/>
      <c r="O92" s="9" t="str">
        <f aca="false">IF($A92="","",IF(COUNTIFS(Despiece!$A$6:$A$705,$A92,Despiece!$D$6:$D$705,"Tela principal",Despiece!$F$6:$F$705,"&gt;0")=0,"",SUMIFS(Despiece!$F$6:$F$705,Despiece!$A$6:$A$705,$A92,Despiece!$D$6:$D$705,"Tela principal")))</f>
        <v/>
      </c>
      <c r="P92" s="9" t="str">
        <f aca="false">IF($A92="","",IFERROR(AVERAGEIFS(Mediciones!$K$6:$K$305,Mediciones!$C$6:$C$305,$A92,Mediciones!$D$6:$D$305,"Tela principal"),""))</f>
        <v/>
      </c>
      <c r="Q92" s="28" t="str">
        <f aca="false">IF($A92="","",IF(N(IF($N92="Despiece",IF(ISNUMBER(O92),O92*(1+Parametros!$B$22),IF(COUNTIFS(Despiece!$A$6:$A$705,$A92,Despiece!$D$6:$D$705,"Tela principal")&gt;0,"",0)),IF($N92="Medición real",IF(ISNUMBER(P92),P92,IF(COUNTIFS(Mediciones!$C$6:$C$305,$A92,Mediciones!$D$6:$D$305,"Tela principal")&gt;0,"",0)),IF(ISNUMBER(P92),P92,IF(ISNUMBER(O92),O92*(1+Parametros!$B$22),IF(OR(COUNTIFS(Despiece!$A$6:$A$705,$A92,Despiece!$D$6:$D$705,"Tela principal")&gt;0,COUNTIFS(Mediciones!$C$6:$C$305,$A92,Mediciones!$D$6:$D$305,"Tela principal")&gt;0),"",0))))))=0,"",IF($N92="Despiece",IF(ISNUMBER(O92),O92*(1+Parametros!$B$22),IF(COUNTIFS(Despiece!$A$6:$A$705,$A92,Despiece!$D$6:$D$705,"Tela principal")&gt;0,"",0)),IF($N92="Medición real",IF(ISNUMBER(P92),P92,IF(COUNTIFS(Mediciones!$C$6:$C$305,$A92,Mediciones!$D$6:$D$305,"Tela principal")&gt;0,"",0)),IF(ISNUMBER(P92),P92,IF(ISNUMBER(O92),O92*(1+Parametros!$B$22),IF(OR(COUNTIFS(Despiece!$A$6:$A$705,$A92,Despiece!$D$6:$D$705,"Tela principal")&gt;0,COUNTIFS(Mediciones!$C$6:$C$305,$A92,Mediciones!$D$6:$D$305,"Tela principal")&gt;0),"",0)))))))</f>
        <v/>
      </c>
      <c r="R92" s="9" t="str">
        <f aca="false">IF($A92="","",IF(COUNTIFS(Despiece!$A$6:$A$705,$A92,Despiece!$D$6:$D$705,"Tela 2",Despiece!$F$6:$F$705,"&gt;0")=0,"",SUMIFS(Despiece!$F$6:$F$705,Despiece!$A$6:$A$705,$A92,Despiece!$D$6:$D$705,"Tela 2")))</f>
        <v/>
      </c>
      <c r="S92" s="9" t="str">
        <f aca="false">IF($A92="","",IFERROR(AVERAGEIFS(Mediciones!$K$6:$K$305,Mediciones!$C$6:$C$305,$A92,Mediciones!$D$6:$D$305,"Tela 2"),""))</f>
        <v/>
      </c>
      <c r="T92" s="28" t="str">
        <f aca="false">IF($A92="","",IF($N92="Despiece",IF(ISNUMBER(R92),R92*(1+Parametros!$B$22),IF(COUNTIFS(Despiece!$A$6:$A$705,$A92,Despiece!$D$6:$D$705,"Tela 2")&gt;0,"",0)),IF($N92="Medición real",IF(ISNUMBER(S92),S92,IF(COUNTIFS(Mediciones!$C$6:$C$305,$A92,Mediciones!$D$6:$D$305,"Tela 2")&gt;0,"",0)),IF(ISNUMBER(S92),S92,IF(ISNUMBER(R92),R92*(1+Parametros!$B$22),IF(OR(COUNTIFS(Despiece!$A$6:$A$705,$A92,Despiece!$D$6:$D$705,"Tela 2")&gt;0,COUNTIFS(Mediciones!$C$6:$C$305,$A92,Mediciones!$D$6:$D$305,"Tela 2")&gt;0),"",0))))))</f>
        <v/>
      </c>
      <c r="U92" s="9" t="str">
        <f aca="false">IF($A92="","",IF(COUNTIFS(Despiece!$A$6:$A$705,$A92,Despiece!$D$6:$D$705,"Tela 3",Despiece!$F$6:$F$705,"&gt;0")=0,"",SUMIFS(Despiece!$F$6:$F$705,Despiece!$A$6:$A$705,$A92,Despiece!$D$6:$D$705,"Tela 3")))</f>
        <v/>
      </c>
      <c r="V92" s="9" t="str">
        <f aca="false">IF($A92="","",IFERROR(AVERAGEIFS(Mediciones!$K$6:$K$305,Mediciones!$C$6:$C$305,$A92,Mediciones!$D$6:$D$305,"Tela 3"),""))</f>
        <v/>
      </c>
      <c r="W92" s="28" t="str">
        <f aca="false">IF($A92="","",IF($N92="Despiece",IF(ISNUMBER(U92),U92*(1+Parametros!$B$22),IF(COUNTIFS(Despiece!$A$6:$A$705,$A92,Despiece!$D$6:$D$705,"Tela 3")&gt;0,"",0)),IF($N92="Medición real",IF(ISNUMBER(V92),V92,IF(COUNTIFS(Mediciones!$C$6:$C$305,$A92,Mediciones!$D$6:$D$305,"Tela 3")&gt;0,"",0)),IF(ISNUMBER(V92),V92,IF(ISNUMBER(U92),U92*(1+Parametros!$B$22),IF(OR(COUNTIFS(Despiece!$A$6:$A$705,$A92,Despiece!$D$6:$D$705,"Tela 3")&gt;0,COUNTIFS(Mediciones!$C$6:$C$305,$A92,Mediciones!$D$6:$D$305,"Tela 3")&gt;0),"",0))))))</f>
        <v/>
      </c>
      <c r="X92" s="27"/>
      <c r="Y92" s="9" t="str">
        <f aca="false">IF($A92="","",IF(ISNUMBER(X92),X92,IF(COUNTIFS(Despiece!$A$6:$A$705,$A92,Despiece!$E$6:$E$705,"Sublimada",Despiece!$F$6:$F$705,"&gt;0")&gt;0,SUMIFS(Despiece!$F$6:$F$705,Despiece!$A$6:$A$705,$A92,Despiece!$E$6:$E$705,"Sublimada")*(1+Parametros!$B$22),IF(COUNTIFS(Despiece!$A$6:$A$705,$A92,Despiece!$E$6:$E$705,"Sublimada")=0,0,""))))</f>
        <v/>
      </c>
      <c r="Z92" s="10" t="str">
        <f aca="false">IF($A92="","",IFERROR(IF(ISNUMBER(Q92),IF(Q92=0,0,Q92*INDEX(Telas!$I$6:$I$105,MATCH(K92,Telas!$A$6:$A$105,0))),NA())+IF(ISNUMBER(T92),IF(T92=0,0,T92*INDEX(Telas!$I$6:$I$105,MATCH(L92,Telas!$A$6:$A$105,0))),NA())+IF(ISNUMBER(W92),IF(W92=0,0,W92*INDEX(Telas!$I$6:$I$105,MATCH(IF(M92="",K92,M92),Telas!$A$6:$A$105,0))),NA()),""))</f>
        <v/>
      </c>
      <c r="AA92" s="10" t="str">
        <f aca="false">IF($A92="","",IF(ISNUMBER(Y92),Y92*Parametros!$B$19,""))</f>
        <v/>
      </c>
      <c r="AB92" s="10" t="str">
        <f aca="false">IF(OR($A92="",F92=""),"",IFERROR(INDEX(Confeccion!$B$6:$B$125,MATCH(F92,Confeccion!$A$6:$A$125,0)),""))</f>
        <v/>
      </c>
      <c r="AC92" s="10" t="str">
        <f aca="false">IF($A92="","",IFERROR(N(H92)*IF(G92="",0,INDEX(Avios!$C$6:$C$65,MATCH(G92,Avios!$A$6:$A$65,0)))+N(J92)*IF(I92="",0,INDEX(Avios!$C$6:$C$65,MATCH(I92,Avios!$A$6:$A$65,0))),""))</f>
        <v/>
      </c>
      <c r="AD92" s="11" t="str">
        <f aca="false">IF($A92="","",IFERROR(Z92+AA92+AB92+AC92,""))</f>
        <v/>
      </c>
      <c r="AE92" s="10" t="str">
        <f aca="false">IF(ISNUMBER(AD92),AD92*Parametros!$B$12,"")</f>
        <v/>
      </c>
      <c r="AF92" s="29" t="str">
        <f aca="false">IF(AND(ISNUMBER(Q92),K92&lt;&gt;""),IFERROR(1/(Q92*INDEX(Telas!$G$6:$G$105,MATCH(K92,Telas!$A$6:$A$105,0))),""),"")</f>
        <v/>
      </c>
      <c r="AG92" s="0" t="str">
        <f aca="false">IF($A92="","",IF(ISNUMBER(AD92),IF(AND(N(Y92)&gt;0,N(Parametros!$B$19)=0),"Lista, pero sin costo de impresión (Parametros)","Lista"),IF(Q92="","Consumo tela principal (Despiece o Mediciones). ","")&amp;IF(COUNTIFS(Mediciones!$C$6:$C$305,$A92,Mediciones!$K$6:$K$305,"")&gt;0,"Pesar 1 m de la tela medida (Telas, kg por metro). ","")&amp;IF(T92="","Consumo Tela 2. ","")&amp;IF(W92="","Consumo Tela 3. ","")&amp;IF(K92="","Elegir tela principal. ",IF(ISERROR(INDEX(Telas!$I$6:$I$105,MATCH(K92,Telas!$A$6:$A$105,0))*1),"Precio o peso por metro de "&amp;K92&amp;". ",""))&amp;IF(AND(N(T92)&gt;0,L92=""),"Elegir Tela 2. ",IF(AND(N(T92)&gt;0,ISERROR(INDEX(Telas!$I$6:$I$105,MATCH(L92,Telas!$A$6:$A$105,0))*1)),"Precio o peso por metro de "&amp;L92&amp;". ",""))&amp;IF(Y92="","Metros impresos. ","")&amp;IF(F92="","Tipo de confección. ",IF(AB92="","Precio de confección. ",""))))</f>
        <v/>
      </c>
      <c r="AH92" s="27"/>
    </row>
    <row r="93" customFormat="false" ht="15" hidden="false" customHeight="false" outlineLevel="0" collapsed="false">
      <c r="A93" s="27"/>
      <c r="B93" s="27"/>
      <c r="C93" s="27"/>
      <c r="D93" s="27"/>
      <c r="E93" s="27"/>
      <c r="F93" s="27"/>
      <c r="G93" s="8"/>
      <c r="H93" s="27"/>
      <c r="I93" s="8"/>
      <c r="J93" s="27"/>
      <c r="K93" s="8"/>
      <c r="L93" s="8"/>
      <c r="M93" s="8"/>
      <c r="N93" s="8"/>
      <c r="O93" s="9" t="str">
        <f aca="false">IF($A93="","",IF(COUNTIFS(Despiece!$A$6:$A$705,$A93,Despiece!$D$6:$D$705,"Tela principal",Despiece!$F$6:$F$705,"&gt;0")=0,"",SUMIFS(Despiece!$F$6:$F$705,Despiece!$A$6:$A$705,$A93,Despiece!$D$6:$D$705,"Tela principal")))</f>
        <v/>
      </c>
      <c r="P93" s="9" t="str">
        <f aca="false">IF($A93="","",IFERROR(AVERAGEIFS(Mediciones!$K$6:$K$305,Mediciones!$C$6:$C$305,$A93,Mediciones!$D$6:$D$305,"Tela principal"),""))</f>
        <v/>
      </c>
      <c r="Q93" s="28" t="str">
        <f aca="false">IF($A93="","",IF(N(IF($N93="Despiece",IF(ISNUMBER(O93),O93*(1+Parametros!$B$22),IF(COUNTIFS(Despiece!$A$6:$A$705,$A93,Despiece!$D$6:$D$705,"Tela principal")&gt;0,"",0)),IF($N93="Medición real",IF(ISNUMBER(P93),P93,IF(COUNTIFS(Mediciones!$C$6:$C$305,$A93,Mediciones!$D$6:$D$305,"Tela principal")&gt;0,"",0)),IF(ISNUMBER(P93),P93,IF(ISNUMBER(O93),O93*(1+Parametros!$B$22),IF(OR(COUNTIFS(Despiece!$A$6:$A$705,$A93,Despiece!$D$6:$D$705,"Tela principal")&gt;0,COUNTIFS(Mediciones!$C$6:$C$305,$A93,Mediciones!$D$6:$D$305,"Tela principal")&gt;0),"",0))))))=0,"",IF($N93="Despiece",IF(ISNUMBER(O93),O93*(1+Parametros!$B$22),IF(COUNTIFS(Despiece!$A$6:$A$705,$A93,Despiece!$D$6:$D$705,"Tela principal")&gt;0,"",0)),IF($N93="Medición real",IF(ISNUMBER(P93),P93,IF(COUNTIFS(Mediciones!$C$6:$C$305,$A93,Mediciones!$D$6:$D$305,"Tela principal")&gt;0,"",0)),IF(ISNUMBER(P93),P93,IF(ISNUMBER(O93),O93*(1+Parametros!$B$22),IF(OR(COUNTIFS(Despiece!$A$6:$A$705,$A93,Despiece!$D$6:$D$705,"Tela principal")&gt;0,COUNTIFS(Mediciones!$C$6:$C$305,$A93,Mediciones!$D$6:$D$305,"Tela principal")&gt;0),"",0)))))))</f>
        <v/>
      </c>
      <c r="R93" s="9" t="str">
        <f aca="false">IF($A93="","",IF(COUNTIFS(Despiece!$A$6:$A$705,$A93,Despiece!$D$6:$D$705,"Tela 2",Despiece!$F$6:$F$705,"&gt;0")=0,"",SUMIFS(Despiece!$F$6:$F$705,Despiece!$A$6:$A$705,$A93,Despiece!$D$6:$D$705,"Tela 2")))</f>
        <v/>
      </c>
      <c r="S93" s="9" t="str">
        <f aca="false">IF($A93="","",IFERROR(AVERAGEIFS(Mediciones!$K$6:$K$305,Mediciones!$C$6:$C$305,$A93,Mediciones!$D$6:$D$305,"Tela 2"),""))</f>
        <v/>
      </c>
      <c r="T93" s="28" t="str">
        <f aca="false">IF($A93="","",IF($N93="Despiece",IF(ISNUMBER(R93),R93*(1+Parametros!$B$22),IF(COUNTIFS(Despiece!$A$6:$A$705,$A93,Despiece!$D$6:$D$705,"Tela 2")&gt;0,"",0)),IF($N93="Medición real",IF(ISNUMBER(S93),S93,IF(COUNTIFS(Mediciones!$C$6:$C$305,$A93,Mediciones!$D$6:$D$305,"Tela 2")&gt;0,"",0)),IF(ISNUMBER(S93),S93,IF(ISNUMBER(R93),R93*(1+Parametros!$B$22),IF(OR(COUNTIFS(Despiece!$A$6:$A$705,$A93,Despiece!$D$6:$D$705,"Tela 2")&gt;0,COUNTIFS(Mediciones!$C$6:$C$305,$A93,Mediciones!$D$6:$D$305,"Tela 2")&gt;0),"",0))))))</f>
        <v/>
      </c>
      <c r="U93" s="9" t="str">
        <f aca="false">IF($A93="","",IF(COUNTIFS(Despiece!$A$6:$A$705,$A93,Despiece!$D$6:$D$705,"Tela 3",Despiece!$F$6:$F$705,"&gt;0")=0,"",SUMIFS(Despiece!$F$6:$F$705,Despiece!$A$6:$A$705,$A93,Despiece!$D$6:$D$705,"Tela 3")))</f>
        <v/>
      </c>
      <c r="V93" s="9" t="str">
        <f aca="false">IF($A93="","",IFERROR(AVERAGEIFS(Mediciones!$K$6:$K$305,Mediciones!$C$6:$C$305,$A93,Mediciones!$D$6:$D$305,"Tela 3"),""))</f>
        <v/>
      </c>
      <c r="W93" s="28" t="str">
        <f aca="false">IF($A93="","",IF($N93="Despiece",IF(ISNUMBER(U93),U93*(1+Parametros!$B$22),IF(COUNTIFS(Despiece!$A$6:$A$705,$A93,Despiece!$D$6:$D$705,"Tela 3")&gt;0,"",0)),IF($N93="Medición real",IF(ISNUMBER(V93),V93,IF(COUNTIFS(Mediciones!$C$6:$C$305,$A93,Mediciones!$D$6:$D$305,"Tela 3")&gt;0,"",0)),IF(ISNUMBER(V93),V93,IF(ISNUMBER(U93),U93*(1+Parametros!$B$22),IF(OR(COUNTIFS(Despiece!$A$6:$A$705,$A93,Despiece!$D$6:$D$705,"Tela 3")&gt;0,COUNTIFS(Mediciones!$C$6:$C$305,$A93,Mediciones!$D$6:$D$305,"Tela 3")&gt;0),"",0))))))</f>
        <v/>
      </c>
      <c r="X93" s="27"/>
      <c r="Y93" s="9" t="str">
        <f aca="false">IF($A93="","",IF(ISNUMBER(X93),X93,IF(COUNTIFS(Despiece!$A$6:$A$705,$A93,Despiece!$E$6:$E$705,"Sublimada",Despiece!$F$6:$F$705,"&gt;0")&gt;0,SUMIFS(Despiece!$F$6:$F$705,Despiece!$A$6:$A$705,$A93,Despiece!$E$6:$E$705,"Sublimada")*(1+Parametros!$B$22),IF(COUNTIFS(Despiece!$A$6:$A$705,$A93,Despiece!$E$6:$E$705,"Sublimada")=0,0,""))))</f>
        <v/>
      </c>
      <c r="Z93" s="10" t="str">
        <f aca="false">IF($A93="","",IFERROR(IF(ISNUMBER(Q93),IF(Q93=0,0,Q93*INDEX(Telas!$I$6:$I$105,MATCH(K93,Telas!$A$6:$A$105,0))),NA())+IF(ISNUMBER(T93),IF(T93=0,0,T93*INDEX(Telas!$I$6:$I$105,MATCH(L93,Telas!$A$6:$A$105,0))),NA())+IF(ISNUMBER(W93),IF(W93=0,0,W93*INDEX(Telas!$I$6:$I$105,MATCH(IF(M93="",K93,M93),Telas!$A$6:$A$105,0))),NA()),""))</f>
        <v/>
      </c>
      <c r="AA93" s="10" t="str">
        <f aca="false">IF($A93="","",IF(ISNUMBER(Y93),Y93*Parametros!$B$19,""))</f>
        <v/>
      </c>
      <c r="AB93" s="10" t="str">
        <f aca="false">IF(OR($A93="",F93=""),"",IFERROR(INDEX(Confeccion!$B$6:$B$125,MATCH(F93,Confeccion!$A$6:$A$125,0)),""))</f>
        <v/>
      </c>
      <c r="AC93" s="10" t="str">
        <f aca="false">IF($A93="","",IFERROR(N(H93)*IF(G93="",0,INDEX(Avios!$C$6:$C$65,MATCH(G93,Avios!$A$6:$A$65,0)))+N(J93)*IF(I93="",0,INDEX(Avios!$C$6:$C$65,MATCH(I93,Avios!$A$6:$A$65,0))),""))</f>
        <v/>
      </c>
      <c r="AD93" s="11" t="str">
        <f aca="false">IF($A93="","",IFERROR(Z93+AA93+AB93+AC93,""))</f>
        <v/>
      </c>
      <c r="AE93" s="10" t="str">
        <f aca="false">IF(ISNUMBER(AD93),AD93*Parametros!$B$12,"")</f>
        <v/>
      </c>
      <c r="AF93" s="29" t="str">
        <f aca="false">IF(AND(ISNUMBER(Q93),K93&lt;&gt;""),IFERROR(1/(Q93*INDEX(Telas!$G$6:$G$105,MATCH(K93,Telas!$A$6:$A$105,0))),""),"")</f>
        <v/>
      </c>
      <c r="AG93" s="0" t="str">
        <f aca="false">IF($A93="","",IF(ISNUMBER(AD93),IF(AND(N(Y93)&gt;0,N(Parametros!$B$19)=0),"Lista, pero sin costo de impresión (Parametros)","Lista"),IF(Q93="","Consumo tela principal (Despiece o Mediciones). ","")&amp;IF(COUNTIFS(Mediciones!$C$6:$C$305,$A93,Mediciones!$K$6:$K$305,"")&gt;0,"Pesar 1 m de la tela medida (Telas, kg por metro). ","")&amp;IF(T93="","Consumo Tela 2. ","")&amp;IF(W93="","Consumo Tela 3. ","")&amp;IF(K93="","Elegir tela principal. ",IF(ISERROR(INDEX(Telas!$I$6:$I$105,MATCH(K93,Telas!$A$6:$A$105,0))*1),"Precio o peso por metro de "&amp;K93&amp;". ",""))&amp;IF(AND(N(T93)&gt;0,L93=""),"Elegir Tela 2. ",IF(AND(N(T93)&gt;0,ISERROR(INDEX(Telas!$I$6:$I$105,MATCH(L93,Telas!$A$6:$A$105,0))*1)),"Precio o peso por metro de "&amp;L93&amp;". ",""))&amp;IF(Y93="","Metros impresos. ","")&amp;IF(F93="","Tipo de confección. ",IF(AB93="","Precio de confección. ",""))))</f>
        <v/>
      </c>
      <c r="AH93" s="27"/>
    </row>
    <row r="94" customFormat="false" ht="15" hidden="false" customHeight="false" outlineLevel="0" collapsed="false">
      <c r="A94" s="27"/>
      <c r="B94" s="27"/>
      <c r="C94" s="27"/>
      <c r="D94" s="27"/>
      <c r="E94" s="27"/>
      <c r="F94" s="27"/>
      <c r="G94" s="8"/>
      <c r="H94" s="27"/>
      <c r="I94" s="8"/>
      <c r="J94" s="27"/>
      <c r="K94" s="8"/>
      <c r="L94" s="8"/>
      <c r="M94" s="8"/>
      <c r="N94" s="8"/>
      <c r="O94" s="9" t="str">
        <f aca="false">IF($A94="","",IF(COUNTIFS(Despiece!$A$6:$A$705,$A94,Despiece!$D$6:$D$705,"Tela principal",Despiece!$F$6:$F$705,"&gt;0")=0,"",SUMIFS(Despiece!$F$6:$F$705,Despiece!$A$6:$A$705,$A94,Despiece!$D$6:$D$705,"Tela principal")))</f>
        <v/>
      </c>
      <c r="P94" s="9" t="str">
        <f aca="false">IF($A94="","",IFERROR(AVERAGEIFS(Mediciones!$K$6:$K$305,Mediciones!$C$6:$C$305,$A94,Mediciones!$D$6:$D$305,"Tela principal"),""))</f>
        <v/>
      </c>
      <c r="Q94" s="28" t="str">
        <f aca="false">IF($A94="","",IF(N(IF($N94="Despiece",IF(ISNUMBER(O94),O94*(1+Parametros!$B$22),IF(COUNTIFS(Despiece!$A$6:$A$705,$A94,Despiece!$D$6:$D$705,"Tela principal")&gt;0,"",0)),IF($N94="Medición real",IF(ISNUMBER(P94),P94,IF(COUNTIFS(Mediciones!$C$6:$C$305,$A94,Mediciones!$D$6:$D$305,"Tela principal")&gt;0,"",0)),IF(ISNUMBER(P94),P94,IF(ISNUMBER(O94),O94*(1+Parametros!$B$22),IF(OR(COUNTIFS(Despiece!$A$6:$A$705,$A94,Despiece!$D$6:$D$705,"Tela principal")&gt;0,COUNTIFS(Mediciones!$C$6:$C$305,$A94,Mediciones!$D$6:$D$305,"Tela principal")&gt;0),"",0))))))=0,"",IF($N94="Despiece",IF(ISNUMBER(O94),O94*(1+Parametros!$B$22),IF(COUNTIFS(Despiece!$A$6:$A$705,$A94,Despiece!$D$6:$D$705,"Tela principal")&gt;0,"",0)),IF($N94="Medición real",IF(ISNUMBER(P94),P94,IF(COUNTIFS(Mediciones!$C$6:$C$305,$A94,Mediciones!$D$6:$D$305,"Tela principal")&gt;0,"",0)),IF(ISNUMBER(P94),P94,IF(ISNUMBER(O94),O94*(1+Parametros!$B$22),IF(OR(COUNTIFS(Despiece!$A$6:$A$705,$A94,Despiece!$D$6:$D$705,"Tela principal")&gt;0,COUNTIFS(Mediciones!$C$6:$C$305,$A94,Mediciones!$D$6:$D$305,"Tela principal")&gt;0),"",0)))))))</f>
        <v/>
      </c>
      <c r="R94" s="9" t="str">
        <f aca="false">IF($A94="","",IF(COUNTIFS(Despiece!$A$6:$A$705,$A94,Despiece!$D$6:$D$705,"Tela 2",Despiece!$F$6:$F$705,"&gt;0")=0,"",SUMIFS(Despiece!$F$6:$F$705,Despiece!$A$6:$A$705,$A94,Despiece!$D$6:$D$705,"Tela 2")))</f>
        <v/>
      </c>
      <c r="S94" s="9" t="str">
        <f aca="false">IF($A94="","",IFERROR(AVERAGEIFS(Mediciones!$K$6:$K$305,Mediciones!$C$6:$C$305,$A94,Mediciones!$D$6:$D$305,"Tela 2"),""))</f>
        <v/>
      </c>
      <c r="T94" s="28" t="str">
        <f aca="false">IF($A94="","",IF($N94="Despiece",IF(ISNUMBER(R94),R94*(1+Parametros!$B$22),IF(COUNTIFS(Despiece!$A$6:$A$705,$A94,Despiece!$D$6:$D$705,"Tela 2")&gt;0,"",0)),IF($N94="Medición real",IF(ISNUMBER(S94),S94,IF(COUNTIFS(Mediciones!$C$6:$C$305,$A94,Mediciones!$D$6:$D$305,"Tela 2")&gt;0,"",0)),IF(ISNUMBER(S94),S94,IF(ISNUMBER(R94),R94*(1+Parametros!$B$22),IF(OR(COUNTIFS(Despiece!$A$6:$A$705,$A94,Despiece!$D$6:$D$705,"Tela 2")&gt;0,COUNTIFS(Mediciones!$C$6:$C$305,$A94,Mediciones!$D$6:$D$305,"Tela 2")&gt;0),"",0))))))</f>
        <v/>
      </c>
      <c r="U94" s="9" t="str">
        <f aca="false">IF($A94="","",IF(COUNTIFS(Despiece!$A$6:$A$705,$A94,Despiece!$D$6:$D$705,"Tela 3",Despiece!$F$6:$F$705,"&gt;0")=0,"",SUMIFS(Despiece!$F$6:$F$705,Despiece!$A$6:$A$705,$A94,Despiece!$D$6:$D$705,"Tela 3")))</f>
        <v/>
      </c>
      <c r="V94" s="9" t="str">
        <f aca="false">IF($A94="","",IFERROR(AVERAGEIFS(Mediciones!$K$6:$K$305,Mediciones!$C$6:$C$305,$A94,Mediciones!$D$6:$D$305,"Tela 3"),""))</f>
        <v/>
      </c>
      <c r="W94" s="28" t="str">
        <f aca="false">IF($A94="","",IF($N94="Despiece",IF(ISNUMBER(U94),U94*(1+Parametros!$B$22),IF(COUNTIFS(Despiece!$A$6:$A$705,$A94,Despiece!$D$6:$D$705,"Tela 3")&gt;0,"",0)),IF($N94="Medición real",IF(ISNUMBER(V94),V94,IF(COUNTIFS(Mediciones!$C$6:$C$305,$A94,Mediciones!$D$6:$D$305,"Tela 3")&gt;0,"",0)),IF(ISNUMBER(V94),V94,IF(ISNUMBER(U94),U94*(1+Parametros!$B$22),IF(OR(COUNTIFS(Despiece!$A$6:$A$705,$A94,Despiece!$D$6:$D$705,"Tela 3")&gt;0,COUNTIFS(Mediciones!$C$6:$C$305,$A94,Mediciones!$D$6:$D$305,"Tela 3")&gt;0),"",0))))))</f>
        <v/>
      </c>
      <c r="X94" s="27"/>
      <c r="Y94" s="9" t="str">
        <f aca="false">IF($A94="","",IF(ISNUMBER(X94),X94,IF(COUNTIFS(Despiece!$A$6:$A$705,$A94,Despiece!$E$6:$E$705,"Sublimada",Despiece!$F$6:$F$705,"&gt;0")&gt;0,SUMIFS(Despiece!$F$6:$F$705,Despiece!$A$6:$A$705,$A94,Despiece!$E$6:$E$705,"Sublimada")*(1+Parametros!$B$22),IF(COUNTIFS(Despiece!$A$6:$A$705,$A94,Despiece!$E$6:$E$705,"Sublimada")=0,0,""))))</f>
        <v/>
      </c>
      <c r="Z94" s="10" t="str">
        <f aca="false">IF($A94="","",IFERROR(IF(ISNUMBER(Q94),IF(Q94=0,0,Q94*INDEX(Telas!$I$6:$I$105,MATCH(K94,Telas!$A$6:$A$105,0))),NA())+IF(ISNUMBER(T94),IF(T94=0,0,T94*INDEX(Telas!$I$6:$I$105,MATCH(L94,Telas!$A$6:$A$105,0))),NA())+IF(ISNUMBER(W94),IF(W94=0,0,W94*INDEX(Telas!$I$6:$I$105,MATCH(IF(M94="",K94,M94),Telas!$A$6:$A$105,0))),NA()),""))</f>
        <v/>
      </c>
      <c r="AA94" s="10" t="str">
        <f aca="false">IF($A94="","",IF(ISNUMBER(Y94),Y94*Parametros!$B$19,""))</f>
        <v/>
      </c>
      <c r="AB94" s="10" t="str">
        <f aca="false">IF(OR($A94="",F94=""),"",IFERROR(INDEX(Confeccion!$B$6:$B$125,MATCH(F94,Confeccion!$A$6:$A$125,0)),""))</f>
        <v/>
      </c>
      <c r="AC94" s="10" t="str">
        <f aca="false">IF($A94="","",IFERROR(N(H94)*IF(G94="",0,INDEX(Avios!$C$6:$C$65,MATCH(G94,Avios!$A$6:$A$65,0)))+N(J94)*IF(I94="",0,INDEX(Avios!$C$6:$C$65,MATCH(I94,Avios!$A$6:$A$65,0))),""))</f>
        <v/>
      </c>
      <c r="AD94" s="11" t="str">
        <f aca="false">IF($A94="","",IFERROR(Z94+AA94+AB94+AC94,""))</f>
        <v/>
      </c>
      <c r="AE94" s="10" t="str">
        <f aca="false">IF(ISNUMBER(AD94),AD94*Parametros!$B$12,"")</f>
        <v/>
      </c>
      <c r="AF94" s="29" t="str">
        <f aca="false">IF(AND(ISNUMBER(Q94),K94&lt;&gt;""),IFERROR(1/(Q94*INDEX(Telas!$G$6:$G$105,MATCH(K94,Telas!$A$6:$A$105,0))),""),"")</f>
        <v/>
      </c>
      <c r="AG94" s="0" t="str">
        <f aca="false">IF($A94="","",IF(ISNUMBER(AD94),IF(AND(N(Y94)&gt;0,N(Parametros!$B$19)=0),"Lista, pero sin costo de impresión (Parametros)","Lista"),IF(Q94="","Consumo tela principal (Despiece o Mediciones). ","")&amp;IF(COUNTIFS(Mediciones!$C$6:$C$305,$A94,Mediciones!$K$6:$K$305,"")&gt;0,"Pesar 1 m de la tela medida (Telas, kg por metro). ","")&amp;IF(T94="","Consumo Tela 2. ","")&amp;IF(W94="","Consumo Tela 3. ","")&amp;IF(K94="","Elegir tela principal. ",IF(ISERROR(INDEX(Telas!$I$6:$I$105,MATCH(K94,Telas!$A$6:$A$105,0))*1),"Precio o peso por metro de "&amp;K94&amp;". ",""))&amp;IF(AND(N(T94)&gt;0,L94=""),"Elegir Tela 2. ",IF(AND(N(T94)&gt;0,ISERROR(INDEX(Telas!$I$6:$I$105,MATCH(L94,Telas!$A$6:$A$105,0))*1)),"Precio o peso por metro de "&amp;L94&amp;". ",""))&amp;IF(Y94="","Metros impresos. ","")&amp;IF(F94="","Tipo de confección. ",IF(AB94="","Precio de confección. ",""))))</f>
        <v/>
      </c>
      <c r="AH94" s="27"/>
    </row>
    <row r="95" customFormat="false" ht="15" hidden="false" customHeight="false" outlineLevel="0" collapsed="false">
      <c r="A95" s="27"/>
      <c r="B95" s="27"/>
      <c r="C95" s="27"/>
      <c r="D95" s="27"/>
      <c r="E95" s="27"/>
      <c r="F95" s="27"/>
      <c r="G95" s="8"/>
      <c r="H95" s="27"/>
      <c r="I95" s="8"/>
      <c r="J95" s="27"/>
      <c r="K95" s="8"/>
      <c r="L95" s="8"/>
      <c r="M95" s="8"/>
      <c r="N95" s="8"/>
      <c r="O95" s="9" t="str">
        <f aca="false">IF($A95="","",IF(COUNTIFS(Despiece!$A$6:$A$705,$A95,Despiece!$D$6:$D$705,"Tela principal",Despiece!$F$6:$F$705,"&gt;0")=0,"",SUMIFS(Despiece!$F$6:$F$705,Despiece!$A$6:$A$705,$A95,Despiece!$D$6:$D$705,"Tela principal")))</f>
        <v/>
      </c>
      <c r="P95" s="9" t="str">
        <f aca="false">IF($A95="","",IFERROR(AVERAGEIFS(Mediciones!$K$6:$K$305,Mediciones!$C$6:$C$305,$A95,Mediciones!$D$6:$D$305,"Tela principal"),""))</f>
        <v/>
      </c>
      <c r="Q95" s="28" t="str">
        <f aca="false">IF($A95="","",IF(N(IF($N95="Despiece",IF(ISNUMBER(O95),O95*(1+Parametros!$B$22),IF(COUNTIFS(Despiece!$A$6:$A$705,$A95,Despiece!$D$6:$D$705,"Tela principal")&gt;0,"",0)),IF($N95="Medición real",IF(ISNUMBER(P95),P95,IF(COUNTIFS(Mediciones!$C$6:$C$305,$A95,Mediciones!$D$6:$D$305,"Tela principal")&gt;0,"",0)),IF(ISNUMBER(P95),P95,IF(ISNUMBER(O95),O95*(1+Parametros!$B$22),IF(OR(COUNTIFS(Despiece!$A$6:$A$705,$A95,Despiece!$D$6:$D$705,"Tela principal")&gt;0,COUNTIFS(Mediciones!$C$6:$C$305,$A95,Mediciones!$D$6:$D$305,"Tela principal")&gt;0),"",0))))))=0,"",IF($N95="Despiece",IF(ISNUMBER(O95),O95*(1+Parametros!$B$22),IF(COUNTIFS(Despiece!$A$6:$A$705,$A95,Despiece!$D$6:$D$705,"Tela principal")&gt;0,"",0)),IF($N95="Medición real",IF(ISNUMBER(P95),P95,IF(COUNTIFS(Mediciones!$C$6:$C$305,$A95,Mediciones!$D$6:$D$305,"Tela principal")&gt;0,"",0)),IF(ISNUMBER(P95),P95,IF(ISNUMBER(O95),O95*(1+Parametros!$B$22),IF(OR(COUNTIFS(Despiece!$A$6:$A$705,$A95,Despiece!$D$6:$D$705,"Tela principal")&gt;0,COUNTIFS(Mediciones!$C$6:$C$305,$A95,Mediciones!$D$6:$D$305,"Tela principal")&gt;0),"",0)))))))</f>
        <v/>
      </c>
      <c r="R95" s="9" t="str">
        <f aca="false">IF($A95="","",IF(COUNTIFS(Despiece!$A$6:$A$705,$A95,Despiece!$D$6:$D$705,"Tela 2",Despiece!$F$6:$F$705,"&gt;0")=0,"",SUMIFS(Despiece!$F$6:$F$705,Despiece!$A$6:$A$705,$A95,Despiece!$D$6:$D$705,"Tela 2")))</f>
        <v/>
      </c>
      <c r="S95" s="9" t="str">
        <f aca="false">IF($A95="","",IFERROR(AVERAGEIFS(Mediciones!$K$6:$K$305,Mediciones!$C$6:$C$305,$A95,Mediciones!$D$6:$D$305,"Tela 2"),""))</f>
        <v/>
      </c>
      <c r="T95" s="28" t="str">
        <f aca="false">IF($A95="","",IF($N95="Despiece",IF(ISNUMBER(R95),R95*(1+Parametros!$B$22),IF(COUNTIFS(Despiece!$A$6:$A$705,$A95,Despiece!$D$6:$D$705,"Tela 2")&gt;0,"",0)),IF($N95="Medición real",IF(ISNUMBER(S95),S95,IF(COUNTIFS(Mediciones!$C$6:$C$305,$A95,Mediciones!$D$6:$D$305,"Tela 2")&gt;0,"",0)),IF(ISNUMBER(S95),S95,IF(ISNUMBER(R95),R95*(1+Parametros!$B$22),IF(OR(COUNTIFS(Despiece!$A$6:$A$705,$A95,Despiece!$D$6:$D$705,"Tela 2")&gt;0,COUNTIFS(Mediciones!$C$6:$C$305,$A95,Mediciones!$D$6:$D$305,"Tela 2")&gt;0),"",0))))))</f>
        <v/>
      </c>
      <c r="U95" s="9" t="str">
        <f aca="false">IF($A95="","",IF(COUNTIFS(Despiece!$A$6:$A$705,$A95,Despiece!$D$6:$D$705,"Tela 3",Despiece!$F$6:$F$705,"&gt;0")=0,"",SUMIFS(Despiece!$F$6:$F$705,Despiece!$A$6:$A$705,$A95,Despiece!$D$6:$D$705,"Tela 3")))</f>
        <v/>
      </c>
      <c r="V95" s="9" t="str">
        <f aca="false">IF($A95="","",IFERROR(AVERAGEIFS(Mediciones!$K$6:$K$305,Mediciones!$C$6:$C$305,$A95,Mediciones!$D$6:$D$305,"Tela 3"),""))</f>
        <v/>
      </c>
      <c r="W95" s="28" t="str">
        <f aca="false">IF($A95="","",IF($N95="Despiece",IF(ISNUMBER(U95),U95*(1+Parametros!$B$22),IF(COUNTIFS(Despiece!$A$6:$A$705,$A95,Despiece!$D$6:$D$705,"Tela 3")&gt;0,"",0)),IF($N95="Medición real",IF(ISNUMBER(V95),V95,IF(COUNTIFS(Mediciones!$C$6:$C$305,$A95,Mediciones!$D$6:$D$305,"Tela 3")&gt;0,"",0)),IF(ISNUMBER(V95),V95,IF(ISNUMBER(U95),U95*(1+Parametros!$B$22),IF(OR(COUNTIFS(Despiece!$A$6:$A$705,$A95,Despiece!$D$6:$D$705,"Tela 3")&gt;0,COUNTIFS(Mediciones!$C$6:$C$305,$A95,Mediciones!$D$6:$D$305,"Tela 3")&gt;0),"",0))))))</f>
        <v/>
      </c>
      <c r="X95" s="27"/>
      <c r="Y95" s="9" t="str">
        <f aca="false">IF($A95="","",IF(ISNUMBER(X95),X95,IF(COUNTIFS(Despiece!$A$6:$A$705,$A95,Despiece!$E$6:$E$705,"Sublimada",Despiece!$F$6:$F$705,"&gt;0")&gt;0,SUMIFS(Despiece!$F$6:$F$705,Despiece!$A$6:$A$705,$A95,Despiece!$E$6:$E$705,"Sublimada")*(1+Parametros!$B$22),IF(COUNTIFS(Despiece!$A$6:$A$705,$A95,Despiece!$E$6:$E$705,"Sublimada")=0,0,""))))</f>
        <v/>
      </c>
      <c r="Z95" s="10" t="str">
        <f aca="false">IF($A95="","",IFERROR(IF(ISNUMBER(Q95),IF(Q95=0,0,Q95*INDEX(Telas!$I$6:$I$105,MATCH(K95,Telas!$A$6:$A$105,0))),NA())+IF(ISNUMBER(T95),IF(T95=0,0,T95*INDEX(Telas!$I$6:$I$105,MATCH(L95,Telas!$A$6:$A$105,0))),NA())+IF(ISNUMBER(W95),IF(W95=0,0,W95*INDEX(Telas!$I$6:$I$105,MATCH(IF(M95="",K95,M95),Telas!$A$6:$A$105,0))),NA()),""))</f>
        <v/>
      </c>
      <c r="AA95" s="10" t="str">
        <f aca="false">IF($A95="","",IF(ISNUMBER(Y95),Y95*Parametros!$B$19,""))</f>
        <v/>
      </c>
      <c r="AB95" s="10" t="str">
        <f aca="false">IF(OR($A95="",F95=""),"",IFERROR(INDEX(Confeccion!$B$6:$B$125,MATCH(F95,Confeccion!$A$6:$A$125,0)),""))</f>
        <v/>
      </c>
      <c r="AC95" s="10" t="str">
        <f aca="false">IF($A95="","",IFERROR(N(H95)*IF(G95="",0,INDEX(Avios!$C$6:$C$65,MATCH(G95,Avios!$A$6:$A$65,0)))+N(J95)*IF(I95="",0,INDEX(Avios!$C$6:$C$65,MATCH(I95,Avios!$A$6:$A$65,0))),""))</f>
        <v/>
      </c>
      <c r="AD95" s="11" t="str">
        <f aca="false">IF($A95="","",IFERROR(Z95+AA95+AB95+AC95,""))</f>
        <v/>
      </c>
      <c r="AE95" s="10" t="str">
        <f aca="false">IF(ISNUMBER(AD95),AD95*Parametros!$B$12,"")</f>
        <v/>
      </c>
      <c r="AF95" s="29" t="str">
        <f aca="false">IF(AND(ISNUMBER(Q95),K95&lt;&gt;""),IFERROR(1/(Q95*INDEX(Telas!$G$6:$G$105,MATCH(K95,Telas!$A$6:$A$105,0))),""),"")</f>
        <v/>
      </c>
      <c r="AG95" s="0" t="str">
        <f aca="false">IF($A95="","",IF(ISNUMBER(AD95),IF(AND(N(Y95)&gt;0,N(Parametros!$B$19)=0),"Lista, pero sin costo de impresión (Parametros)","Lista"),IF(Q95="","Consumo tela principal (Despiece o Mediciones). ","")&amp;IF(COUNTIFS(Mediciones!$C$6:$C$305,$A95,Mediciones!$K$6:$K$305,"")&gt;0,"Pesar 1 m de la tela medida (Telas, kg por metro). ","")&amp;IF(T95="","Consumo Tela 2. ","")&amp;IF(W95="","Consumo Tela 3. ","")&amp;IF(K95="","Elegir tela principal. ",IF(ISERROR(INDEX(Telas!$I$6:$I$105,MATCH(K95,Telas!$A$6:$A$105,0))*1),"Precio o peso por metro de "&amp;K95&amp;". ",""))&amp;IF(AND(N(T95)&gt;0,L95=""),"Elegir Tela 2. ",IF(AND(N(T95)&gt;0,ISERROR(INDEX(Telas!$I$6:$I$105,MATCH(L95,Telas!$A$6:$A$105,0))*1)),"Precio o peso por metro de "&amp;L95&amp;". ",""))&amp;IF(Y95="","Metros impresos. ","")&amp;IF(F95="","Tipo de confección. ",IF(AB95="","Precio de confección. ",""))))</f>
        <v/>
      </c>
      <c r="AH95" s="27"/>
    </row>
    <row r="96" customFormat="false" ht="15" hidden="false" customHeight="false" outlineLevel="0" collapsed="false">
      <c r="A96" s="27"/>
      <c r="B96" s="27"/>
      <c r="C96" s="27"/>
      <c r="D96" s="27"/>
      <c r="E96" s="27"/>
      <c r="F96" s="27"/>
      <c r="G96" s="8"/>
      <c r="H96" s="27"/>
      <c r="I96" s="8"/>
      <c r="J96" s="27"/>
      <c r="K96" s="8"/>
      <c r="L96" s="8"/>
      <c r="M96" s="8"/>
      <c r="N96" s="8"/>
      <c r="O96" s="9" t="str">
        <f aca="false">IF($A96="","",IF(COUNTIFS(Despiece!$A$6:$A$705,$A96,Despiece!$D$6:$D$705,"Tela principal",Despiece!$F$6:$F$705,"&gt;0")=0,"",SUMIFS(Despiece!$F$6:$F$705,Despiece!$A$6:$A$705,$A96,Despiece!$D$6:$D$705,"Tela principal")))</f>
        <v/>
      </c>
      <c r="P96" s="9" t="str">
        <f aca="false">IF($A96="","",IFERROR(AVERAGEIFS(Mediciones!$K$6:$K$305,Mediciones!$C$6:$C$305,$A96,Mediciones!$D$6:$D$305,"Tela principal"),""))</f>
        <v/>
      </c>
      <c r="Q96" s="28" t="str">
        <f aca="false">IF($A96="","",IF(N(IF($N96="Despiece",IF(ISNUMBER(O96),O96*(1+Parametros!$B$22),IF(COUNTIFS(Despiece!$A$6:$A$705,$A96,Despiece!$D$6:$D$705,"Tela principal")&gt;0,"",0)),IF($N96="Medición real",IF(ISNUMBER(P96),P96,IF(COUNTIFS(Mediciones!$C$6:$C$305,$A96,Mediciones!$D$6:$D$305,"Tela principal")&gt;0,"",0)),IF(ISNUMBER(P96),P96,IF(ISNUMBER(O96),O96*(1+Parametros!$B$22),IF(OR(COUNTIFS(Despiece!$A$6:$A$705,$A96,Despiece!$D$6:$D$705,"Tela principal")&gt;0,COUNTIFS(Mediciones!$C$6:$C$305,$A96,Mediciones!$D$6:$D$305,"Tela principal")&gt;0),"",0))))))=0,"",IF($N96="Despiece",IF(ISNUMBER(O96),O96*(1+Parametros!$B$22),IF(COUNTIFS(Despiece!$A$6:$A$705,$A96,Despiece!$D$6:$D$705,"Tela principal")&gt;0,"",0)),IF($N96="Medición real",IF(ISNUMBER(P96),P96,IF(COUNTIFS(Mediciones!$C$6:$C$305,$A96,Mediciones!$D$6:$D$305,"Tela principal")&gt;0,"",0)),IF(ISNUMBER(P96),P96,IF(ISNUMBER(O96),O96*(1+Parametros!$B$22),IF(OR(COUNTIFS(Despiece!$A$6:$A$705,$A96,Despiece!$D$6:$D$705,"Tela principal")&gt;0,COUNTIFS(Mediciones!$C$6:$C$305,$A96,Mediciones!$D$6:$D$305,"Tela principal")&gt;0),"",0)))))))</f>
        <v/>
      </c>
      <c r="R96" s="9" t="str">
        <f aca="false">IF($A96="","",IF(COUNTIFS(Despiece!$A$6:$A$705,$A96,Despiece!$D$6:$D$705,"Tela 2",Despiece!$F$6:$F$705,"&gt;0")=0,"",SUMIFS(Despiece!$F$6:$F$705,Despiece!$A$6:$A$705,$A96,Despiece!$D$6:$D$705,"Tela 2")))</f>
        <v/>
      </c>
      <c r="S96" s="9" t="str">
        <f aca="false">IF($A96="","",IFERROR(AVERAGEIFS(Mediciones!$K$6:$K$305,Mediciones!$C$6:$C$305,$A96,Mediciones!$D$6:$D$305,"Tela 2"),""))</f>
        <v/>
      </c>
      <c r="T96" s="28" t="str">
        <f aca="false">IF($A96="","",IF($N96="Despiece",IF(ISNUMBER(R96),R96*(1+Parametros!$B$22),IF(COUNTIFS(Despiece!$A$6:$A$705,$A96,Despiece!$D$6:$D$705,"Tela 2")&gt;0,"",0)),IF($N96="Medición real",IF(ISNUMBER(S96),S96,IF(COUNTIFS(Mediciones!$C$6:$C$305,$A96,Mediciones!$D$6:$D$305,"Tela 2")&gt;0,"",0)),IF(ISNUMBER(S96),S96,IF(ISNUMBER(R96),R96*(1+Parametros!$B$22),IF(OR(COUNTIFS(Despiece!$A$6:$A$705,$A96,Despiece!$D$6:$D$705,"Tela 2")&gt;0,COUNTIFS(Mediciones!$C$6:$C$305,$A96,Mediciones!$D$6:$D$305,"Tela 2")&gt;0),"",0))))))</f>
        <v/>
      </c>
      <c r="U96" s="9" t="str">
        <f aca="false">IF($A96="","",IF(COUNTIFS(Despiece!$A$6:$A$705,$A96,Despiece!$D$6:$D$705,"Tela 3",Despiece!$F$6:$F$705,"&gt;0")=0,"",SUMIFS(Despiece!$F$6:$F$705,Despiece!$A$6:$A$705,$A96,Despiece!$D$6:$D$705,"Tela 3")))</f>
        <v/>
      </c>
      <c r="V96" s="9" t="str">
        <f aca="false">IF($A96="","",IFERROR(AVERAGEIFS(Mediciones!$K$6:$K$305,Mediciones!$C$6:$C$305,$A96,Mediciones!$D$6:$D$305,"Tela 3"),""))</f>
        <v/>
      </c>
      <c r="W96" s="28" t="str">
        <f aca="false">IF($A96="","",IF($N96="Despiece",IF(ISNUMBER(U96),U96*(1+Parametros!$B$22),IF(COUNTIFS(Despiece!$A$6:$A$705,$A96,Despiece!$D$6:$D$705,"Tela 3")&gt;0,"",0)),IF($N96="Medición real",IF(ISNUMBER(V96),V96,IF(COUNTIFS(Mediciones!$C$6:$C$305,$A96,Mediciones!$D$6:$D$305,"Tela 3")&gt;0,"",0)),IF(ISNUMBER(V96),V96,IF(ISNUMBER(U96),U96*(1+Parametros!$B$22),IF(OR(COUNTIFS(Despiece!$A$6:$A$705,$A96,Despiece!$D$6:$D$705,"Tela 3")&gt;0,COUNTIFS(Mediciones!$C$6:$C$305,$A96,Mediciones!$D$6:$D$305,"Tela 3")&gt;0),"",0))))))</f>
        <v/>
      </c>
      <c r="X96" s="27"/>
      <c r="Y96" s="9" t="str">
        <f aca="false">IF($A96="","",IF(ISNUMBER(X96),X96,IF(COUNTIFS(Despiece!$A$6:$A$705,$A96,Despiece!$E$6:$E$705,"Sublimada",Despiece!$F$6:$F$705,"&gt;0")&gt;0,SUMIFS(Despiece!$F$6:$F$705,Despiece!$A$6:$A$705,$A96,Despiece!$E$6:$E$705,"Sublimada")*(1+Parametros!$B$22),IF(COUNTIFS(Despiece!$A$6:$A$705,$A96,Despiece!$E$6:$E$705,"Sublimada")=0,0,""))))</f>
        <v/>
      </c>
      <c r="Z96" s="10" t="str">
        <f aca="false">IF($A96="","",IFERROR(IF(ISNUMBER(Q96),IF(Q96=0,0,Q96*INDEX(Telas!$I$6:$I$105,MATCH(K96,Telas!$A$6:$A$105,0))),NA())+IF(ISNUMBER(T96),IF(T96=0,0,T96*INDEX(Telas!$I$6:$I$105,MATCH(L96,Telas!$A$6:$A$105,0))),NA())+IF(ISNUMBER(W96),IF(W96=0,0,W96*INDEX(Telas!$I$6:$I$105,MATCH(IF(M96="",K96,M96),Telas!$A$6:$A$105,0))),NA()),""))</f>
        <v/>
      </c>
      <c r="AA96" s="10" t="str">
        <f aca="false">IF($A96="","",IF(ISNUMBER(Y96),Y96*Parametros!$B$19,""))</f>
        <v/>
      </c>
      <c r="AB96" s="10" t="str">
        <f aca="false">IF(OR($A96="",F96=""),"",IFERROR(INDEX(Confeccion!$B$6:$B$125,MATCH(F96,Confeccion!$A$6:$A$125,0)),""))</f>
        <v/>
      </c>
      <c r="AC96" s="10" t="str">
        <f aca="false">IF($A96="","",IFERROR(N(H96)*IF(G96="",0,INDEX(Avios!$C$6:$C$65,MATCH(G96,Avios!$A$6:$A$65,0)))+N(J96)*IF(I96="",0,INDEX(Avios!$C$6:$C$65,MATCH(I96,Avios!$A$6:$A$65,0))),""))</f>
        <v/>
      </c>
      <c r="AD96" s="11" t="str">
        <f aca="false">IF($A96="","",IFERROR(Z96+AA96+AB96+AC96,""))</f>
        <v/>
      </c>
      <c r="AE96" s="10" t="str">
        <f aca="false">IF(ISNUMBER(AD96),AD96*Parametros!$B$12,"")</f>
        <v/>
      </c>
      <c r="AF96" s="29" t="str">
        <f aca="false">IF(AND(ISNUMBER(Q96),K96&lt;&gt;""),IFERROR(1/(Q96*INDEX(Telas!$G$6:$G$105,MATCH(K96,Telas!$A$6:$A$105,0))),""),"")</f>
        <v/>
      </c>
      <c r="AG96" s="0" t="str">
        <f aca="false">IF($A96="","",IF(ISNUMBER(AD96),IF(AND(N(Y96)&gt;0,N(Parametros!$B$19)=0),"Lista, pero sin costo de impresión (Parametros)","Lista"),IF(Q96="","Consumo tela principal (Despiece o Mediciones). ","")&amp;IF(COUNTIFS(Mediciones!$C$6:$C$305,$A96,Mediciones!$K$6:$K$305,"")&gt;0,"Pesar 1 m de la tela medida (Telas, kg por metro). ","")&amp;IF(T96="","Consumo Tela 2. ","")&amp;IF(W96="","Consumo Tela 3. ","")&amp;IF(K96="","Elegir tela principal. ",IF(ISERROR(INDEX(Telas!$I$6:$I$105,MATCH(K96,Telas!$A$6:$A$105,0))*1),"Precio o peso por metro de "&amp;K96&amp;". ",""))&amp;IF(AND(N(T96)&gt;0,L96=""),"Elegir Tela 2. ",IF(AND(N(T96)&gt;0,ISERROR(INDEX(Telas!$I$6:$I$105,MATCH(L96,Telas!$A$6:$A$105,0))*1)),"Precio o peso por metro de "&amp;L96&amp;". ",""))&amp;IF(Y96="","Metros impresos. ","")&amp;IF(F96="","Tipo de confección. ",IF(AB96="","Precio de confección. ",""))))</f>
        <v/>
      </c>
      <c r="AH96" s="27"/>
    </row>
    <row r="97" customFormat="false" ht="15" hidden="false" customHeight="false" outlineLevel="0" collapsed="false">
      <c r="A97" s="27"/>
      <c r="B97" s="27"/>
      <c r="C97" s="27"/>
      <c r="D97" s="27"/>
      <c r="E97" s="27"/>
      <c r="F97" s="27"/>
      <c r="G97" s="8"/>
      <c r="H97" s="27"/>
      <c r="I97" s="8"/>
      <c r="J97" s="27"/>
      <c r="K97" s="8"/>
      <c r="L97" s="8"/>
      <c r="M97" s="8"/>
      <c r="N97" s="8"/>
      <c r="O97" s="9" t="str">
        <f aca="false">IF($A97="","",IF(COUNTIFS(Despiece!$A$6:$A$705,$A97,Despiece!$D$6:$D$705,"Tela principal",Despiece!$F$6:$F$705,"&gt;0")=0,"",SUMIFS(Despiece!$F$6:$F$705,Despiece!$A$6:$A$705,$A97,Despiece!$D$6:$D$705,"Tela principal")))</f>
        <v/>
      </c>
      <c r="P97" s="9" t="str">
        <f aca="false">IF($A97="","",IFERROR(AVERAGEIFS(Mediciones!$K$6:$K$305,Mediciones!$C$6:$C$305,$A97,Mediciones!$D$6:$D$305,"Tela principal"),""))</f>
        <v/>
      </c>
      <c r="Q97" s="28" t="str">
        <f aca="false">IF($A97="","",IF(N(IF($N97="Despiece",IF(ISNUMBER(O97),O97*(1+Parametros!$B$22),IF(COUNTIFS(Despiece!$A$6:$A$705,$A97,Despiece!$D$6:$D$705,"Tela principal")&gt;0,"",0)),IF($N97="Medición real",IF(ISNUMBER(P97),P97,IF(COUNTIFS(Mediciones!$C$6:$C$305,$A97,Mediciones!$D$6:$D$305,"Tela principal")&gt;0,"",0)),IF(ISNUMBER(P97),P97,IF(ISNUMBER(O97),O97*(1+Parametros!$B$22),IF(OR(COUNTIFS(Despiece!$A$6:$A$705,$A97,Despiece!$D$6:$D$705,"Tela principal")&gt;0,COUNTIFS(Mediciones!$C$6:$C$305,$A97,Mediciones!$D$6:$D$305,"Tela principal")&gt;0),"",0))))))=0,"",IF($N97="Despiece",IF(ISNUMBER(O97),O97*(1+Parametros!$B$22),IF(COUNTIFS(Despiece!$A$6:$A$705,$A97,Despiece!$D$6:$D$705,"Tela principal")&gt;0,"",0)),IF($N97="Medición real",IF(ISNUMBER(P97),P97,IF(COUNTIFS(Mediciones!$C$6:$C$305,$A97,Mediciones!$D$6:$D$305,"Tela principal")&gt;0,"",0)),IF(ISNUMBER(P97),P97,IF(ISNUMBER(O97),O97*(1+Parametros!$B$22),IF(OR(COUNTIFS(Despiece!$A$6:$A$705,$A97,Despiece!$D$6:$D$705,"Tela principal")&gt;0,COUNTIFS(Mediciones!$C$6:$C$305,$A97,Mediciones!$D$6:$D$305,"Tela principal")&gt;0),"",0)))))))</f>
        <v/>
      </c>
      <c r="R97" s="9" t="str">
        <f aca="false">IF($A97="","",IF(COUNTIFS(Despiece!$A$6:$A$705,$A97,Despiece!$D$6:$D$705,"Tela 2",Despiece!$F$6:$F$705,"&gt;0")=0,"",SUMIFS(Despiece!$F$6:$F$705,Despiece!$A$6:$A$705,$A97,Despiece!$D$6:$D$705,"Tela 2")))</f>
        <v/>
      </c>
      <c r="S97" s="9" t="str">
        <f aca="false">IF($A97="","",IFERROR(AVERAGEIFS(Mediciones!$K$6:$K$305,Mediciones!$C$6:$C$305,$A97,Mediciones!$D$6:$D$305,"Tela 2"),""))</f>
        <v/>
      </c>
      <c r="T97" s="28" t="str">
        <f aca="false">IF($A97="","",IF($N97="Despiece",IF(ISNUMBER(R97),R97*(1+Parametros!$B$22),IF(COUNTIFS(Despiece!$A$6:$A$705,$A97,Despiece!$D$6:$D$705,"Tela 2")&gt;0,"",0)),IF($N97="Medición real",IF(ISNUMBER(S97),S97,IF(COUNTIFS(Mediciones!$C$6:$C$305,$A97,Mediciones!$D$6:$D$305,"Tela 2")&gt;0,"",0)),IF(ISNUMBER(S97),S97,IF(ISNUMBER(R97),R97*(1+Parametros!$B$22),IF(OR(COUNTIFS(Despiece!$A$6:$A$705,$A97,Despiece!$D$6:$D$705,"Tela 2")&gt;0,COUNTIFS(Mediciones!$C$6:$C$305,$A97,Mediciones!$D$6:$D$305,"Tela 2")&gt;0),"",0))))))</f>
        <v/>
      </c>
      <c r="U97" s="9" t="str">
        <f aca="false">IF($A97="","",IF(COUNTIFS(Despiece!$A$6:$A$705,$A97,Despiece!$D$6:$D$705,"Tela 3",Despiece!$F$6:$F$705,"&gt;0")=0,"",SUMIFS(Despiece!$F$6:$F$705,Despiece!$A$6:$A$705,$A97,Despiece!$D$6:$D$705,"Tela 3")))</f>
        <v/>
      </c>
      <c r="V97" s="9" t="str">
        <f aca="false">IF($A97="","",IFERROR(AVERAGEIFS(Mediciones!$K$6:$K$305,Mediciones!$C$6:$C$305,$A97,Mediciones!$D$6:$D$305,"Tela 3"),""))</f>
        <v/>
      </c>
      <c r="W97" s="28" t="str">
        <f aca="false">IF($A97="","",IF($N97="Despiece",IF(ISNUMBER(U97),U97*(1+Parametros!$B$22),IF(COUNTIFS(Despiece!$A$6:$A$705,$A97,Despiece!$D$6:$D$705,"Tela 3")&gt;0,"",0)),IF($N97="Medición real",IF(ISNUMBER(V97),V97,IF(COUNTIFS(Mediciones!$C$6:$C$305,$A97,Mediciones!$D$6:$D$305,"Tela 3")&gt;0,"",0)),IF(ISNUMBER(V97),V97,IF(ISNUMBER(U97),U97*(1+Parametros!$B$22),IF(OR(COUNTIFS(Despiece!$A$6:$A$705,$A97,Despiece!$D$6:$D$705,"Tela 3")&gt;0,COUNTIFS(Mediciones!$C$6:$C$305,$A97,Mediciones!$D$6:$D$305,"Tela 3")&gt;0),"",0))))))</f>
        <v/>
      </c>
      <c r="X97" s="27"/>
      <c r="Y97" s="9" t="str">
        <f aca="false">IF($A97="","",IF(ISNUMBER(X97),X97,IF(COUNTIFS(Despiece!$A$6:$A$705,$A97,Despiece!$E$6:$E$705,"Sublimada",Despiece!$F$6:$F$705,"&gt;0")&gt;0,SUMIFS(Despiece!$F$6:$F$705,Despiece!$A$6:$A$705,$A97,Despiece!$E$6:$E$705,"Sublimada")*(1+Parametros!$B$22),IF(COUNTIFS(Despiece!$A$6:$A$705,$A97,Despiece!$E$6:$E$705,"Sublimada")=0,0,""))))</f>
        <v/>
      </c>
      <c r="Z97" s="10" t="str">
        <f aca="false">IF($A97="","",IFERROR(IF(ISNUMBER(Q97),IF(Q97=0,0,Q97*INDEX(Telas!$I$6:$I$105,MATCH(K97,Telas!$A$6:$A$105,0))),NA())+IF(ISNUMBER(T97),IF(T97=0,0,T97*INDEX(Telas!$I$6:$I$105,MATCH(L97,Telas!$A$6:$A$105,0))),NA())+IF(ISNUMBER(W97),IF(W97=0,0,W97*INDEX(Telas!$I$6:$I$105,MATCH(IF(M97="",K97,M97),Telas!$A$6:$A$105,0))),NA()),""))</f>
        <v/>
      </c>
      <c r="AA97" s="10" t="str">
        <f aca="false">IF($A97="","",IF(ISNUMBER(Y97),Y97*Parametros!$B$19,""))</f>
        <v/>
      </c>
      <c r="AB97" s="10" t="str">
        <f aca="false">IF(OR($A97="",F97=""),"",IFERROR(INDEX(Confeccion!$B$6:$B$125,MATCH(F97,Confeccion!$A$6:$A$125,0)),""))</f>
        <v/>
      </c>
      <c r="AC97" s="10" t="str">
        <f aca="false">IF($A97="","",IFERROR(N(H97)*IF(G97="",0,INDEX(Avios!$C$6:$C$65,MATCH(G97,Avios!$A$6:$A$65,0)))+N(J97)*IF(I97="",0,INDEX(Avios!$C$6:$C$65,MATCH(I97,Avios!$A$6:$A$65,0))),""))</f>
        <v/>
      </c>
      <c r="AD97" s="11" t="str">
        <f aca="false">IF($A97="","",IFERROR(Z97+AA97+AB97+AC97,""))</f>
        <v/>
      </c>
      <c r="AE97" s="10" t="str">
        <f aca="false">IF(ISNUMBER(AD97),AD97*Parametros!$B$12,"")</f>
        <v/>
      </c>
      <c r="AF97" s="29" t="str">
        <f aca="false">IF(AND(ISNUMBER(Q97),K97&lt;&gt;""),IFERROR(1/(Q97*INDEX(Telas!$G$6:$G$105,MATCH(K97,Telas!$A$6:$A$105,0))),""),"")</f>
        <v/>
      </c>
      <c r="AG97" s="0" t="str">
        <f aca="false">IF($A97="","",IF(ISNUMBER(AD97),IF(AND(N(Y97)&gt;0,N(Parametros!$B$19)=0),"Lista, pero sin costo de impresión (Parametros)","Lista"),IF(Q97="","Consumo tela principal (Despiece o Mediciones). ","")&amp;IF(COUNTIFS(Mediciones!$C$6:$C$305,$A97,Mediciones!$K$6:$K$305,"")&gt;0,"Pesar 1 m de la tela medida (Telas, kg por metro). ","")&amp;IF(T97="","Consumo Tela 2. ","")&amp;IF(W97="","Consumo Tela 3. ","")&amp;IF(K97="","Elegir tela principal. ",IF(ISERROR(INDEX(Telas!$I$6:$I$105,MATCH(K97,Telas!$A$6:$A$105,0))*1),"Precio o peso por metro de "&amp;K97&amp;". ",""))&amp;IF(AND(N(T97)&gt;0,L97=""),"Elegir Tela 2. ",IF(AND(N(T97)&gt;0,ISERROR(INDEX(Telas!$I$6:$I$105,MATCH(L97,Telas!$A$6:$A$105,0))*1)),"Precio o peso por metro de "&amp;L97&amp;". ",""))&amp;IF(Y97="","Metros impresos. ","")&amp;IF(F97="","Tipo de confección. ",IF(AB97="","Precio de confección. ",""))))</f>
        <v/>
      </c>
      <c r="AH97" s="27"/>
    </row>
    <row r="98" customFormat="false" ht="15" hidden="false" customHeight="false" outlineLevel="0" collapsed="false">
      <c r="A98" s="27"/>
      <c r="B98" s="27"/>
      <c r="C98" s="27"/>
      <c r="D98" s="27"/>
      <c r="E98" s="27"/>
      <c r="F98" s="27"/>
      <c r="G98" s="8"/>
      <c r="H98" s="27"/>
      <c r="I98" s="8"/>
      <c r="J98" s="27"/>
      <c r="K98" s="8"/>
      <c r="L98" s="8"/>
      <c r="M98" s="8"/>
      <c r="N98" s="8"/>
      <c r="O98" s="9" t="str">
        <f aca="false">IF($A98="","",IF(COUNTIFS(Despiece!$A$6:$A$705,$A98,Despiece!$D$6:$D$705,"Tela principal",Despiece!$F$6:$F$705,"&gt;0")=0,"",SUMIFS(Despiece!$F$6:$F$705,Despiece!$A$6:$A$705,$A98,Despiece!$D$6:$D$705,"Tela principal")))</f>
        <v/>
      </c>
      <c r="P98" s="9" t="str">
        <f aca="false">IF($A98="","",IFERROR(AVERAGEIFS(Mediciones!$K$6:$K$305,Mediciones!$C$6:$C$305,$A98,Mediciones!$D$6:$D$305,"Tela principal"),""))</f>
        <v/>
      </c>
      <c r="Q98" s="28" t="str">
        <f aca="false">IF($A98="","",IF(N(IF($N98="Despiece",IF(ISNUMBER(O98),O98*(1+Parametros!$B$22),IF(COUNTIFS(Despiece!$A$6:$A$705,$A98,Despiece!$D$6:$D$705,"Tela principal")&gt;0,"",0)),IF($N98="Medición real",IF(ISNUMBER(P98),P98,IF(COUNTIFS(Mediciones!$C$6:$C$305,$A98,Mediciones!$D$6:$D$305,"Tela principal")&gt;0,"",0)),IF(ISNUMBER(P98),P98,IF(ISNUMBER(O98),O98*(1+Parametros!$B$22),IF(OR(COUNTIFS(Despiece!$A$6:$A$705,$A98,Despiece!$D$6:$D$705,"Tela principal")&gt;0,COUNTIFS(Mediciones!$C$6:$C$305,$A98,Mediciones!$D$6:$D$305,"Tela principal")&gt;0),"",0))))))=0,"",IF($N98="Despiece",IF(ISNUMBER(O98),O98*(1+Parametros!$B$22),IF(COUNTIFS(Despiece!$A$6:$A$705,$A98,Despiece!$D$6:$D$705,"Tela principal")&gt;0,"",0)),IF($N98="Medición real",IF(ISNUMBER(P98),P98,IF(COUNTIFS(Mediciones!$C$6:$C$305,$A98,Mediciones!$D$6:$D$305,"Tela principal")&gt;0,"",0)),IF(ISNUMBER(P98),P98,IF(ISNUMBER(O98),O98*(1+Parametros!$B$22),IF(OR(COUNTIFS(Despiece!$A$6:$A$705,$A98,Despiece!$D$6:$D$705,"Tela principal")&gt;0,COUNTIFS(Mediciones!$C$6:$C$305,$A98,Mediciones!$D$6:$D$305,"Tela principal")&gt;0),"",0)))))))</f>
        <v/>
      </c>
      <c r="R98" s="9" t="str">
        <f aca="false">IF($A98="","",IF(COUNTIFS(Despiece!$A$6:$A$705,$A98,Despiece!$D$6:$D$705,"Tela 2",Despiece!$F$6:$F$705,"&gt;0")=0,"",SUMIFS(Despiece!$F$6:$F$705,Despiece!$A$6:$A$705,$A98,Despiece!$D$6:$D$705,"Tela 2")))</f>
        <v/>
      </c>
      <c r="S98" s="9" t="str">
        <f aca="false">IF($A98="","",IFERROR(AVERAGEIFS(Mediciones!$K$6:$K$305,Mediciones!$C$6:$C$305,$A98,Mediciones!$D$6:$D$305,"Tela 2"),""))</f>
        <v/>
      </c>
      <c r="T98" s="28" t="str">
        <f aca="false">IF($A98="","",IF($N98="Despiece",IF(ISNUMBER(R98),R98*(1+Parametros!$B$22),IF(COUNTIFS(Despiece!$A$6:$A$705,$A98,Despiece!$D$6:$D$705,"Tela 2")&gt;0,"",0)),IF($N98="Medición real",IF(ISNUMBER(S98),S98,IF(COUNTIFS(Mediciones!$C$6:$C$305,$A98,Mediciones!$D$6:$D$305,"Tela 2")&gt;0,"",0)),IF(ISNUMBER(S98),S98,IF(ISNUMBER(R98),R98*(1+Parametros!$B$22),IF(OR(COUNTIFS(Despiece!$A$6:$A$705,$A98,Despiece!$D$6:$D$705,"Tela 2")&gt;0,COUNTIFS(Mediciones!$C$6:$C$305,$A98,Mediciones!$D$6:$D$305,"Tela 2")&gt;0),"",0))))))</f>
        <v/>
      </c>
      <c r="U98" s="9" t="str">
        <f aca="false">IF($A98="","",IF(COUNTIFS(Despiece!$A$6:$A$705,$A98,Despiece!$D$6:$D$705,"Tela 3",Despiece!$F$6:$F$705,"&gt;0")=0,"",SUMIFS(Despiece!$F$6:$F$705,Despiece!$A$6:$A$705,$A98,Despiece!$D$6:$D$705,"Tela 3")))</f>
        <v/>
      </c>
      <c r="V98" s="9" t="str">
        <f aca="false">IF($A98="","",IFERROR(AVERAGEIFS(Mediciones!$K$6:$K$305,Mediciones!$C$6:$C$305,$A98,Mediciones!$D$6:$D$305,"Tela 3"),""))</f>
        <v/>
      </c>
      <c r="W98" s="28" t="str">
        <f aca="false">IF($A98="","",IF($N98="Despiece",IF(ISNUMBER(U98),U98*(1+Parametros!$B$22),IF(COUNTIFS(Despiece!$A$6:$A$705,$A98,Despiece!$D$6:$D$705,"Tela 3")&gt;0,"",0)),IF($N98="Medición real",IF(ISNUMBER(V98),V98,IF(COUNTIFS(Mediciones!$C$6:$C$305,$A98,Mediciones!$D$6:$D$305,"Tela 3")&gt;0,"",0)),IF(ISNUMBER(V98),V98,IF(ISNUMBER(U98),U98*(1+Parametros!$B$22),IF(OR(COUNTIFS(Despiece!$A$6:$A$705,$A98,Despiece!$D$6:$D$705,"Tela 3")&gt;0,COUNTIFS(Mediciones!$C$6:$C$305,$A98,Mediciones!$D$6:$D$305,"Tela 3")&gt;0),"",0))))))</f>
        <v/>
      </c>
      <c r="X98" s="27"/>
      <c r="Y98" s="9" t="str">
        <f aca="false">IF($A98="","",IF(ISNUMBER(X98),X98,IF(COUNTIFS(Despiece!$A$6:$A$705,$A98,Despiece!$E$6:$E$705,"Sublimada",Despiece!$F$6:$F$705,"&gt;0")&gt;0,SUMIFS(Despiece!$F$6:$F$705,Despiece!$A$6:$A$705,$A98,Despiece!$E$6:$E$705,"Sublimada")*(1+Parametros!$B$22),IF(COUNTIFS(Despiece!$A$6:$A$705,$A98,Despiece!$E$6:$E$705,"Sublimada")=0,0,""))))</f>
        <v/>
      </c>
      <c r="Z98" s="10" t="str">
        <f aca="false">IF($A98="","",IFERROR(IF(ISNUMBER(Q98),IF(Q98=0,0,Q98*INDEX(Telas!$I$6:$I$105,MATCH(K98,Telas!$A$6:$A$105,0))),NA())+IF(ISNUMBER(T98),IF(T98=0,0,T98*INDEX(Telas!$I$6:$I$105,MATCH(L98,Telas!$A$6:$A$105,0))),NA())+IF(ISNUMBER(W98),IF(W98=0,0,W98*INDEX(Telas!$I$6:$I$105,MATCH(IF(M98="",K98,M98),Telas!$A$6:$A$105,0))),NA()),""))</f>
        <v/>
      </c>
      <c r="AA98" s="10" t="str">
        <f aca="false">IF($A98="","",IF(ISNUMBER(Y98),Y98*Parametros!$B$19,""))</f>
        <v/>
      </c>
      <c r="AB98" s="10" t="str">
        <f aca="false">IF(OR($A98="",F98=""),"",IFERROR(INDEX(Confeccion!$B$6:$B$125,MATCH(F98,Confeccion!$A$6:$A$125,0)),""))</f>
        <v/>
      </c>
      <c r="AC98" s="10" t="str">
        <f aca="false">IF($A98="","",IFERROR(N(H98)*IF(G98="",0,INDEX(Avios!$C$6:$C$65,MATCH(G98,Avios!$A$6:$A$65,0)))+N(J98)*IF(I98="",0,INDEX(Avios!$C$6:$C$65,MATCH(I98,Avios!$A$6:$A$65,0))),""))</f>
        <v/>
      </c>
      <c r="AD98" s="11" t="str">
        <f aca="false">IF($A98="","",IFERROR(Z98+AA98+AB98+AC98,""))</f>
        <v/>
      </c>
      <c r="AE98" s="10" t="str">
        <f aca="false">IF(ISNUMBER(AD98),AD98*Parametros!$B$12,"")</f>
        <v/>
      </c>
      <c r="AF98" s="29" t="str">
        <f aca="false">IF(AND(ISNUMBER(Q98),K98&lt;&gt;""),IFERROR(1/(Q98*INDEX(Telas!$G$6:$G$105,MATCH(K98,Telas!$A$6:$A$105,0))),""),"")</f>
        <v/>
      </c>
      <c r="AG98" s="0" t="str">
        <f aca="false">IF($A98="","",IF(ISNUMBER(AD98),IF(AND(N(Y98)&gt;0,N(Parametros!$B$19)=0),"Lista, pero sin costo de impresión (Parametros)","Lista"),IF(Q98="","Consumo tela principal (Despiece o Mediciones). ","")&amp;IF(COUNTIFS(Mediciones!$C$6:$C$305,$A98,Mediciones!$K$6:$K$305,"")&gt;0,"Pesar 1 m de la tela medida (Telas, kg por metro). ","")&amp;IF(T98="","Consumo Tela 2. ","")&amp;IF(W98="","Consumo Tela 3. ","")&amp;IF(K98="","Elegir tela principal. ",IF(ISERROR(INDEX(Telas!$I$6:$I$105,MATCH(K98,Telas!$A$6:$A$105,0))*1),"Precio o peso por metro de "&amp;K98&amp;". ",""))&amp;IF(AND(N(T98)&gt;0,L98=""),"Elegir Tela 2. ",IF(AND(N(T98)&gt;0,ISERROR(INDEX(Telas!$I$6:$I$105,MATCH(L98,Telas!$A$6:$A$105,0))*1)),"Precio o peso por metro de "&amp;L98&amp;". ",""))&amp;IF(Y98="","Metros impresos. ","")&amp;IF(F98="","Tipo de confección. ",IF(AB98="","Precio de confección. ",""))))</f>
        <v/>
      </c>
      <c r="AH98" s="27"/>
    </row>
    <row r="99" customFormat="false" ht="15" hidden="false" customHeight="false" outlineLevel="0" collapsed="false">
      <c r="A99" s="27"/>
      <c r="B99" s="27"/>
      <c r="C99" s="27"/>
      <c r="D99" s="27"/>
      <c r="E99" s="27"/>
      <c r="F99" s="27"/>
      <c r="G99" s="8"/>
      <c r="H99" s="27"/>
      <c r="I99" s="8"/>
      <c r="J99" s="27"/>
      <c r="K99" s="8"/>
      <c r="L99" s="8"/>
      <c r="M99" s="8"/>
      <c r="N99" s="8"/>
      <c r="O99" s="9" t="str">
        <f aca="false">IF($A99="","",IF(COUNTIFS(Despiece!$A$6:$A$705,$A99,Despiece!$D$6:$D$705,"Tela principal",Despiece!$F$6:$F$705,"&gt;0")=0,"",SUMIFS(Despiece!$F$6:$F$705,Despiece!$A$6:$A$705,$A99,Despiece!$D$6:$D$705,"Tela principal")))</f>
        <v/>
      </c>
      <c r="P99" s="9" t="str">
        <f aca="false">IF($A99="","",IFERROR(AVERAGEIFS(Mediciones!$K$6:$K$305,Mediciones!$C$6:$C$305,$A99,Mediciones!$D$6:$D$305,"Tela principal"),""))</f>
        <v/>
      </c>
      <c r="Q99" s="28" t="str">
        <f aca="false">IF($A99="","",IF(N(IF($N99="Despiece",IF(ISNUMBER(O99),O99*(1+Parametros!$B$22),IF(COUNTIFS(Despiece!$A$6:$A$705,$A99,Despiece!$D$6:$D$705,"Tela principal")&gt;0,"",0)),IF($N99="Medición real",IF(ISNUMBER(P99),P99,IF(COUNTIFS(Mediciones!$C$6:$C$305,$A99,Mediciones!$D$6:$D$305,"Tela principal")&gt;0,"",0)),IF(ISNUMBER(P99),P99,IF(ISNUMBER(O99),O99*(1+Parametros!$B$22),IF(OR(COUNTIFS(Despiece!$A$6:$A$705,$A99,Despiece!$D$6:$D$705,"Tela principal")&gt;0,COUNTIFS(Mediciones!$C$6:$C$305,$A99,Mediciones!$D$6:$D$305,"Tela principal")&gt;0),"",0))))))=0,"",IF($N99="Despiece",IF(ISNUMBER(O99),O99*(1+Parametros!$B$22),IF(COUNTIFS(Despiece!$A$6:$A$705,$A99,Despiece!$D$6:$D$705,"Tela principal")&gt;0,"",0)),IF($N99="Medición real",IF(ISNUMBER(P99),P99,IF(COUNTIFS(Mediciones!$C$6:$C$305,$A99,Mediciones!$D$6:$D$305,"Tela principal")&gt;0,"",0)),IF(ISNUMBER(P99),P99,IF(ISNUMBER(O99),O99*(1+Parametros!$B$22),IF(OR(COUNTIFS(Despiece!$A$6:$A$705,$A99,Despiece!$D$6:$D$705,"Tela principal")&gt;0,COUNTIFS(Mediciones!$C$6:$C$305,$A99,Mediciones!$D$6:$D$305,"Tela principal")&gt;0),"",0)))))))</f>
        <v/>
      </c>
      <c r="R99" s="9" t="str">
        <f aca="false">IF($A99="","",IF(COUNTIFS(Despiece!$A$6:$A$705,$A99,Despiece!$D$6:$D$705,"Tela 2",Despiece!$F$6:$F$705,"&gt;0")=0,"",SUMIFS(Despiece!$F$6:$F$705,Despiece!$A$6:$A$705,$A99,Despiece!$D$6:$D$705,"Tela 2")))</f>
        <v/>
      </c>
      <c r="S99" s="9" t="str">
        <f aca="false">IF($A99="","",IFERROR(AVERAGEIFS(Mediciones!$K$6:$K$305,Mediciones!$C$6:$C$305,$A99,Mediciones!$D$6:$D$305,"Tela 2"),""))</f>
        <v/>
      </c>
      <c r="T99" s="28" t="str">
        <f aca="false">IF($A99="","",IF($N99="Despiece",IF(ISNUMBER(R99),R99*(1+Parametros!$B$22),IF(COUNTIFS(Despiece!$A$6:$A$705,$A99,Despiece!$D$6:$D$705,"Tela 2")&gt;0,"",0)),IF($N99="Medición real",IF(ISNUMBER(S99),S99,IF(COUNTIFS(Mediciones!$C$6:$C$305,$A99,Mediciones!$D$6:$D$305,"Tela 2")&gt;0,"",0)),IF(ISNUMBER(S99),S99,IF(ISNUMBER(R99),R99*(1+Parametros!$B$22),IF(OR(COUNTIFS(Despiece!$A$6:$A$705,$A99,Despiece!$D$6:$D$705,"Tela 2")&gt;0,COUNTIFS(Mediciones!$C$6:$C$305,$A99,Mediciones!$D$6:$D$305,"Tela 2")&gt;0),"",0))))))</f>
        <v/>
      </c>
      <c r="U99" s="9" t="str">
        <f aca="false">IF($A99="","",IF(COUNTIFS(Despiece!$A$6:$A$705,$A99,Despiece!$D$6:$D$705,"Tela 3",Despiece!$F$6:$F$705,"&gt;0")=0,"",SUMIFS(Despiece!$F$6:$F$705,Despiece!$A$6:$A$705,$A99,Despiece!$D$6:$D$705,"Tela 3")))</f>
        <v/>
      </c>
      <c r="V99" s="9" t="str">
        <f aca="false">IF($A99="","",IFERROR(AVERAGEIFS(Mediciones!$K$6:$K$305,Mediciones!$C$6:$C$305,$A99,Mediciones!$D$6:$D$305,"Tela 3"),""))</f>
        <v/>
      </c>
      <c r="W99" s="28" t="str">
        <f aca="false">IF($A99="","",IF($N99="Despiece",IF(ISNUMBER(U99),U99*(1+Parametros!$B$22),IF(COUNTIFS(Despiece!$A$6:$A$705,$A99,Despiece!$D$6:$D$705,"Tela 3")&gt;0,"",0)),IF($N99="Medición real",IF(ISNUMBER(V99),V99,IF(COUNTIFS(Mediciones!$C$6:$C$305,$A99,Mediciones!$D$6:$D$305,"Tela 3")&gt;0,"",0)),IF(ISNUMBER(V99),V99,IF(ISNUMBER(U99),U99*(1+Parametros!$B$22),IF(OR(COUNTIFS(Despiece!$A$6:$A$705,$A99,Despiece!$D$6:$D$705,"Tela 3")&gt;0,COUNTIFS(Mediciones!$C$6:$C$305,$A99,Mediciones!$D$6:$D$305,"Tela 3")&gt;0),"",0))))))</f>
        <v/>
      </c>
      <c r="X99" s="27"/>
      <c r="Y99" s="9" t="str">
        <f aca="false">IF($A99="","",IF(ISNUMBER(X99),X99,IF(COUNTIFS(Despiece!$A$6:$A$705,$A99,Despiece!$E$6:$E$705,"Sublimada",Despiece!$F$6:$F$705,"&gt;0")&gt;0,SUMIFS(Despiece!$F$6:$F$705,Despiece!$A$6:$A$705,$A99,Despiece!$E$6:$E$705,"Sublimada")*(1+Parametros!$B$22),IF(COUNTIFS(Despiece!$A$6:$A$705,$A99,Despiece!$E$6:$E$705,"Sublimada")=0,0,""))))</f>
        <v/>
      </c>
      <c r="Z99" s="10" t="str">
        <f aca="false">IF($A99="","",IFERROR(IF(ISNUMBER(Q99),IF(Q99=0,0,Q99*INDEX(Telas!$I$6:$I$105,MATCH(K99,Telas!$A$6:$A$105,0))),NA())+IF(ISNUMBER(T99),IF(T99=0,0,T99*INDEX(Telas!$I$6:$I$105,MATCH(L99,Telas!$A$6:$A$105,0))),NA())+IF(ISNUMBER(W99),IF(W99=0,0,W99*INDEX(Telas!$I$6:$I$105,MATCH(IF(M99="",K99,M99),Telas!$A$6:$A$105,0))),NA()),""))</f>
        <v/>
      </c>
      <c r="AA99" s="10" t="str">
        <f aca="false">IF($A99="","",IF(ISNUMBER(Y99),Y99*Parametros!$B$19,""))</f>
        <v/>
      </c>
      <c r="AB99" s="10" t="str">
        <f aca="false">IF(OR($A99="",F99=""),"",IFERROR(INDEX(Confeccion!$B$6:$B$125,MATCH(F99,Confeccion!$A$6:$A$125,0)),""))</f>
        <v/>
      </c>
      <c r="AC99" s="10" t="str">
        <f aca="false">IF($A99="","",IFERROR(N(H99)*IF(G99="",0,INDEX(Avios!$C$6:$C$65,MATCH(G99,Avios!$A$6:$A$65,0)))+N(J99)*IF(I99="",0,INDEX(Avios!$C$6:$C$65,MATCH(I99,Avios!$A$6:$A$65,0))),""))</f>
        <v/>
      </c>
      <c r="AD99" s="11" t="str">
        <f aca="false">IF($A99="","",IFERROR(Z99+AA99+AB99+AC99,""))</f>
        <v/>
      </c>
      <c r="AE99" s="10" t="str">
        <f aca="false">IF(ISNUMBER(AD99),AD99*Parametros!$B$12,"")</f>
        <v/>
      </c>
      <c r="AF99" s="29" t="str">
        <f aca="false">IF(AND(ISNUMBER(Q99),K99&lt;&gt;""),IFERROR(1/(Q99*INDEX(Telas!$G$6:$G$105,MATCH(K99,Telas!$A$6:$A$105,0))),""),"")</f>
        <v/>
      </c>
      <c r="AG99" s="0" t="str">
        <f aca="false">IF($A99="","",IF(ISNUMBER(AD99),IF(AND(N(Y99)&gt;0,N(Parametros!$B$19)=0),"Lista, pero sin costo de impresión (Parametros)","Lista"),IF(Q99="","Consumo tela principal (Despiece o Mediciones). ","")&amp;IF(COUNTIFS(Mediciones!$C$6:$C$305,$A99,Mediciones!$K$6:$K$305,"")&gt;0,"Pesar 1 m de la tela medida (Telas, kg por metro). ","")&amp;IF(T99="","Consumo Tela 2. ","")&amp;IF(W99="","Consumo Tela 3. ","")&amp;IF(K99="","Elegir tela principal. ",IF(ISERROR(INDEX(Telas!$I$6:$I$105,MATCH(K99,Telas!$A$6:$A$105,0))*1),"Precio o peso por metro de "&amp;K99&amp;". ",""))&amp;IF(AND(N(T99)&gt;0,L99=""),"Elegir Tela 2. ",IF(AND(N(T99)&gt;0,ISERROR(INDEX(Telas!$I$6:$I$105,MATCH(L99,Telas!$A$6:$A$105,0))*1)),"Precio o peso por metro de "&amp;L99&amp;". ",""))&amp;IF(Y99="","Metros impresos. ","")&amp;IF(F99="","Tipo de confección. ",IF(AB99="","Precio de confección. ",""))))</f>
        <v/>
      </c>
      <c r="AH99" s="27"/>
    </row>
    <row r="100" customFormat="false" ht="15" hidden="false" customHeight="false" outlineLevel="0" collapsed="false">
      <c r="A100" s="27"/>
      <c r="B100" s="27"/>
      <c r="C100" s="27"/>
      <c r="D100" s="27"/>
      <c r="E100" s="27"/>
      <c r="F100" s="27"/>
      <c r="G100" s="8"/>
      <c r="H100" s="27"/>
      <c r="I100" s="8"/>
      <c r="J100" s="27"/>
      <c r="K100" s="8"/>
      <c r="L100" s="8"/>
      <c r="M100" s="8"/>
      <c r="N100" s="8"/>
      <c r="O100" s="9" t="str">
        <f aca="false">IF($A100="","",IF(COUNTIFS(Despiece!$A$6:$A$705,$A100,Despiece!$D$6:$D$705,"Tela principal",Despiece!$F$6:$F$705,"&gt;0")=0,"",SUMIFS(Despiece!$F$6:$F$705,Despiece!$A$6:$A$705,$A100,Despiece!$D$6:$D$705,"Tela principal")))</f>
        <v/>
      </c>
      <c r="P100" s="9" t="str">
        <f aca="false">IF($A100="","",IFERROR(AVERAGEIFS(Mediciones!$K$6:$K$305,Mediciones!$C$6:$C$305,$A100,Mediciones!$D$6:$D$305,"Tela principal"),""))</f>
        <v/>
      </c>
      <c r="Q100" s="28" t="str">
        <f aca="false">IF($A100="","",IF(N(IF($N100="Despiece",IF(ISNUMBER(O100),O100*(1+Parametros!$B$22),IF(COUNTIFS(Despiece!$A$6:$A$705,$A100,Despiece!$D$6:$D$705,"Tela principal")&gt;0,"",0)),IF($N100="Medición real",IF(ISNUMBER(P100),P100,IF(COUNTIFS(Mediciones!$C$6:$C$305,$A100,Mediciones!$D$6:$D$305,"Tela principal")&gt;0,"",0)),IF(ISNUMBER(P100),P100,IF(ISNUMBER(O100),O100*(1+Parametros!$B$22),IF(OR(COUNTIFS(Despiece!$A$6:$A$705,$A100,Despiece!$D$6:$D$705,"Tela principal")&gt;0,COUNTIFS(Mediciones!$C$6:$C$305,$A100,Mediciones!$D$6:$D$305,"Tela principal")&gt;0),"",0))))))=0,"",IF($N100="Despiece",IF(ISNUMBER(O100),O100*(1+Parametros!$B$22),IF(COUNTIFS(Despiece!$A$6:$A$705,$A100,Despiece!$D$6:$D$705,"Tela principal")&gt;0,"",0)),IF($N100="Medición real",IF(ISNUMBER(P100),P100,IF(COUNTIFS(Mediciones!$C$6:$C$305,$A100,Mediciones!$D$6:$D$305,"Tela principal")&gt;0,"",0)),IF(ISNUMBER(P100),P100,IF(ISNUMBER(O100),O100*(1+Parametros!$B$22),IF(OR(COUNTIFS(Despiece!$A$6:$A$705,$A100,Despiece!$D$6:$D$705,"Tela principal")&gt;0,COUNTIFS(Mediciones!$C$6:$C$305,$A100,Mediciones!$D$6:$D$305,"Tela principal")&gt;0),"",0)))))))</f>
        <v/>
      </c>
      <c r="R100" s="9" t="str">
        <f aca="false">IF($A100="","",IF(COUNTIFS(Despiece!$A$6:$A$705,$A100,Despiece!$D$6:$D$705,"Tela 2",Despiece!$F$6:$F$705,"&gt;0")=0,"",SUMIFS(Despiece!$F$6:$F$705,Despiece!$A$6:$A$705,$A100,Despiece!$D$6:$D$705,"Tela 2")))</f>
        <v/>
      </c>
      <c r="S100" s="9" t="str">
        <f aca="false">IF($A100="","",IFERROR(AVERAGEIFS(Mediciones!$K$6:$K$305,Mediciones!$C$6:$C$305,$A100,Mediciones!$D$6:$D$305,"Tela 2"),""))</f>
        <v/>
      </c>
      <c r="T100" s="28" t="str">
        <f aca="false">IF($A100="","",IF($N100="Despiece",IF(ISNUMBER(R100),R100*(1+Parametros!$B$22),IF(COUNTIFS(Despiece!$A$6:$A$705,$A100,Despiece!$D$6:$D$705,"Tela 2")&gt;0,"",0)),IF($N100="Medición real",IF(ISNUMBER(S100),S100,IF(COUNTIFS(Mediciones!$C$6:$C$305,$A100,Mediciones!$D$6:$D$305,"Tela 2")&gt;0,"",0)),IF(ISNUMBER(S100),S100,IF(ISNUMBER(R100),R100*(1+Parametros!$B$22),IF(OR(COUNTIFS(Despiece!$A$6:$A$705,$A100,Despiece!$D$6:$D$705,"Tela 2")&gt;0,COUNTIFS(Mediciones!$C$6:$C$305,$A100,Mediciones!$D$6:$D$305,"Tela 2")&gt;0),"",0))))))</f>
        <v/>
      </c>
      <c r="U100" s="9" t="str">
        <f aca="false">IF($A100="","",IF(COUNTIFS(Despiece!$A$6:$A$705,$A100,Despiece!$D$6:$D$705,"Tela 3",Despiece!$F$6:$F$705,"&gt;0")=0,"",SUMIFS(Despiece!$F$6:$F$705,Despiece!$A$6:$A$705,$A100,Despiece!$D$6:$D$705,"Tela 3")))</f>
        <v/>
      </c>
      <c r="V100" s="9" t="str">
        <f aca="false">IF($A100="","",IFERROR(AVERAGEIFS(Mediciones!$K$6:$K$305,Mediciones!$C$6:$C$305,$A100,Mediciones!$D$6:$D$305,"Tela 3"),""))</f>
        <v/>
      </c>
      <c r="W100" s="28" t="str">
        <f aca="false">IF($A100="","",IF($N100="Despiece",IF(ISNUMBER(U100),U100*(1+Parametros!$B$22),IF(COUNTIFS(Despiece!$A$6:$A$705,$A100,Despiece!$D$6:$D$705,"Tela 3")&gt;0,"",0)),IF($N100="Medición real",IF(ISNUMBER(V100),V100,IF(COUNTIFS(Mediciones!$C$6:$C$305,$A100,Mediciones!$D$6:$D$305,"Tela 3")&gt;0,"",0)),IF(ISNUMBER(V100),V100,IF(ISNUMBER(U100),U100*(1+Parametros!$B$22),IF(OR(COUNTIFS(Despiece!$A$6:$A$705,$A100,Despiece!$D$6:$D$705,"Tela 3")&gt;0,COUNTIFS(Mediciones!$C$6:$C$305,$A100,Mediciones!$D$6:$D$305,"Tela 3")&gt;0),"",0))))))</f>
        <v/>
      </c>
      <c r="X100" s="27"/>
      <c r="Y100" s="9" t="str">
        <f aca="false">IF($A100="","",IF(ISNUMBER(X100),X100,IF(COUNTIFS(Despiece!$A$6:$A$705,$A100,Despiece!$E$6:$E$705,"Sublimada",Despiece!$F$6:$F$705,"&gt;0")&gt;0,SUMIFS(Despiece!$F$6:$F$705,Despiece!$A$6:$A$705,$A100,Despiece!$E$6:$E$705,"Sublimada")*(1+Parametros!$B$22),IF(COUNTIFS(Despiece!$A$6:$A$705,$A100,Despiece!$E$6:$E$705,"Sublimada")=0,0,""))))</f>
        <v/>
      </c>
      <c r="Z100" s="10" t="str">
        <f aca="false">IF($A100="","",IFERROR(IF(ISNUMBER(Q100),IF(Q100=0,0,Q100*INDEX(Telas!$I$6:$I$105,MATCH(K100,Telas!$A$6:$A$105,0))),NA())+IF(ISNUMBER(T100),IF(T100=0,0,T100*INDEX(Telas!$I$6:$I$105,MATCH(L100,Telas!$A$6:$A$105,0))),NA())+IF(ISNUMBER(W100),IF(W100=0,0,W100*INDEX(Telas!$I$6:$I$105,MATCH(IF(M100="",K100,M100),Telas!$A$6:$A$105,0))),NA()),""))</f>
        <v/>
      </c>
      <c r="AA100" s="10" t="str">
        <f aca="false">IF($A100="","",IF(ISNUMBER(Y100),Y100*Parametros!$B$19,""))</f>
        <v/>
      </c>
      <c r="AB100" s="10" t="str">
        <f aca="false">IF(OR($A100="",F100=""),"",IFERROR(INDEX(Confeccion!$B$6:$B$125,MATCH(F100,Confeccion!$A$6:$A$125,0)),""))</f>
        <v/>
      </c>
      <c r="AC100" s="10" t="str">
        <f aca="false">IF($A100="","",IFERROR(N(H100)*IF(G100="",0,INDEX(Avios!$C$6:$C$65,MATCH(G100,Avios!$A$6:$A$65,0)))+N(J100)*IF(I100="",0,INDEX(Avios!$C$6:$C$65,MATCH(I100,Avios!$A$6:$A$65,0))),""))</f>
        <v/>
      </c>
      <c r="AD100" s="11" t="str">
        <f aca="false">IF($A100="","",IFERROR(Z100+AA100+AB100+AC100,""))</f>
        <v/>
      </c>
      <c r="AE100" s="10" t="str">
        <f aca="false">IF(ISNUMBER(AD100),AD100*Parametros!$B$12,"")</f>
        <v/>
      </c>
      <c r="AF100" s="29" t="str">
        <f aca="false">IF(AND(ISNUMBER(Q100),K100&lt;&gt;""),IFERROR(1/(Q100*INDEX(Telas!$G$6:$G$105,MATCH(K100,Telas!$A$6:$A$105,0))),""),"")</f>
        <v/>
      </c>
      <c r="AG100" s="0" t="str">
        <f aca="false">IF($A100="","",IF(ISNUMBER(AD100),IF(AND(N(Y100)&gt;0,N(Parametros!$B$19)=0),"Lista, pero sin costo de impresión (Parametros)","Lista"),IF(Q100="","Consumo tela principal (Despiece o Mediciones). ","")&amp;IF(COUNTIFS(Mediciones!$C$6:$C$305,$A100,Mediciones!$K$6:$K$305,"")&gt;0,"Pesar 1 m de la tela medida (Telas, kg por metro). ","")&amp;IF(T100="","Consumo Tela 2. ","")&amp;IF(W100="","Consumo Tela 3. ","")&amp;IF(K100="","Elegir tela principal. ",IF(ISERROR(INDEX(Telas!$I$6:$I$105,MATCH(K100,Telas!$A$6:$A$105,0))*1),"Precio o peso por metro de "&amp;K100&amp;". ",""))&amp;IF(AND(N(T100)&gt;0,L100=""),"Elegir Tela 2. ",IF(AND(N(T100)&gt;0,ISERROR(INDEX(Telas!$I$6:$I$105,MATCH(L100,Telas!$A$6:$A$105,0))*1)),"Precio o peso por metro de "&amp;L100&amp;". ",""))&amp;IF(Y100="","Metros impresos. ","")&amp;IF(F100="","Tipo de confección. ",IF(AB100="","Precio de confección. ",""))))</f>
        <v/>
      </c>
      <c r="AH100" s="27"/>
    </row>
    <row r="101" customFormat="false" ht="15" hidden="false" customHeight="false" outlineLevel="0" collapsed="false">
      <c r="A101" s="27"/>
      <c r="B101" s="27"/>
      <c r="C101" s="27"/>
      <c r="D101" s="27"/>
      <c r="E101" s="27"/>
      <c r="F101" s="27"/>
      <c r="G101" s="8"/>
      <c r="H101" s="27"/>
      <c r="I101" s="8"/>
      <c r="J101" s="27"/>
      <c r="K101" s="8"/>
      <c r="L101" s="8"/>
      <c r="M101" s="8"/>
      <c r="N101" s="8"/>
      <c r="O101" s="9" t="str">
        <f aca="false">IF($A101="","",IF(COUNTIFS(Despiece!$A$6:$A$705,$A101,Despiece!$D$6:$D$705,"Tela principal",Despiece!$F$6:$F$705,"&gt;0")=0,"",SUMIFS(Despiece!$F$6:$F$705,Despiece!$A$6:$A$705,$A101,Despiece!$D$6:$D$705,"Tela principal")))</f>
        <v/>
      </c>
      <c r="P101" s="9" t="str">
        <f aca="false">IF($A101="","",IFERROR(AVERAGEIFS(Mediciones!$K$6:$K$305,Mediciones!$C$6:$C$305,$A101,Mediciones!$D$6:$D$305,"Tela principal"),""))</f>
        <v/>
      </c>
      <c r="Q101" s="28" t="str">
        <f aca="false">IF($A101="","",IF(N(IF($N101="Despiece",IF(ISNUMBER(O101),O101*(1+Parametros!$B$22),IF(COUNTIFS(Despiece!$A$6:$A$705,$A101,Despiece!$D$6:$D$705,"Tela principal")&gt;0,"",0)),IF($N101="Medición real",IF(ISNUMBER(P101),P101,IF(COUNTIFS(Mediciones!$C$6:$C$305,$A101,Mediciones!$D$6:$D$305,"Tela principal")&gt;0,"",0)),IF(ISNUMBER(P101),P101,IF(ISNUMBER(O101),O101*(1+Parametros!$B$22),IF(OR(COUNTIFS(Despiece!$A$6:$A$705,$A101,Despiece!$D$6:$D$705,"Tela principal")&gt;0,COUNTIFS(Mediciones!$C$6:$C$305,$A101,Mediciones!$D$6:$D$305,"Tela principal")&gt;0),"",0))))))=0,"",IF($N101="Despiece",IF(ISNUMBER(O101),O101*(1+Parametros!$B$22),IF(COUNTIFS(Despiece!$A$6:$A$705,$A101,Despiece!$D$6:$D$705,"Tela principal")&gt;0,"",0)),IF($N101="Medición real",IF(ISNUMBER(P101),P101,IF(COUNTIFS(Mediciones!$C$6:$C$305,$A101,Mediciones!$D$6:$D$305,"Tela principal")&gt;0,"",0)),IF(ISNUMBER(P101),P101,IF(ISNUMBER(O101),O101*(1+Parametros!$B$22),IF(OR(COUNTIFS(Despiece!$A$6:$A$705,$A101,Despiece!$D$6:$D$705,"Tela principal")&gt;0,COUNTIFS(Mediciones!$C$6:$C$305,$A101,Mediciones!$D$6:$D$305,"Tela principal")&gt;0),"",0)))))))</f>
        <v/>
      </c>
      <c r="R101" s="9" t="str">
        <f aca="false">IF($A101="","",IF(COUNTIFS(Despiece!$A$6:$A$705,$A101,Despiece!$D$6:$D$705,"Tela 2",Despiece!$F$6:$F$705,"&gt;0")=0,"",SUMIFS(Despiece!$F$6:$F$705,Despiece!$A$6:$A$705,$A101,Despiece!$D$6:$D$705,"Tela 2")))</f>
        <v/>
      </c>
      <c r="S101" s="9" t="str">
        <f aca="false">IF($A101="","",IFERROR(AVERAGEIFS(Mediciones!$K$6:$K$305,Mediciones!$C$6:$C$305,$A101,Mediciones!$D$6:$D$305,"Tela 2"),""))</f>
        <v/>
      </c>
      <c r="T101" s="28" t="str">
        <f aca="false">IF($A101="","",IF($N101="Despiece",IF(ISNUMBER(R101),R101*(1+Parametros!$B$22),IF(COUNTIFS(Despiece!$A$6:$A$705,$A101,Despiece!$D$6:$D$705,"Tela 2")&gt;0,"",0)),IF($N101="Medición real",IF(ISNUMBER(S101),S101,IF(COUNTIFS(Mediciones!$C$6:$C$305,$A101,Mediciones!$D$6:$D$305,"Tela 2")&gt;0,"",0)),IF(ISNUMBER(S101),S101,IF(ISNUMBER(R101),R101*(1+Parametros!$B$22),IF(OR(COUNTIFS(Despiece!$A$6:$A$705,$A101,Despiece!$D$6:$D$705,"Tela 2")&gt;0,COUNTIFS(Mediciones!$C$6:$C$305,$A101,Mediciones!$D$6:$D$305,"Tela 2")&gt;0),"",0))))))</f>
        <v/>
      </c>
      <c r="U101" s="9" t="str">
        <f aca="false">IF($A101="","",IF(COUNTIFS(Despiece!$A$6:$A$705,$A101,Despiece!$D$6:$D$705,"Tela 3",Despiece!$F$6:$F$705,"&gt;0")=0,"",SUMIFS(Despiece!$F$6:$F$705,Despiece!$A$6:$A$705,$A101,Despiece!$D$6:$D$705,"Tela 3")))</f>
        <v/>
      </c>
      <c r="V101" s="9" t="str">
        <f aca="false">IF($A101="","",IFERROR(AVERAGEIFS(Mediciones!$K$6:$K$305,Mediciones!$C$6:$C$305,$A101,Mediciones!$D$6:$D$305,"Tela 3"),""))</f>
        <v/>
      </c>
      <c r="W101" s="28" t="str">
        <f aca="false">IF($A101="","",IF($N101="Despiece",IF(ISNUMBER(U101),U101*(1+Parametros!$B$22),IF(COUNTIFS(Despiece!$A$6:$A$705,$A101,Despiece!$D$6:$D$705,"Tela 3")&gt;0,"",0)),IF($N101="Medición real",IF(ISNUMBER(V101),V101,IF(COUNTIFS(Mediciones!$C$6:$C$305,$A101,Mediciones!$D$6:$D$305,"Tela 3")&gt;0,"",0)),IF(ISNUMBER(V101),V101,IF(ISNUMBER(U101),U101*(1+Parametros!$B$22),IF(OR(COUNTIFS(Despiece!$A$6:$A$705,$A101,Despiece!$D$6:$D$705,"Tela 3")&gt;0,COUNTIFS(Mediciones!$C$6:$C$305,$A101,Mediciones!$D$6:$D$305,"Tela 3")&gt;0),"",0))))))</f>
        <v/>
      </c>
      <c r="X101" s="27"/>
      <c r="Y101" s="9" t="str">
        <f aca="false">IF($A101="","",IF(ISNUMBER(X101),X101,IF(COUNTIFS(Despiece!$A$6:$A$705,$A101,Despiece!$E$6:$E$705,"Sublimada",Despiece!$F$6:$F$705,"&gt;0")&gt;0,SUMIFS(Despiece!$F$6:$F$705,Despiece!$A$6:$A$705,$A101,Despiece!$E$6:$E$705,"Sublimada")*(1+Parametros!$B$22),IF(COUNTIFS(Despiece!$A$6:$A$705,$A101,Despiece!$E$6:$E$705,"Sublimada")=0,0,""))))</f>
        <v/>
      </c>
      <c r="Z101" s="10" t="str">
        <f aca="false">IF($A101="","",IFERROR(IF(ISNUMBER(Q101),IF(Q101=0,0,Q101*INDEX(Telas!$I$6:$I$105,MATCH(K101,Telas!$A$6:$A$105,0))),NA())+IF(ISNUMBER(T101),IF(T101=0,0,T101*INDEX(Telas!$I$6:$I$105,MATCH(L101,Telas!$A$6:$A$105,0))),NA())+IF(ISNUMBER(W101),IF(W101=0,0,W101*INDEX(Telas!$I$6:$I$105,MATCH(IF(M101="",K101,M101),Telas!$A$6:$A$105,0))),NA()),""))</f>
        <v/>
      </c>
      <c r="AA101" s="10" t="str">
        <f aca="false">IF($A101="","",IF(ISNUMBER(Y101),Y101*Parametros!$B$19,""))</f>
        <v/>
      </c>
      <c r="AB101" s="10" t="str">
        <f aca="false">IF(OR($A101="",F101=""),"",IFERROR(INDEX(Confeccion!$B$6:$B$125,MATCH(F101,Confeccion!$A$6:$A$125,0)),""))</f>
        <v/>
      </c>
      <c r="AC101" s="10" t="str">
        <f aca="false">IF($A101="","",IFERROR(N(H101)*IF(G101="",0,INDEX(Avios!$C$6:$C$65,MATCH(G101,Avios!$A$6:$A$65,0)))+N(J101)*IF(I101="",0,INDEX(Avios!$C$6:$C$65,MATCH(I101,Avios!$A$6:$A$65,0))),""))</f>
        <v/>
      </c>
      <c r="AD101" s="11" t="str">
        <f aca="false">IF($A101="","",IFERROR(Z101+AA101+AB101+AC101,""))</f>
        <v/>
      </c>
      <c r="AE101" s="10" t="str">
        <f aca="false">IF(ISNUMBER(AD101),AD101*Parametros!$B$12,"")</f>
        <v/>
      </c>
      <c r="AF101" s="29" t="str">
        <f aca="false">IF(AND(ISNUMBER(Q101),K101&lt;&gt;""),IFERROR(1/(Q101*INDEX(Telas!$G$6:$G$105,MATCH(K101,Telas!$A$6:$A$105,0))),""),"")</f>
        <v/>
      </c>
      <c r="AG101" s="0" t="str">
        <f aca="false">IF($A101="","",IF(ISNUMBER(AD101),IF(AND(N(Y101)&gt;0,N(Parametros!$B$19)=0),"Lista, pero sin costo de impresión (Parametros)","Lista"),IF(Q101="","Consumo tela principal (Despiece o Mediciones). ","")&amp;IF(COUNTIFS(Mediciones!$C$6:$C$305,$A101,Mediciones!$K$6:$K$305,"")&gt;0,"Pesar 1 m de la tela medida (Telas, kg por metro). ","")&amp;IF(T101="","Consumo Tela 2. ","")&amp;IF(W101="","Consumo Tela 3. ","")&amp;IF(K101="","Elegir tela principal. ",IF(ISERROR(INDEX(Telas!$I$6:$I$105,MATCH(K101,Telas!$A$6:$A$105,0))*1),"Precio o peso por metro de "&amp;K101&amp;". ",""))&amp;IF(AND(N(T101)&gt;0,L101=""),"Elegir Tela 2. ",IF(AND(N(T101)&gt;0,ISERROR(INDEX(Telas!$I$6:$I$105,MATCH(L101,Telas!$A$6:$A$105,0))*1)),"Precio o peso por metro de "&amp;L101&amp;". ",""))&amp;IF(Y101="","Metros impresos. ","")&amp;IF(F101="","Tipo de confección. ",IF(AB101="","Precio de confección. ",""))))</f>
        <v/>
      </c>
      <c r="AH101" s="27"/>
    </row>
    <row r="102" customFormat="false" ht="15" hidden="false" customHeight="false" outlineLevel="0" collapsed="false">
      <c r="A102" s="27"/>
      <c r="B102" s="27"/>
      <c r="C102" s="27"/>
      <c r="D102" s="27"/>
      <c r="E102" s="27"/>
      <c r="F102" s="27"/>
      <c r="G102" s="8"/>
      <c r="H102" s="27"/>
      <c r="I102" s="8"/>
      <c r="J102" s="27"/>
      <c r="K102" s="8"/>
      <c r="L102" s="8"/>
      <c r="M102" s="8"/>
      <c r="N102" s="8"/>
      <c r="O102" s="9" t="str">
        <f aca="false">IF($A102="","",IF(COUNTIFS(Despiece!$A$6:$A$705,$A102,Despiece!$D$6:$D$705,"Tela principal",Despiece!$F$6:$F$705,"&gt;0")=0,"",SUMIFS(Despiece!$F$6:$F$705,Despiece!$A$6:$A$705,$A102,Despiece!$D$6:$D$705,"Tela principal")))</f>
        <v/>
      </c>
      <c r="P102" s="9" t="str">
        <f aca="false">IF($A102="","",IFERROR(AVERAGEIFS(Mediciones!$K$6:$K$305,Mediciones!$C$6:$C$305,$A102,Mediciones!$D$6:$D$305,"Tela principal"),""))</f>
        <v/>
      </c>
      <c r="Q102" s="28" t="str">
        <f aca="false">IF($A102="","",IF(N(IF($N102="Despiece",IF(ISNUMBER(O102),O102*(1+Parametros!$B$22),IF(COUNTIFS(Despiece!$A$6:$A$705,$A102,Despiece!$D$6:$D$705,"Tela principal")&gt;0,"",0)),IF($N102="Medición real",IF(ISNUMBER(P102),P102,IF(COUNTIFS(Mediciones!$C$6:$C$305,$A102,Mediciones!$D$6:$D$305,"Tela principal")&gt;0,"",0)),IF(ISNUMBER(P102),P102,IF(ISNUMBER(O102),O102*(1+Parametros!$B$22),IF(OR(COUNTIFS(Despiece!$A$6:$A$705,$A102,Despiece!$D$6:$D$705,"Tela principal")&gt;0,COUNTIFS(Mediciones!$C$6:$C$305,$A102,Mediciones!$D$6:$D$305,"Tela principal")&gt;0),"",0))))))=0,"",IF($N102="Despiece",IF(ISNUMBER(O102),O102*(1+Parametros!$B$22),IF(COUNTIFS(Despiece!$A$6:$A$705,$A102,Despiece!$D$6:$D$705,"Tela principal")&gt;0,"",0)),IF($N102="Medición real",IF(ISNUMBER(P102),P102,IF(COUNTIFS(Mediciones!$C$6:$C$305,$A102,Mediciones!$D$6:$D$305,"Tela principal")&gt;0,"",0)),IF(ISNUMBER(P102),P102,IF(ISNUMBER(O102),O102*(1+Parametros!$B$22),IF(OR(COUNTIFS(Despiece!$A$6:$A$705,$A102,Despiece!$D$6:$D$705,"Tela principal")&gt;0,COUNTIFS(Mediciones!$C$6:$C$305,$A102,Mediciones!$D$6:$D$305,"Tela principal")&gt;0),"",0)))))))</f>
        <v/>
      </c>
      <c r="R102" s="9" t="str">
        <f aca="false">IF($A102="","",IF(COUNTIFS(Despiece!$A$6:$A$705,$A102,Despiece!$D$6:$D$705,"Tela 2",Despiece!$F$6:$F$705,"&gt;0")=0,"",SUMIFS(Despiece!$F$6:$F$705,Despiece!$A$6:$A$705,$A102,Despiece!$D$6:$D$705,"Tela 2")))</f>
        <v/>
      </c>
      <c r="S102" s="9" t="str">
        <f aca="false">IF($A102="","",IFERROR(AVERAGEIFS(Mediciones!$K$6:$K$305,Mediciones!$C$6:$C$305,$A102,Mediciones!$D$6:$D$305,"Tela 2"),""))</f>
        <v/>
      </c>
      <c r="T102" s="28" t="str">
        <f aca="false">IF($A102="","",IF($N102="Despiece",IF(ISNUMBER(R102),R102*(1+Parametros!$B$22),IF(COUNTIFS(Despiece!$A$6:$A$705,$A102,Despiece!$D$6:$D$705,"Tela 2")&gt;0,"",0)),IF($N102="Medición real",IF(ISNUMBER(S102),S102,IF(COUNTIFS(Mediciones!$C$6:$C$305,$A102,Mediciones!$D$6:$D$305,"Tela 2")&gt;0,"",0)),IF(ISNUMBER(S102),S102,IF(ISNUMBER(R102),R102*(1+Parametros!$B$22),IF(OR(COUNTIFS(Despiece!$A$6:$A$705,$A102,Despiece!$D$6:$D$705,"Tela 2")&gt;0,COUNTIFS(Mediciones!$C$6:$C$305,$A102,Mediciones!$D$6:$D$305,"Tela 2")&gt;0),"",0))))))</f>
        <v/>
      </c>
      <c r="U102" s="9" t="str">
        <f aca="false">IF($A102="","",IF(COUNTIFS(Despiece!$A$6:$A$705,$A102,Despiece!$D$6:$D$705,"Tela 3",Despiece!$F$6:$F$705,"&gt;0")=0,"",SUMIFS(Despiece!$F$6:$F$705,Despiece!$A$6:$A$705,$A102,Despiece!$D$6:$D$705,"Tela 3")))</f>
        <v/>
      </c>
      <c r="V102" s="9" t="str">
        <f aca="false">IF($A102="","",IFERROR(AVERAGEIFS(Mediciones!$K$6:$K$305,Mediciones!$C$6:$C$305,$A102,Mediciones!$D$6:$D$305,"Tela 3"),""))</f>
        <v/>
      </c>
      <c r="W102" s="28" t="str">
        <f aca="false">IF($A102="","",IF($N102="Despiece",IF(ISNUMBER(U102),U102*(1+Parametros!$B$22),IF(COUNTIFS(Despiece!$A$6:$A$705,$A102,Despiece!$D$6:$D$705,"Tela 3")&gt;0,"",0)),IF($N102="Medición real",IF(ISNUMBER(V102),V102,IF(COUNTIFS(Mediciones!$C$6:$C$305,$A102,Mediciones!$D$6:$D$305,"Tela 3")&gt;0,"",0)),IF(ISNUMBER(V102),V102,IF(ISNUMBER(U102),U102*(1+Parametros!$B$22),IF(OR(COUNTIFS(Despiece!$A$6:$A$705,$A102,Despiece!$D$6:$D$705,"Tela 3")&gt;0,COUNTIFS(Mediciones!$C$6:$C$305,$A102,Mediciones!$D$6:$D$305,"Tela 3")&gt;0),"",0))))))</f>
        <v/>
      </c>
      <c r="X102" s="27"/>
      <c r="Y102" s="9" t="str">
        <f aca="false">IF($A102="","",IF(ISNUMBER(X102),X102,IF(COUNTIFS(Despiece!$A$6:$A$705,$A102,Despiece!$E$6:$E$705,"Sublimada",Despiece!$F$6:$F$705,"&gt;0")&gt;0,SUMIFS(Despiece!$F$6:$F$705,Despiece!$A$6:$A$705,$A102,Despiece!$E$6:$E$705,"Sublimada")*(1+Parametros!$B$22),IF(COUNTIFS(Despiece!$A$6:$A$705,$A102,Despiece!$E$6:$E$705,"Sublimada")=0,0,""))))</f>
        <v/>
      </c>
      <c r="Z102" s="10" t="str">
        <f aca="false">IF($A102="","",IFERROR(IF(ISNUMBER(Q102),IF(Q102=0,0,Q102*INDEX(Telas!$I$6:$I$105,MATCH(K102,Telas!$A$6:$A$105,0))),NA())+IF(ISNUMBER(T102),IF(T102=0,0,T102*INDEX(Telas!$I$6:$I$105,MATCH(L102,Telas!$A$6:$A$105,0))),NA())+IF(ISNUMBER(W102),IF(W102=0,0,W102*INDEX(Telas!$I$6:$I$105,MATCH(IF(M102="",K102,M102),Telas!$A$6:$A$105,0))),NA()),""))</f>
        <v/>
      </c>
      <c r="AA102" s="10" t="str">
        <f aca="false">IF($A102="","",IF(ISNUMBER(Y102),Y102*Parametros!$B$19,""))</f>
        <v/>
      </c>
      <c r="AB102" s="10" t="str">
        <f aca="false">IF(OR($A102="",F102=""),"",IFERROR(INDEX(Confeccion!$B$6:$B$125,MATCH(F102,Confeccion!$A$6:$A$125,0)),""))</f>
        <v/>
      </c>
      <c r="AC102" s="10" t="str">
        <f aca="false">IF($A102="","",IFERROR(N(H102)*IF(G102="",0,INDEX(Avios!$C$6:$C$65,MATCH(G102,Avios!$A$6:$A$65,0)))+N(J102)*IF(I102="",0,INDEX(Avios!$C$6:$C$65,MATCH(I102,Avios!$A$6:$A$65,0))),""))</f>
        <v/>
      </c>
      <c r="AD102" s="11" t="str">
        <f aca="false">IF($A102="","",IFERROR(Z102+AA102+AB102+AC102,""))</f>
        <v/>
      </c>
      <c r="AE102" s="10" t="str">
        <f aca="false">IF(ISNUMBER(AD102),AD102*Parametros!$B$12,"")</f>
        <v/>
      </c>
      <c r="AF102" s="29" t="str">
        <f aca="false">IF(AND(ISNUMBER(Q102),K102&lt;&gt;""),IFERROR(1/(Q102*INDEX(Telas!$G$6:$G$105,MATCH(K102,Telas!$A$6:$A$105,0))),""),"")</f>
        <v/>
      </c>
      <c r="AG102" s="0" t="str">
        <f aca="false">IF($A102="","",IF(ISNUMBER(AD102),IF(AND(N(Y102)&gt;0,N(Parametros!$B$19)=0),"Lista, pero sin costo de impresión (Parametros)","Lista"),IF(Q102="","Consumo tela principal (Despiece o Mediciones). ","")&amp;IF(COUNTIFS(Mediciones!$C$6:$C$305,$A102,Mediciones!$K$6:$K$305,"")&gt;0,"Pesar 1 m de la tela medida (Telas, kg por metro). ","")&amp;IF(T102="","Consumo Tela 2. ","")&amp;IF(W102="","Consumo Tela 3. ","")&amp;IF(K102="","Elegir tela principal. ",IF(ISERROR(INDEX(Telas!$I$6:$I$105,MATCH(K102,Telas!$A$6:$A$105,0))*1),"Precio o peso por metro de "&amp;K102&amp;". ",""))&amp;IF(AND(N(T102)&gt;0,L102=""),"Elegir Tela 2. ",IF(AND(N(T102)&gt;0,ISERROR(INDEX(Telas!$I$6:$I$105,MATCH(L102,Telas!$A$6:$A$105,0))*1)),"Precio o peso por metro de "&amp;L102&amp;". ",""))&amp;IF(Y102="","Metros impresos. ","")&amp;IF(F102="","Tipo de confección. ",IF(AB102="","Precio de confección. ",""))))</f>
        <v/>
      </c>
      <c r="AH102" s="27"/>
    </row>
    <row r="103" customFormat="false" ht="15" hidden="false" customHeight="false" outlineLevel="0" collapsed="false">
      <c r="A103" s="27"/>
      <c r="B103" s="27"/>
      <c r="C103" s="27"/>
      <c r="D103" s="27"/>
      <c r="E103" s="27"/>
      <c r="F103" s="27"/>
      <c r="G103" s="8"/>
      <c r="H103" s="27"/>
      <c r="I103" s="8"/>
      <c r="J103" s="27"/>
      <c r="K103" s="8"/>
      <c r="L103" s="8"/>
      <c r="M103" s="8"/>
      <c r="N103" s="8"/>
      <c r="O103" s="9" t="str">
        <f aca="false">IF($A103="","",IF(COUNTIFS(Despiece!$A$6:$A$705,$A103,Despiece!$D$6:$D$705,"Tela principal",Despiece!$F$6:$F$705,"&gt;0")=0,"",SUMIFS(Despiece!$F$6:$F$705,Despiece!$A$6:$A$705,$A103,Despiece!$D$6:$D$705,"Tela principal")))</f>
        <v/>
      </c>
      <c r="P103" s="9" t="str">
        <f aca="false">IF($A103="","",IFERROR(AVERAGEIFS(Mediciones!$K$6:$K$305,Mediciones!$C$6:$C$305,$A103,Mediciones!$D$6:$D$305,"Tela principal"),""))</f>
        <v/>
      </c>
      <c r="Q103" s="28" t="str">
        <f aca="false">IF($A103="","",IF(N(IF($N103="Despiece",IF(ISNUMBER(O103),O103*(1+Parametros!$B$22),IF(COUNTIFS(Despiece!$A$6:$A$705,$A103,Despiece!$D$6:$D$705,"Tela principal")&gt;0,"",0)),IF($N103="Medición real",IF(ISNUMBER(P103),P103,IF(COUNTIFS(Mediciones!$C$6:$C$305,$A103,Mediciones!$D$6:$D$305,"Tela principal")&gt;0,"",0)),IF(ISNUMBER(P103),P103,IF(ISNUMBER(O103),O103*(1+Parametros!$B$22),IF(OR(COUNTIFS(Despiece!$A$6:$A$705,$A103,Despiece!$D$6:$D$705,"Tela principal")&gt;0,COUNTIFS(Mediciones!$C$6:$C$305,$A103,Mediciones!$D$6:$D$305,"Tela principal")&gt;0),"",0))))))=0,"",IF($N103="Despiece",IF(ISNUMBER(O103),O103*(1+Parametros!$B$22),IF(COUNTIFS(Despiece!$A$6:$A$705,$A103,Despiece!$D$6:$D$705,"Tela principal")&gt;0,"",0)),IF($N103="Medición real",IF(ISNUMBER(P103),P103,IF(COUNTIFS(Mediciones!$C$6:$C$305,$A103,Mediciones!$D$6:$D$305,"Tela principal")&gt;0,"",0)),IF(ISNUMBER(P103),P103,IF(ISNUMBER(O103),O103*(1+Parametros!$B$22),IF(OR(COUNTIFS(Despiece!$A$6:$A$705,$A103,Despiece!$D$6:$D$705,"Tela principal")&gt;0,COUNTIFS(Mediciones!$C$6:$C$305,$A103,Mediciones!$D$6:$D$305,"Tela principal")&gt;0),"",0)))))))</f>
        <v/>
      </c>
      <c r="R103" s="9" t="str">
        <f aca="false">IF($A103="","",IF(COUNTIFS(Despiece!$A$6:$A$705,$A103,Despiece!$D$6:$D$705,"Tela 2",Despiece!$F$6:$F$705,"&gt;0")=0,"",SUMIFS(Despiece!$F$6:$F$705,Despiece!$A$6:$A$705,$A103,Despiece!$D$6:$D$705,"Tela 2")))</f>
        <v/>
      </c>
      <c r="S103" s="9" t="str">
        <f aca="false">IF($A103="","",IFERROR(AVERAGEIFS(Mediciones!$K$6:$K$305,Mediciones!$C$6:$C$305,$A103,Mediciones!$D$6:$D$305,"Tela 2"),""))</f>
        <v/>
      </c>
      <c r="T103" s="28" t="str">
        <f aca="false">IF($A103="","",IF($N103="Despiece",IF(ISNUMBER(R103),R103*(1+Parametros!$B$22),IF(COUNTIFS(Despiece!$A$6:$A$705,$A103,Despiece!$D$6:$D$705,"Tela 2")&gt;0,"",0)),IF($N103="Medición real",IF(ISNUMBER(S103),S103,IF(COUNTIFS(Mediciones!$C$6:$C$305,$A103,Mediciones!$D$6:$D$305,"Tela 2")&gt;0,"",0)),IF(ISNUMBER(S103),S103,IF(ISNUMBER(R103),R103*(1+Parametros!$B$22),IF(OR(COUNTIFS(Despiece!$A$6:$A$705,$A103,Despiece!$D$6:$D$705,"Tela 2")&gt;0,COUNTIFS(Mediciones!$C$6:$C$305,$A103,Mediciones!$D$6:$D$305,"Tela 2")&gt;0),"",0))))))</f>
        <v/>
      </c>
      <c r="U103" s="9" t="str">
        <f aca="false">IF($A103="","",IF(COUNTIFS(Despiece!$A$6:$A$705,$A103,Despiece!$D$6:$D$705,"Tela 3",Despiece!$F$6:$F$705,"&gt;0")=0,"",SUMIFS(Despiece!$F$6:$F$705,Despiece!$A$6:$A$705,$A103,Despiece!$D$6:$D$705,"Tela 3")))</f>
        <v/>
      </c>
      <c r="V103" s="9" t="str">
        <f aca="false">IF($A103="","",IFERROR(AVERAGEIFS(Mediciones!$K$6:$K$305,Mediciones!$C$6:$C$305,$A103,Mediciones!$D$6:$D$305,"Tela 3"),""))</f>
        <v/>
      </c>
      <c r="W103" s="28" t="str">
        <f aca="false">IF($A103="","",IF($N103="Despiece",IF(ISNUMBER(U103),U103*(1+Parametros!$B$22),IF(COUNTIFS(Despiece!$A$6:$A$705,$A103,Despiece!$D$6:$D$705,"Tela 3")&gt;0,"",0)),IF($N103="Medición real",IF(ISNUMBER(V103),V103,IF(COUNTIFS(Mediciones!$C$6:$C$305,$A103,Mediciones!$D$6:$D$305,"Tela 3")&gt;0,"",0)),IF(ISNUMBER(V103),V103,IF(ISNUMBER(U103),U103*(1+Parametros!$B$22),IF(OR(COUNTIFS(Despiece!$A$6:$A$705,$A103,Despiece!$D$6:$D$705,"Tela 3")&gt;0,COUNTIFS(Mediciones!$C$6:$C$305,$A103,Mediciones!$D$6:$D$305,"Tela 3")&gt;0),"",0))))))</f>
        <v/>
      </c>
      <c r="X103" s="27"/>
      <c r="Y103" s="9" t="str">
        <f aca="false">IF($A103="","",IF(ISNUMBER(X103),X103,IF(COUNTIFS(Despiece!$A$6:$A$705,$A103,Despiece!$E$6:$E$705,"Sublimada",Despiece!$F$6:$F$705,"&gt;0")&gt;0,SUMIFS(Despiece!$F$6:$F$705,Despiece!$A$6:$A$705,$A103,Despiece!$E$6:$E$705,"Sublimada")*(1+Parametros!$B$22),IF(COUNTIFS(Despiece!$A$6:$A$705,$A103,Despiece!$E$6:$E$705,"Sublimada")=0,0,""))))</f>
        <v/>
      </c>
      <c r="Z103" s="10" t="str">
        <f aca="false">IF($A103="","",IFERROR(IF(ISNUMBER(Q103),IF(Q103=0,0,Q103*INDEX(Telas!$I$6:$I$105,MATCH(K103,Telas!$A$6:$A$105,0))),NA())+IF(ISNUMBER(T103),IF(T103=0,0,T103*INDEX(Telas!$I$6:$I$105,MATCH(L103,Telas!$A$6:$A$105,0))),NA())+IF(ISNUMBER(W103),IF(W103=0,0,W103*INDEX(Telas!$I$6:$I$105,MATCH(IF(M103="",K103,M103),Telas!$A$6:$A$105,0))),NA()),""))</f>
        <v/>
      </c>
      <c r="AA103" s="10" t="str">
        <f aca="false">IF($A103="","",IF(ISNUMBER(Y103),Y103*Parametros!$B$19,""))</f>
        <v/>
      </c>
      <c r="AB103" s="10" t="str">
        <f aca="false">IF(OR($A103="",F103=""),"",IFERROR(INDEX(Confeccion!$B$6:$B$125,MATCH(F103,Confeccion!$A$6:$A$125,0)),""))</f>
        <v/>
      </c>
      <c r="AC103" s="10" t="str">
        <f aca="false">IF($A103="","",IFERROR(N(H103)*IF(G103="",0,INDEX(Avios!$C$6:$C$65,MATCH(G103,Avios!$A$6:$A$65,0)))+N(J103)*IF(I103="",0,INDEX(Avios!$C$6:$C$65,MATCH(I103,Avios!$A$6:$A$65,0))),""))</f>
        <v/>
      </c>
      <c r="AD103" s="11" t="str">
        <f aca="false">IF($A103="","",IFERROR(Z103+AA103+AB103+AC103,""))</f>
        <v/>
      </c>
      <c r="AE103" s="10" t="str">
        <f aca="false">IF(ISNUMBER(AD103),AD103*Parametros!$B$12,"")</f>
        <v/>
      </c>
      <c r="AF103" s="29" t="str">
        <f aca="false">IF(AND(ISNUMBER(Q103),K103&lt;&gt;""),IFERROR(1/(Q103*INDEX(Telas!$G$6:$G$105,MATCH(K103,Telas!$A$6:$A$105,0))),""),"")</f>
        <v/>
      </c>
      <c r="AG103" s="0" t="str">
        <f aca="false">IF($A103="","",IF(ISNUMBER(AD103),IF(AND(N(Y103)&gt;0,N(Parametros!$B$19)=0),"Lista, pero sin costo de impresión (Parametros)","Lista"),IF(Q103="","Consumo tela principal (Despiece o Mediciones). ","")&amp;IF(COUNTIFS(Mediciones!$C$6:$C$305,$A103,Mediciones!$K$6:$K$305,"")&gt;0,"Pesar 1 m de la tela medida (Telas, kg por metro). ","")&amp;IF(T103="","Consumo Tela 2. ","")&amp;IF(W103="","Consumo Tela 3. ","")&amp;IF(K103="","Elegir tela principal. ",IF(ISERROR(INDEX(Telas!$I$6:$I$105,MATCH(K103,Telas!$A$6:$A$105,0))*1),"Precio o peso por metro de "&amp;K103&amp;". ",""))&amp;IF(AND(N(T103)&gt;0,L103=""),"Elegir Tela 2. ",IF(AND(N(T103)&gt;0,ISERROR(INDEX(Telas!$I$6:$I$105,MATCH(L103,Telas!$A$6:$A$105,0))*1)),"Precio o peso por metro de "&amp;L103&amp;". ",""))&amp;IF(Y103="","Metros impresos. ","")&amp;IF(F103="","Tipo de confección. ",IF(AB103="","Precio de confección. ",""))))</f>
        <v/>
      </c>
      <c r="AH103" s="27"/>
    </row>
    <row r="104" customFormat="false" ht="15" hidden="false" customHeight="false" outlineLevel="0" collapsed="false">
      <c r="A104" s="27"/>
      <c r="B104" s="27"/>
      <c r="C104" s="27"/>
      <c r="D104" s="27"/>
      <c r="E104" s="27"/>
      <c r="F104" s="27"/>
      <c r="G104" s="8"/>
      <c r="H104" s="27"/>
      <c r="I104" s="8"/>
      <c r="J104" s="27"/>
      <c r="K104" s="8"/>
      <c r="L104" s="8"/>
      <c r="M104" s="8"/>
      <c r="N104" s="8"/>
      <c r="O104" s="9" t="str">
        <f aca="false">IF($A104="","",IF(COUNTIFS(Despiece!$A$6:$A$705,$A104,Despiece!$D$6:$D$705,"Tela principal",Despiece!$F$6:$F$705,"&gt;0")=0,"",SUMIFS(Despiece!$F$6:$F$705,Despiece!$A$6:$A$705,$A104,Despiece!$D$6:$D$705,"Tela principal")))</f>
        <v/>
      </c>
      <c r="P104" s="9" t="str">
        <f aca="false">IF($A104="","",IFERROR(AVERAGEIFS(Mediciones!$K$6:$K$305,Mediciones!$C$6:$C$305,$A104,Mediciones!$D$6:$D$305,"Tela principal"),""))</f>
        <v/>
      </c>
      <c r="Q104" s="28" t="str">
        <f aca="false">IF($A104="","",IF(N(IF($N104="Despiece",IF(ISNUMBER(O104),O104*(1+Parametros!$B$22),IF(COUNTIFS(Despiece!$A$6:$A$705,$A104,Despiece!$D$6:$D$705,"Tela principal")&gt;0,"",0)),IF($N104="Medición real",IF(ISNUMBER(P104),P104,IF(COUNTIFS(Mediciones!$C$6:$C$305,$A104,Mediciones!$D$6:$D$305,"Tela principal")&gt;0,"",0)),IF(ISNUMBER(P104),P104,IF(ISNUMBER(O104),O104*(1+Parametros!$B$22),IF(OR(COUNTIFS(Despiece!$A$6:$A$705,$A104,Despiece!$D$6:$D$705,"Tela principal")&gt;0,COUNTIFS(Mediciones!$C$6:$C$305,$A104,Mediciones!$D$6:$D$305,"Tela principal")&gt;0),"",0))))))=0,"",IF($N104="Despiece",IF(ISNUMBER(O104),O104*(1+Parametros!$B$22),IF(COUNTIFS(Despiece!$A$6:$A$705,$A104,Despiece!$D$6:$D$705,"Tela principal")&gt;0,"",0)),IF($N104="Medición real",IF(ISNUMBER(P104),P104,IF(COUNTIFS(Mediciones!$C$6:$C$305,$A104,Mediciones!$D$6:$D$305,"Tela principal")&gt;0,"",0)),IF(ISNUMBER(P104),P104,IF(ISNUMBER(O104),O104*(1+Parametros!$B$22),IF(OR(COUNTIFS(Despiece!$A$6:$A$705,$A104,Despiece!$D$6:$D$705,"Tela principal")&gt;0,COUNTIFS(Mediciones!$C$6:$C$305,$A104,Mediciones!$D$6:$D$305,"Tela principal")&gt;0),"",0)))))))</f>
        <v/>
      </c>
      <c r="R104" s="9" t="str">
        <f aca="false">IF($A104="","",IF(COUNTIFS(Despiece!$A$6:$A$705,$A104,Despiece!$D$6:$D$705,"Tela 2",Despiece!$F$6:$F$705,"&gt;0")=0,"",SUMIFS(Despiece!$F$6:$F$705,Despiece!$A$6:$A$705,$A104,Despiece!$D$6:$D$705,"Tela 2")))</f>
        <v/>
      </c>
      <c r="S104" s="9" t="str">
        <f aca="false">IF($A104="","",IFERROR(AVERAGEIFS(Mediciones!$K$6:$K$305,Mediciones!$C$6:$C$305,$A104,Mediciones!$D$6:$D$305,"Tela 2"),""))</f>
        <v/>
      </c>
      <c r="T104" s="28" t="str">
        <f aca="false">IF($A104="","",IF($N104="Despiece",IF(ISNUMBER(R104),R104*(1+Parametros!$B$22),IF(COUNTIFS(Despiece!$A$6:$A$705,$A104,Despiece!$D$6:$D$705,"Tela 2")&gt;0,"",0)),IF($N104="Medición real",IF(ISNUMBER(S104),S104,IF(COUNTIFS(Mediciones!$C$6:$C$305,$A104,Mediciones!$D$6:$D$305,"Tela 2")&gt;0,"",0)),IF(ISNUMBER(S104),S104,IF(ISNUMBER(R104),R104*(1+Parametros!$B$22),IF(OR(COUNTIFS(Despiece!$A$6:$A$705,$A104,Despiece!$D$6:$D$705,"Tela 2")&gt;0,COUNTIFS(Mediciones!$C$6:$C$305,$A104,Mediciones!$D$6:$D$305,"Tela 2")&gt;0),"",0))))))</f>
        <v/>
      </c>
      <c r="U104" s="9" t="str">
        <f aca="false">IF($A104="","",IF(COUNTIFS(Despiece!$A$6:$A$705,$A104,Despiece!$D$6:$D$705,"Tela 3",Despiece!$F$6:$F$705,"&gt;0")=0,"",SUMIFS(Despiece!$F$6:$F$705,Despiece!$A$6:$A$705,$A104,Despiece!$D$6:$D$705,"Tela 3")))</f>
        <v/>
      </c>
      <c r="V104" s="9" t="str">
        <f aca="false">IF($A104="","",IFERROR(AVERAGEIFS(Mediciones!$K$6:$K$305,Mediciones!$C$6:$C$305,$A104,Mediciones!$D$6:$D$305,"Tela 3"),""))</f>
        <v/>
      </c>
      <c r="W104" s="28" t="str">
        <f aca="false">IF($A104="","",IF($N104="Despiece",IF(ISNUMBER(U104),U104*(1+Parametros!$B$22),IF(COUNTIFS(Despiece!$A$6:$A$705,$A104,Despiece!$D$6:$D$705,"Tela 3")&gt;0,"",0)),IF($N104="Medición real",IF(ISNUMBER(V104),V104,IF(COUNTIFS(Mediciones!$C$6:$C$305,$A104,Mediciones!$D$6:$D$305,"Tela 3")&gt;0,"",0)),IF(ISNUMBER(V104),V104,IF(ISNUMBER(U104),U104*(1+Parametros!$B$22),IF(OR(COUNTIFS(Despiece!$A$6:$A$705,$A104,Despiece!$D$6:$D$705,"Tela 3")&gt;0,COUNTIFS(Mediciones!$C$6:$C$305,$A104,Mediciones!$D$6:$D$305,"Tela 3")&gt;0),"",0))))))</f>
        <v/>
      </c>
      <c r="X104" s="27"/>
      <c r="Y104" s="9" t="str">
        <f aca="false">IF($A104="","",IF(ISNUMBER(X104),X104,IF(COUNTIFS(Despiece!$A$6:$A$705,$A104,Despiece!$E$6:$E$705,"Sublimada",Despiece!$F$6:$F$705,"&gt;0")&gt;0,SUMIFS(Despiece!$F$6:$F$705,Despiece!$A$6:$A$705,$A104,Despiece!$E$6:$E$705,"Sublimada")*(1+Parametros!$B$22),IF(COUNTIFS(Despiece!$A$6:$A$705,$A104,Despiece!$E$6:$E$705,"Sublimada")=0,0,""))))</f>
        <v/>
      </c>
      <c r="Z104" s="10" t="str">
        <f aca="false">IF($A104="","",IFERROR(IF(ISNUMBER(Q104),IF(Q104=0,0,Q104*INDEX(Telas!$I$6:$I$105,MATCH(K104,Telas!$A$6:$A$105,0))),NA())+IF(ISNUMBER(T104),IF(T104=0,0,T104*INDEX(Telas!$I$6:$I$105,MATCH(L104,Telas!$A$6:$A$105,0))),NA())+IF(ISNUMBER(W104),IF(W104=0,0,W104*INDEX(Telas!$I$6:$I$105,MATCH(IF(M104="",K104,M104),Telas!$A$6:$A$105,0))),NA()),""))</f>
        <v/>
      </c>
      <c r="AA104" s="10" t="str">
        <f aca="false">IF($A104="","",IF(ISNUMBER(Y104),Y104*Parametros!$B$19,""))</f>
        <v/>
      </c>
      <c r="AB104" s="10" t="str">
        <f aca="false">IF(OR($A104="",F104=""),"",IFERROR(INDEX(Confeccion!$B$6:$B$125,MATCH(F104,Confeccion!$A$6:$A$125,0)),""))</f>
        <v/>
      </c>
      <c r="AC104" s="10" t="str">
        <f aca="false">IF($A104="","",IFERROR(N(H104)*IF(G104="",0,INDEX(Avios!$C$6:$C$65,MATCH(G104,Avios!$A$6:$A$65,0)))+N(J104)*IF(I104="",0,INDEX(Avios!$C$6:$C$65,MATCH(I104,Avios!$A$6:$A$65,0))),""))</f>
        <v/>
      </c>
      <c r="AD104" s="11" t="str">
        <f aca="false">IF($A104="","",IFERROR(Z104+AA104+AB104+AC104,""))</f>
        <v/>
      </c>
      <c r="AE104" s="10" t="str">
        <f aca="false">IF(ISNUMBER(AD104),AD104*Parametros!$B$12,"")</f>
        <v/>
      </c>
      <c r="AF104" s="29" t="str">
        <f aca="false">IF(AND(ISNUMBER(Q104),K104&lt;&gt;""),IFERROR(1/(Q104*INDEX(Telas!$G$6:$G$105,MATCH(K104,Telas!$A$6:$A$105,0))),""),"")</f>
        <v/>
      </c>
      <c r="AG104" s="0" t="str">
        <f aca="false">IF($A104="","",IF(ISNUMBER(AD104),IF(AND(N(Y104)&gt;0,N(Parametros!$B$19)=0),"Lista, pero sin costo de impresión (Parametros)","Lista"),IF(Q104="","Consumo tela principal (Despiece o Mediciones). ","")&amp;IF(COUNTIFS(Mediciones!$C$6:$C$305,$A104,Mediciones!$K$6:$K$305,"")&gt;0,"Pesar 1 m de la tela medida (Telas, kg por metro). ","")&amp;IF(T104="","Consumo Tela 2. ","")&amp;IF(W104="","Consumo Tela 3. ","")&amp;IF(K104="","Elegir tela principal. ",IF(ISERROR(INDEX(Telas!$I$6:$I$105,MATCH(K104,Telas!$A$6:$A$105,0))*1),"Precio o peso por metro de "&amp;K104&amp;". ",""))&amp;IF(AND(N(T104)&gt;0,L104=""),"Elegir Tela 2. ",IF(AND(N(T104)&gt;0,ISERROR(INDEX(Telas!$I$6:$I$105,MATCH(L104,Telas!$A$6:$A$105,0))*1)),"Precio o peso por metro de "&amp;L104&amp;". ",""))&amp;IF(Y104="","Metros impresos. ","")&amp;IF(F104="","Tipo de confección. ",IF(AB104="","Precio de confección. ",""))))</f>
        <v/>
      </c>
      <c r="AH104" s="27"/>
    </row>
    <row r="105" customFormat="false" ht="15" hidden="false" customHeight="false" outlineLevel="0" collapsed="false">
      <c r="A105" s="27"/>
      <c r="B105" s="27"/>
      <c r="C105" s="27"/>
      <c r="D105" s="27"/>
      <c r="E105" s="27"/>
      <c r="F105" s="27"/>
      <c r="G105" s="8"/>
      <c r="H105" s="27"/>
      <c r="I105" s="8"/>
      <c r="J105" s="27"/>
      <c r="K105" s="8"/>
      <c r="L105" s="8"/>
      <c r="M105" s="8"/>
      <c r="N105" s="8"/>
      <c r="O105" s="9" t="str">
        <f aca="false">IF($A105="","",IF(COUNTIFS(Despiece!$A$6:$A$705,$A105,Despiece!$D$6:$D$705,"Tela principal",Despiece!$F$6:$F$705,"&gt;0")=0,"",SUMIFS(Despiece!$F$6:$F$705,Despiece!$A$6:$A$705,$A105,Despiece!$D$6:$D$705,"Tela principal")))</f>
        <v/>
      </c>
      <c r="P105" s="9" t="str">
        <f aca="false">IF($A105="","",IFERROR(AVERAGEIFS(Mediciones!$K$6:$K$305,Mediciones!$C$6:$C$305,$A105,Mediciones!$D$6:$D$305,"Tela principal"),""))</f>
        <v/>
      </c>
      <c r="Q105" s="28" t="str">
        <f aca="false">IF($A105="","",IF(N(IF($N105="Despiece",IF(ISNUMBER(O105),O105*(1+Parametros!$B$22),IF(COUNTIFS(Despiece!$A$6:$A$705,$A105,Despiece!$D$6:$D$705,"Tela principal")&gt;0,"",0)),IF($N105="Medición real",IF(ISNUMBER(P105),P105,IF(COUNTIFS(Mediciones!$C$6:$C$305,$A105,Mediciones!$D$6:$D$305,"Tela principal")&gt;0,"",0)),IF(ISNUMBER(P105),P105,IF(ISNUMBER(O105),O105*(1+Parametros!$B$22),IF(OR(COUNTIFS(Despiece!$A$6:$A$705,$A105,Despiece!$D$6:$D$705,"Tela principal")&gt;0,COUNTIFS(Mediciones!$C$6:$C$305,$A105,Mediciones!$D$6:$D$305,"Tela principal")&gt;0),"",0))))))=0,"",IF($N105="Despiece",IF(ISNUMBER(O105),O105*(1+Parametros!$B$22),IF(COUNTIFS(Despiece!$A$6:$A$705,$A105,Despiece!$D$6:$D$705,"Tela principal")&gt;0,"",0)),IF($N105="Medición real",IF(ISNUMBER(P105),P105,IF(COUNTIFS(Mediciones!$C$6:$C$305,$A105,Mediciones!$D$6:$D$305,"Tela principal")&gt;0,"",0)),IF(ISNUMBER(P105),P105,IF(ISNUMBER(O105),O105*(1+Parametros!$B$22),IF(OR(COUNTIFS(Despiece!$A$6:$A$705,$A105,Despiece!$D$6:$D$705,"Tela principal")&gt;0,COUNTIFS(Mediciones!$C$6:$C$305,$A105,Mediciones!$D$6:$D$305,"Tela principal")&gt;0),"",0)))))))</f>
        <v/>
      </c>
      <c r="R105" s="9" t="str">
        <f aca="false">IF($A105="","",IF(COUNTIFS(Despiece!$A$6:$A$705,$A105,Despiece!$D$6:$D$705,"Tela 2",Despiece!$F$6:$F$705,"&gt;0")=0,"",SUMIFS(Despiece!$F$6:$F$705,Despiece!$A$6:$A$705,$A105,Despiece!$D$6:$D$705,"Tela 2")))</f>
        <v/>
      </c>
      <c r="S105" s="9" t="str">
        <f aca="false">IF($A105="","",IFERROR(AVERAGEIFS(Mediciones!$K$6:$K$305,Mediciones!$C$6:$C$305,$A105,Mediciones!$D$6:$D$305,"Tela 2"),""))</f>
        <v/>
      </c>
      <c r="T105" s="28" t="str">
        <f aca="false">IF($A105="","",IF($N105="Despiece",IF(ISNUMBER(R105),R105*(1+Parametros!$B$22),IF(COUNTIFS(Despiece!$A$6:$A$705,$A105,Despiece!$D$6:$D$705,"Tela 2")&gt;0,"",0)),IF($N105="Medición real",IF(ISNUMBER(S105),S105,IF(COUNTIFS(Mediciones!$C$6:$C$305,$A105,Mediciones!$D$6:$D$305,"Tela 2")&gt;0,"",0)),IF(ISNUMBER(S105),S105,IF(ISNUMBER(R105),R105*(1+Parametros!$B$22),IF(OR(COUNTIFS(Despiece!$A$6:$A$705,$A105,Despiece!$D$6:$D$705,"Tela 2")&gt;0,COUNTIFS(Mediciones!$C$6:$C$305,$A105,Mediciones!$D$6:$D$305,"Tela 2")&gt;0),"",0))))))</f>
        <v/>
      </c>
      <c r="U105" s="9" t="str">
        <f aca="false">IF($A105="","",IF(COUNTIFS(Despiece!$A$6:$A$705,$A105,Despiece!$D$6:$D$705,"Tela 3",Despiece!$F$6:$F$705,"&gt;0")=0,"",SUMIFS(Despiece!$F$6:$F$705,Despiece!$A$6:$A$705,$A105,Despiece!$D$6:$D$705,"Tela 3")))</f>
        <v/>
      </c>
      <c r="V105" s="9" t="str">
        <f aca="false">IF($A105="","",IFERROR(AVERAGEIFS(Mediciones!$K$6:$K$305,Mediciones!$C$6:$C$305,$A105,Mediciones!$D$6:$D$305,"Tela 3"),""))</f>
        <v/>
      </c>
      <c r="W105" s="28" t="str">
        <f aca="false">IF($A105="","",IF($N105="Despiece",IF(ISNUMBER(U105),U105*(1+Parametros!$B$22),IF(COUNTIFS(Despiece!$A$6:$A$705,$A105,Despiece!$D$6:$D$705,"Tela 3")&gt;0,"",0)),IF($N105="Medición real",IF(ISNUMBER(V105),V105,IF(COUNTIFS(Mediciones!$C$6:$C$305,$A105,Mediciones!$D$6:$D$305,"Tela 3")&gt;0,"",0)),IF(ISNUMBER(V105),V105,IF(ISNUMBER(U105),U105*(1+Parametros!$B$22),IF(OR(COUNTIFS(Despiece!$A$6:$A$705,$A105,Despiece!$D$6:$D$705,"Tela 3")&gt;0,COUNTIFS(Mediciones!$C$6:$C$305,$A105,Mediciones!$D$6:$D$305,"Tela 3")&gt;0),"",0))))))</f>
        <v/>
      </c>
      <c r="X105" s="27"/>
      <c r="Y105" s="9" t="str">
        <f aca="false">IF($A105="","",IF(ISNUMBER(X105),X105,IF(COUNTIFS(Despiece!$A$6:$A$705,$A105,Despiece!$E$6:$E$705,"Sublimada",Despiece!$F$6:$F$705,"&gt;0")&gt;0,SUMIFS(Despiece!$F$6:$F$705,Despiece!$A$6:$A$705,$A105,Despiece!$E$6:$E$705,"Sublimada")*(1+Parametros!$B$22),IF(COUNTIFS(Despiece!$A$6:$A$705,$A105,Despiece!$E$6:$E$705,"Sublimada")=0,0,""))))</f>
        <v/>
      </c>
      <c r="Z105" s="10" t="str">
        <f aca="false">IF($A105="","",IFERROR(IF(ISNUMBER(Q105),IF(Q105=0,0,Q105*INDEX(Telas!$I$6:$I$105,MATCH(K105,Telas!$A$6:$A$105,0))),NA())+IF(ISNUMBER(T105),IF(T105=0,0,T105*INDEX(Telas!$I$6:$I$105,MATCH(L105,Telas!$A$6:$A$105,0))),NA())+IF(ISNUMBER(W105),IF(W105=0,0,W105*INDEX(Telas!$I$6:$I$105,MATCH(IF(M105="",K105,M105),Telas!$A$6:$A$105,0))),NA()),""))</f>
        <v/>
      </c>
      <c r="AA105" s="10" t="str">
        <f aca="false">IF($A105="","",IF(ISNUMBER(Y105),Y105*Parametros!$B$19,""))</f>
        <v/>
      </c>
      <c r="AB105" s="10" t="str">
        <f aca="false">IF(OR($A105="",F105=""),"",IFERROR(INDEX(Confeccion!$B$6:$B$125,MATCH(F105,Confeccion!$A$6:$A$125,0)),""))</f>
        <v/>
      </c>
      <c r="AC105" s="10" t="str">
        <f aca="false">IF($A105="","",IFERROR(N(H105)*IF(G105="",0,INDEX(Avios!$C$6:$C$65,MATCH(G105,Avios!$A$6:$A$65,0)))+N(J105)*IF(I105="",0,INDEX(Avios!$C$6:$C$65,MATCH(I105,Avios!$A$6:$A$65,0))),""))</f>
        <v/>
      </c>
      <c r="AD105" s="11" t="str">
        <f aca="false">IF($A105="","",IFERROR(Z105+AA105+AB105+AC105,""))</f>
        <v/>
      </c>
      <c r="AE105" s="10" t="str">
        <f aca="false">IF(ISNUMBER(AD105),AD105*Parametros!$B$12,"")</f>
        <v/>
      </c>
      <c r="AF105" s="29" t="str">
        <f aca="false">IF(AND(ISNUMBER(Q105),K105&lt;&gt;""),IFERROR(1/(Q105*INDEX(Telas!$G$6:$G$105,MATCH(K105,Telas!$A$6:$A$105,0))),""),"")</f>
        <v/>
      </c>
      <c r="AG105" s="0" t="str">
        <f aca="false">IF($A105="","",IF(ISNUMBER(AD105),IF(AND(N(Y105)&gt;0,N(Parametros!$B$19)=0),"Lista, pero sin costo de impresión (Parametros)","Lista"),IF(Q105="","Consumo tela principal (Despiece o Mediciones). ","")&amp;IF(COUNTIFS(Mediciones!$C$6:$C$305,$A105,Mediciones!$K$6:$K$305,"")&gt;0,"Pesar 1 m de la tela medida (Telas, kg por metro). ","")&amp;IF(T105="","Consumo Tela 2. ","")&amp;IF(W105="","Consumo Tela 3. ","")&amp;IF(K105="","Elegir tela principal. ",IF(ISERROR(INDEX(Telas!$I$6:$I$105,MATCH(K105,Telas!$A$6:$A$105,0))*1),"Precio o peso por metro de "&amp;K105&amp;". ",""))&amp;IF(AND(N(T105)&gt;0,L105=""),"Elegir Tela 2. ",IF(AND(N(T105)&gt;0,ISERROR(INDEX(Telas!$I$6:$I$105,MATCH(L105,Telas!$A$6:$A$105,0))*1)),"Precio o peso por metro de "&amp;L105&amp;". ",""))&amp;IF(Y105="","Metros impresos. ","")&amp;IF(F105="","Tipo de confección. ",IF(AB105="","Precio de confección. ",""))))</f>
        <v/>
      </c>
      <c r="AH105" s="27"/>
    </row>
    <row r="106" customFormat="false" ht="15" hidden="false" customHeight="false" outlineLevel="0" collapsed="false">
      <c r="A106" s="27"/>
      <c r="B106" s="27"/>
      <c r="C106" s="27"/>
      <c r="D106" s="27"/>
      <c r="E106" s="27"/>
      <c r="F106" s="27"/>
      <c r="G106" s="8"/>
      <c r="H106" s="27"/>
      <c r="I106" s="8"/>
      <c r="J106" s="27"/>
      <c r="K106" s="8"/>
      <c r="L106" s="8"/>
      <c r="M106" s="8"/>
      <c r="N106" s="8"/>
      <c r="O106" s="9" t="str">
        <f aca="false">IF($A106="","",IF(COUNTIFS(Despiece!$A$6:$A$705,$A106,Despiece!$D$6:$D$705,"Tela principal",Despiece!$F$6:$F$705,"&gt;0")=0,"",SUMIFS(Despiece!$F$6:$F$705,Despiece!$A$6:$A$705,$A106,Despiece!$D$6:$D$705,"Tela principal")))</f>
        <v/>
      </c>
      <c r="P106" s="9" t="str">
        <f aca="false">IF($A106="","",IFERROR(AVERAGEIFS(Mediciones!$K$6:$K$305,Mediciones!$C$6:$C$305,$A106,Mediciones!$D$6:$D$305,"Tela principal"),""))</f>
        <v/>
      </c>
      <c r="Q106" s="28" t="str">
        <f aca="false">IF($A106="","",IF(N(IF($N106="Despiece",IF(ISNUMBER(O106),O106*(1+Parametros!$B$22),IF(COUNTIFS(Despiece!$A$6:$A$705,$A106,Despiece!$D$6:$D$705,"Tela principal")&gt;0,"",0)),IF($N106="Medición real",IF(ISNUMBER(P106),P106,IF(COUNTIFS(Mediciones!$C$6:$C$305,$A106,Mediciones!$D$6:$D$305,"Tela principal")&gt;0,"",0)),IF(ISNUMBER(P106),P106,IF(ISNUMBER(O106),O106*(1+Parametros!$B$22),IF(OR(COUNTIFS(Despiece!$A$6:$A$705,$A106,Despiece!$D$6:$D$705,"Tela principal")&gt;0,COUNTIFS(Mediciones!$C$6:$C$305,$A106,Mediciones!$D$6:$D$305,"Tela principal")&gt;0),"",0))))))=0,"",IF($N106="Despiece",IF(ISNUMBER(O106),O106*(1+Parametros!$B$22),IF(COUNTIFS(Despiece!$A$6:$A$705,$A106,Despiece!$D$6:$D$705,"Tela principal")&gt;0,"",0)),IF($N106="Medición real",IF(ISNUMBER(P106),P106,IF(COUNTIFS(Mediciones!$C$6:$C$305,$A106,Mediciones!$D$6:$D$305,"Tela principal")&gt;0,"",0)),IF(ISNUMBER(P106),P106,IF(ISNUMBER(O106),O106*(1+Parametros!$B$22),IF(OR(COUNTIFS(Despiece!$A$6:$A$705,$A106,Despiece!$D$6:$D$705,"Tela principal")&gt;0,COUNTIFS(Mediciones!$C$6:$C$305,$A106,Mediciones!$D$6:$D$305,"Tela principal")&gt;0),"",0)))))))</f>
        <v/>
      </c>
      <c r="R106" s="9" t="str">
        <f aca="false">IF($A106="","",IF(COUNTIFS(Despiece!$A$6:$A$705,$A106,Despiece!$D$6:$D$705,"Tela 2",Despiece!$F$6:$F$705,"&gt;0")=0,"",SUMIFS(Despiece!$F$6:$F$705,Despiece!$A$6:$A$705,$A106,Despiece!$D$6:$D$705,"Tela 2")))</f>
        <v/>
      </c>
      <c r="S106" s="9" t="str">
        <f aca="false">IF($A106="","",IFERROR(AVERAGEIFS(Mediciones!$K$6:$K$305,Mediciones!$C$6:$C$305,$A106,Mediciones!$D$6:$D$305,"Tela 2"),""))</f>
        <v/>
      </c>
      <c r="T106" s="28" t="str">
        <f aca="false">IF($A106="","",IF($N106="Despiece",IF(ISNUMBER(R106),R106*(1+Parametros!$B$22),IF(COUNTIFS(Despiece!$A$6:$A$705,$A106,Despiece!$D$6:$D$705,"Tela 2")&gt;0,"",0)),IF($N106="Medición real",IF(ISNUMBER(S106),S106,IF(COUNTIFS(Mediciones!$C$6:$C$305,$A106,Mediciones!$D$6:$D$305,"Tela 2")&gt;0,"",0)),IF(ISNUMBER(S106),S106,IF(ISNUMBER(R106),R106*(1+Parametros!$B$22),IF(OR(COUNTIFS(Despiece!$A$6:$A$705,$A106,Despiece!$D$6:$D$705,"Tela 2")&gt;0,COUNTIFS(Mediciones!$C$6:$C$305,$A106,Mediciones!$D$6:$D$305,"Tela 2")&gt;0),"",0))))))</f>
        <v/>
      </c>
      <c r="U106" s="9" t="str">
        <f aca="false">IF($A106="","",IF(COUNTIFS(Despiece!$A$6:$A$705,$A106,Despiece!$D$6:$D$705,"Tela 3",Despiece!$F$6:$F$705,"&gt;0")=0,"",SUMIFS(Despiece!$F$6:$F$705,Despiece!$A$6:$A$705,$A106,Despiece!$D$6:$D$705,"Tela 3")))</f>
        <v/>
      </c>
      <c r="V106" s="9" t="str">
        <f aca="false">IF($A106="","",IFERROR(AVERAGEIFS(Mediciones!$K$6:$K$305,Mediciones!$C$6:$C$305,$A106,Mediciones!$D$6:$D$305,"Tela 3"),""))</f>
        <v/>
      </c>
      <c r="W106" s="28" t="str">
        <f aca="false">IF($A106="","",IF($N106="Despiece",IF(ISNUMBER(U106),U106*(1+Parametros!$B$22),IF(COUNTIFS(Despiece!$A$6:$A$705,$A106,Despiece!$D$6:$D$705,"Tela 3")&gt;0,"",0)),IF($N106="Medición real",IF(ISNUMBER(V106),V106,IF(COUNTIFS(Mediciones!$C$6:$C$305,$A106,Mediciones!$D$6:$D$305,"Tela 3")&gt;0,"",0)),IF(ISNUMBER(V106),V106,IF(ISNUMBER(U106),U106*(1+Parametros!$B$22),IF(OR(COUNTIFS(Despiece!$A$6:$A$705,$A106,Despiece!$D$6:$D$705,"Tela 3")&gt;0,COUNTIFS(Mediciones!$C$6:$C$305,$A106,Mediciones!$D$6:$D$305,"Tela 3")&gt;0),"",0))))))</f>
        <v/>
      </c>
      <c r="X106" s="27"/>
      <c r="Y106" s="9" t="str">
        <f aca="false">IF($A106="","",IF(ISNUMBER(X106),X106,IF(COUNTIFS(Despiece!$A$6:$A$705,$A106,Despiece!$E$6:$E$705,"Sublimada",Despiece!$F$6:$F$705,"&gt;0")&gt;0,SUMIFS(Despiece!$F$6:$F$705,Despiece!$A$6:$A$705,$A106,Despiece!$E$6:$E$705,"Sublimada")*(1+Parametros!$B$22),IF(COUNTIFS(Despiece!$A$6:$A$705,$A106,Despiece!$E$6:$E$705,"Sublimada")=0,0,""))))</f>
        <v/>
      </c>
      <c r="Z106" s="10" t="str">
        <f aca="false">IF($A106="","",IFERROR(IF(ISNUMBER(Q106),IF(Q106=0,0,Q106*INDEX(Telas!$I$6:$I$105,MATCH(K106,Telas!$A$6:$A$105,0))),NA())+IF(ISNUMBER(T106),IF(T106=0,0,T106*INDEX(Telas!$I$6:$I$105,MATCH(L106,Telas!$A$6:$A$105,0))),NA())+IF(ISNUMBER(W106),IF(W106=0,0,W106*INDEX(Telas!$I$6:$I$105,MATCH(IF(M106="",K106,M106),Telas!$A$6:$A$105,0))),NA()),""))</f>
        <v/>
      </c>
      <c r="AA106" s="10" t="str">
        <f aca="false">IF($A106="","",IF(ISNUMBER(Y106),Y106*Parametros!$B$19,""))</f>
        <v/>
      </c>
      <c r="AB106" s="10" t="str">
        <f aca="false">IF(OR($A106="",F106=""),"",IFERROR(INDEX(Confeccion!$B$6:$B$125,MATCH(F106,Confeccion!$A$6:$A$125,0)),""))</f>
        <v/>
      </c>
      <c r="AC106" s="10" t="str">
        <f aca="false">IF($A106="","",IFERROR(N(H106)*IF(G106="",0,INDEX(Avios!$C$6:$C$65,MATCH(G106,Avios!$A$6:$A$65,0)))+N(J106)*IF(I106="",0,INDEX(Avios!$C$6:$C$65,MATCH(I106,Avios!$A$6:$A$65,0))),""))</f>
        <v/>
      </c>
      <c r="AD106" s="11" t="str">
        <f aca="false">IF($A106="","",IFERROR(Z106+AA106+AB106+AC106,""))</f>
        <v/>
      </c>
      <c r="AE106" s="10" t="str">
        <f aca="false">IF(ISNUMBER(AD106),AD106*Parametros!$B$12,"")</f>
        <v/>
      </c>
      <c r="AF106" s="29" t="str">
        <f aca="false">IF(AND(ISNUMBER(Q106),K106&lt;&gt;""),IFERROR(1/(Q106*INDEX(Telas!$G$6:$G$105,MATCH(K106,Telas!$A$6:$A$105,0))),""),"")</f>
        <v/>
      </c>
      <c r="AG106" s="0" t="str">
        <f aca="false">IF($A106="","",IF(ISNUMBER(AD106),IF(AND(N(Y106)&gt;0,N(Parametros!$B$19)=0),"Lista, pero sin costo de impresión (Parametros)","Lista"),IF(Q106="","Consumo tela principal (Despiece o Mediciones). ","")&amp;IF(COUNTIFS(Mediciones!$C$6:$C$305,$A106,Mediciones!$K$6:$K$305,"")&gt;0,"Pesar 1 m de la tela medida (Telas, kg por metro). ","")&amp;IF(T106="","Consumo Tela 2. ","")&amp;IF(W106="","Consumo Tela 3. ","")&amp;IF(K106="","Elegir tela principal. ",IF(ISERROR(INDEX(Telas!$I$6:$I$105,MATCH(K106,Telas!$A$6:$A$105,0))*1),"Precio o peso por metro de "&amp;K106&amp;". ",""))&amp;IF(AND(N(T106)&gt;0,L106=""),"Elegir Tela 2. ",IF(AND(N(T106)&gt;0,ISERROR(INDEX(Telas!$I$6:$I$105,MATCH(L106,Telas!$A$6:$A$105,0))*1)),"Precio o peso por metro de "&amp;L106&amp;". ",""))&amp;IF(Y106="","Metros impresos. ","")&amp;IF(F106="","Tipo de confección. ",IF(AB106="","Precio de confección. ",""))))</f>
        <v/>
      </c>
      <c r="AH106" s="27"/>
    </row>
    <row r="107" customFormat="false" ht="15" hidden="false" customHeight="false" outlineLevel="0" collapsed="false">
      <c r="A107" s="27"/>
      <c r="B107" s="27"/>
      <c r="C107" s="27"/>
      <c r="D107" s="27"/>
      <c r="E107" s="27"/>
      <c r="F107" s="27"/>
      <c r="G107" s="8"/>
      <c r="H107" s="27"/>
      <c r="I107" s="8"/>
      <c r="J107" s="27"/>
      <c r="K107" s="8"/>
      <c r="L107" s="8"/>
      <c r="M107" s="8"/>
      <c r="N107" s="8"/>
      <c r="O107" s="9" t="str">
        <f aca="false">IF($A107="","",IF(COUNTIFS(Despiece!$A$6:$A$705,$A107,Despiece!$D$6:$D$705,"Tela principal",Despiece!$F$6:$F$705,"&gt;0")=0,"",SUMIFS(Despiece!$F$6:$F$705,Despiece!$A$6:$A$705,$A107,Despiece!$D$6:$D$705,"Tela principal")))</f>
        <v/>
      </c>
      <c r="P107" s="9" t="str">
        <f aca="false">IF($A107="","",IFERROR(AVERAGEIFS(Mediciones!$K$6:$K$305,Mediciones!$C$6:$C$305,$A107,Mediciones!$D$6:$D$305,"Tela principal"),""))</f>
        <v/>
      </c>
      <c r="Q107" s="28" t="str">
        <f aca="false">IF($A107="","",IF(N(IF($N107="Despiece",IF(ISNUMBER(O107),O107*(1+Parametros!$B$22),IF(COUNTIFS(Despiece!$A$6:$A$705,$A107,Despiece!$D$6:$D$705,"Tela principal")&gt;0,"",0)),IF($N107="Medición real",IF(ISNUMBER(P107),P107,IF(COUNTIFS(Mediciones!$C$6:$C$305,$A107,Mediciones!$D$6:$D$305,"Tela principal")&gt;0,"",0)),IF(ISNUMBER(P107),P107,IF(ISNUMBER(O107),O107*(1+Parametros!$B$22),IF(OR(COUNTIFS(Despiece!$A$6:$A$705,$A107,Despiece!$D$6:$D$705,"Tela principal")&gt;0,COUNTIFS(Mediciones!$C$6:$C$305,$A107,Mediciones!$D$6:$D$305,"Tela principal")&gt;0),"",0))))))=0,"",IF($N107="Despiece",IF(ISNUMBER(O107),O107*(1+Parametros!$B$22),IF(COUNTIFS(Despiece!$A$6:$A$705,$A107,Despiece!$D$6:$D$705,"Tela principal")&gt;0,"",0)),IF($N107="Medición real",IF(ISNUMBER(P107),P107,IF(COUNTIFS(Mediciones!$C$6:$C$305,$A107,Mediciones!$D$6:$D$305,"Tela principal")&gt;0,"",0)),IF(ISNUMBER(P107),P107,IF(ISNUMBER(O107),O107*(1+Parametros!$B$22),IF(OR(COUNTIFS(Despiece!$A$6:$A$705,$A107,Despiece!$D$6:$D$705,"Tela principal")&gt;0,COUNTIFS(Mediciones!$C$6:$C$305,$A107,Mediciones!$D$6:$D$305,"Tela principal")&gt;0),"",0)))))))</f>
        <v/>
      </c>
      <c r="R107" s="9" t="str">
        <f aca="false">IF($A107="","",IF(COUNTIFS(Despiece!$A$6:$A$705,$A107,Despiece!$D$6:$D$705,"Tela 2",Despiece!$F$6:$F$705,"&gt;0")=0,"",SUMIFS(Despiece!$F$6:$F$705,Despiece!$A$6:$A$705,$A107,Despiece!$D$6:$D$705,"Tela 2")))</f>
        <v/>
      </c>
      <c r="S107" s="9" t="str">
        <f aca="false">IF($A107="","",IFERROR(AVERAGEIFS(Mediciones!$K$6:$K$305,Mediciones!$C$6:$C$305,$A107,Mediciones!$D$6:$D$305,"Tela 2"),""))</f>
        <v/>
      </c>
      <c r="T107" s="28" t="str">
        <f aca="false">IF($A107="","",IF($N107="Despiece",IF(ISNUMBER(R107),R107*(1+Parametros!$B$22),IF(COUNTIFS(Despiece!$A$6:$A$705,$A107,Despiece!$D$6:$D$705,"Tela 2")&gt;0,"",0)),IF($N107="Medición real",IF(ISNUMBER(S107),S107,IF(COUNTIFS(Mediciones!$C$6:$C$305,$A107,Mediciones!$D$6:$D$305,"Tela 2")&gt;0,"",0)),IF(ISNUMBER(S107),S107,IF(ISNUMBER(R107),R107*(1+Parametros!$B$22),IF(OR(COUNTIFS(Despiece!$A$6:$A$705,$A107,Despiece!$D$6:$D$705,"Tela 2")&gt;0,COUNTIFS(Mediciones!$C$6:$C$305,$A107,Mediciones!$D$6:$D$305,"Tela 2")&gt;0),"",0))))))</f>
        <v/>
      </c>
      <c r="U107" s="9" t="str">
        <f aca="false">IF($A107="","",IF(COUNTIFS(Despiece!$A$6:$A$705,$A107,Despiece!$D$6:$D$705,"Tela 3",Despiece!$F$6:$F$705,"&gt;0")=0,"",SUMIFS(Despiece!$F$6:$F$705,Despiece!$A$6:$A$705,$A107,Despiece!$D$6:$D$705,"Tela 3")))</f>
        <v/>
      </c>
      <c r="V107" s="9" t="str">
        <f aca="false">IF($A107="","",IFERROR(AVERAGEIFS(Mediciones!$K$6:$K$305,Mediciones!$C$6:$C$305,$A107,Mediciones!$D$6:$D$305,"Tela 3"),""))</f>
        <v/>
      </c>
      <c r="W107" s="28" t="str">
        <f aca="false">IF($A107="","",IF($N107="Despiece",IF(ISNUMBER(U107),U107*(1+Parametros!$B$22),IF(COUNTIFS(Despiece!$A$6:$A$705,$A107,Despiece!$D$6:$D$705,"Tela 3")&gt;0,"",0)),IF($N107="Medición real",IF(ISNUMBER(V107),V107,IF(COUNTIFS(Mediciones!$C$6:$C$305,$A107,Mediciones!$D$6:$D$305,"Tela 3")&gt;0,"",0)),IF(ISNUMBER(V107),V107,IF(ISNUMBER(U107),U107*(1+Parametros!$B$22),IF(OR(COUNTIFS(Despiece!$A$6:$A$705,$A107,Despiece!$D$6:$D$705,"Tela 3")&gt;0,COUNTIFS(Mediciones!$C$6:$C$305,$A107,Mediciones!$D$6:$D$305,"Tela 3")&gt;0),"",0))))))</f>
        <v/>
      </c>
      <c r="X107" s="27"/>
      <c r="Y107" s="9" t="str">
        <f aca="false">IF($A107="","",IF(ISNUMBER(X107),X107,IF(COUNTIFS(Despiece!$A$6:$A$705,$A107,Despiece!$E$6:$E$705,"Sublimada",Despiece!$F$6:$F$705,"&gt;0")&gt;0,SUMIFS(Despiece!$F$6:$F$705,Despiece!$A$6:$A$705,$A107,Despiece!$E$6:$E$705,"Sublimada")*(1+Parametros!$B$22),IF(COUNTIFS(Despiece!$A$6:$A$705,$A107,Despiece!$E$6:$E$705,"Sublimada")=0,0,""))))</f>
        <v/>
      </c>
      <c r="Z107" s="10" t="str">
        <f aca="false">IF($A107="","",IFERROR(IF(ISNUMBER(Q107),IF(Q107=0,0,Q107*INDEX(Telas!$I$6:$I$105,MATCH(K107,Telas!$A$6:$A$105,0))),NA())+IF(ISNUMBER(T107),IF(T107=0,0,T107*INDEX(Telas!$I$6:$I$105,MATCH(L107,Telas!$A$6:$A$105,0))),NA())+IF(ISNUMBER(W107),IF(W107=0,0,W107*INDEX(Telas!$I$6:$I$105,MATCH(IF(M107="",K107,M107),Telas!$A$6:$A$105,0))),NA()),""))</f>
        <v/>
      </c>
      <c r="AA107" s="10" t="str">
        <f aca="false">IF($A107="","",IF(ISNUMBER(Y107),Y107*Parametros!$B$19,""))</f>
        <v/>
      </c>
      <c r="AB107" s="10" t="str">
        <f aca="false">IF(OR($A107="",F107=""),"",IFERROR(INDEX(Confeccion!$B$6:$B$125,MATCH(F107,Confeccion!$A$6:$A$125,0)),""))</f>
        <v/>
      </c>
      <c r="AC107" s="10" t="str">
        <f aca="false">IF($A107="","",IFERROR(N(H107)*IF(G107="",0,INDEX(Avios!$C$6:$C$65,MATCH(G107,Avios!$A$6:$A$65,0)))+N(J107)*IF(I107="",0,INDEX(Avios!$C$6:$C$65,MATCH(I107,Avios!$A$6:$A$65,0))),""))</f>
        <v/>
      </c>
      <c r="AD107" s="11" t="str">
        <f aca="false">IF($A107="","",IFERROR(Z107+AA107+AB107+AC107,""))</f>
        <v/>
      </c>
      <c r="AE107" s="10" t="str">
        <f aca="false">IF(ISNUMBER(AD107),AD107*Parametros!$B$12,"")</f>
        <v/>
      </c>
      <c r="AF107" s="29" t="str">
        <f aca="false">IF(AND(ISNUMBER(Q107),K107&lt;&gt;""),IFERROR(1/(Q107*INDEX(Telas!$G$6:$G$105,MATCH(K107,Telas!$A$6:$A$105,0))),""),"")</f>
        <v/>
      </c>
      <c r="AG107" s="0" t="str">
        <f aca="false">IF($A107="","",IF(ISNUMBER(AD107),IF(AND(N(Y107)&gt;0,N(Parametros!$B$19)=0),"Lista, pero sin costo de impresión (Parametros)","Lista"),IF(Q107="","Consumo tela principal (Despiece o Mediciones). ","")&amp;IF(COUNTIFS(Mediciones!$C$6:$C$305,$A107,Mediciones!$K$6:$K$305,"")&gt;0,"Pesar 1 m de la tela medida (Telas, kg por metro). ","")&amp;IF(T107="","Consumo Tela 2. ","")&amp;IF(W107="","Consumo Tela 3. ","")&amp;IF(K107="","Elegir tela principal. ",IF(ISERROR(INDEX(Telas!$I$6:$I$105,MATCH(K107,Telas!$A$6:$A$105,0))*1),"Precio o peso por metro de "&amp;K107&amp;". ",""))&amp;IF(AND(N(T107)&gt;0,L107=""),"Elegir Tela 2. ",IF(AND(N(T107)&gt;0,ISERROR(INDEX(Telas!$I$6:$I$105,MATCH(L107,Telas!$A$6:$A$105,0))*1)),"Precio o peso por metro de "&amp;L107&amp;". ",""))&amp;IF(Y107="","Metros impresos. ","")&amp;IF(F107="","Tipo de confección. ",IF(AB107="","Precio de confección. ",""))))</f>
        <v/>
      </c>
      <c r="AH107" s="27"/>
    </row>
    <row r="108" customFormat="false" ht="15" hidden="false" customHeight="false" outlineLevel="0" collapsed="false">
      <c r="A108" s="27"/>
      <c r="B108" s="27"/>
      <c r="C108" s="27"/>
      <c r="D108" s="27"/>
      <c r="E108" s="27"/>
      <c r="F108" s="27"/>
      <c r="G108" s="8"/>
      <c r="H108" s="27"/>
      <c r="I108" s="8"/>
      <c r="J108" s="27"/>
      <c r="K108" s="8"/>
      <c r="L108" s="8"/>
      <c r="M108" s="8"/>
      <c r="N108" s="8"/>
      <c r="O108" s="9" t="str">
        <f aca="false">IF($A108="","",IF(COUNTIFS(Despiece!$A$6:$A$705,$A108,Despiece!$D$6:$D$705,"Tela principal",Despiece!$F$6:$F$705,"&gt;0")=0,"",SUMIFS(Despiece!$F$6:$F$705,Despiece!$A$6:$A$705,$A108,Despiece!$D$6:$D$705,"Tela principal")))</f>
        <v/>
      </c>
      <c r="P108" s="9" t="str">
        <f aca="false">IF($A108="","",IFERROR(AVERAGEIFS(Mediciones!$K$6:$K$305,Mediciones!$C$6:$C$305,$A108,Mediciones!$D$6:$D$305,"Tela principal"),""))</f>
        <v/>
      </c>
      <c r="Q108" s="28" t="str">
        <f aca="false">IF($A108="","",IF(N(IF($N108="Despiece",IF(ISNUMBER(O108),O108*(1+Parametros!$B$22),IF(COUNTIFS(Despiece!$A$6:$A$705,$A108,Despiece!$D$6:$D$705,"Tela principal")&gt;0,"",0)),IF($N108="Medición real",IF(ISNUMBER(P108),P108,IF(COUNTIFS(Mediciones!$C$6:$C$305,$A108,Mediciones!$D$6:$D$305,"Tela principal")&gt;0,"",0)),IF(ISNUMBER(P108),P108,IF(ISNUMBER(O108),O108*(1+Parametros!$B$22),IF(OR(COUNTIFS(Despiece!$A$6:$A$705,$A108,Despiece!$D$6:$D$705,"Tela principal")&gt;0,COUNTIFS(Mediciones!$C$6:$C$305,$A108,Mediciones!$D$6:$D$305,"Tela principal")&gt;0),"",0))))))=0,"",IF($N108="Despiece",IF(ISNUMBER(O108),O108*(1+Parametros!$B$22),IF(COUNTIFS(Despiece!$A$6:$A$705,$A108,Despiece!$D$6:$D$705,"Tela principal")&gt;0,"",0)),IF($N108="Medición real",IF(ISNUMBER(P108),P108,IF(COUNTIFS(Mediciones!$C$6:$C$305,$A108,Mediciones!$D$6:$D$305,"Tela principal")&gt;0,"",0)),IF(ISNUMBER(P108),P108,IF(ISNUMBER(O108),O108*(1+Parametros!$B$22),IF(OR(COUNTIFS(Despiece!$A$6:$A$705,$A108,Despiece!$D$6:$D$705,"Tela principal")&gt;0,COUNTIFS(Mediciones!$C$6:$C$305,$A108,Mediciones!$D$6:$D$305,"Tela principal")&gt;0),"",0)))))))</f>
        <v/>
      </c>
      <c r="R108" s="9" t="str">
        <f aca="false">IF($A108="","",IF(COUNTIFS(Despiece!$A$6:$A$705,$A108,Despiece!$D$6:$D$705,"Tela 2",Despiece!$F$6:$F$705,"&gt;0")=0,"",SUMIFS(Despiece!$F$6:$F$705,Despiece!$A$6:$A$705,$A108,Despiece!$D$6:$D$705,"Tela 2")))</f>
        <v/>
      </c>
      <c r="S108" s="9" t="str">
        <f aca="false">IF($A108="","",IFERROR(AVERAGEIFS(Mediciones!$K$6:$K$305,Mediciones!$C$6:$C$305,$A108,Mediciones!$D$6:$D$305,"Tela 2"),""))</f>
        <v/>
      </c>
      <c r="T108" s="28" t="str">
        <f aca="false">IF($A108="","",IF($N108="Despiece",IF(ISNUMBER(R108),R108*(1+Parametros!$B$22),IF(COUNTIFS(Despiece!$A$6:$A$705,$A108,Despiece!$D$6:$D$705,"Tela 2")&gt;0,"",0)),IF($N108="Medición real",IF(ISNUMBER(S108),S108,IF(COUNTIFS(Mediciones!$C$6:$C$305,$A108,Mediciones!$D$6:$D$305,"Tela 2")&gt;0,"",0)),IF(ISNUMBER(S108),S108,IF(ISNUMBER(R108),R108*(1+Parametros!$B$22),IF(OR(COUNTIFS(Despiece!$A$6:$A$705,$A108,Despiece!$D$6:$D$705,"Tela 2")&gt;0,COUNTIFS(Mediciones!$C$6:$C$305,$A108,Mediciones!$D$6:$D$305,"Tela 2")&gt;0),"",0))))))</f>
        <v/>
      </c>
      <c r="U108" s="9" t="str">
        <f aca="false">IF($A108="","",IF(COUNTIFS(Despiece!$A$6:$A$705,$A108,Despiece!$D$6:$D$705,"Tela 3",Despiece!$F$6:$F$705,"&gt;0")=0,"",SUMIFS(Despiece!$F$6:$F$705,Despiece!$A$6:$A$705,$A108,Despiece!$D$6:$D$705,"Tela 3")))</f>
        <v/>
      </c>
      <c r="V108" s="9" t="str">
        <f aca="false">IF($A108="","",IFERROR(AVERAGEIFS(Mediciones!$K$6:$K$305,Mediciones!$C$6:$C$305,$A108,Mediciones!$D$6:$D$305,"Tela 3"),""))</f>
        <v/>
      </c>
      <c r="W108" s="28" t="str">
        <f aca="false">IF($A108="","",IF($N108="Despiece",IF(ISNUMBER(U108),U108*(1+Parametros!$B$22),IF(COUNTIFS(Despiece!$A$6:$A$705,$A108,Despiece!$D$6:$D$705,"Tela 3")&gt;0,"",0)),IF($N108="Medición real",IF(ISNUMBER(V108),V108,IF(COUNTIFS(Mediciones!$C$6:$C$305,$A108,Mediciones!$D$6:$D$305,"Tela 3")&gt;0,"",0)),IF(ISNUMBER(V108),V108,IF(ISNUMBER(U108),U108*(1+Parametros!$B$22),IF(OR(COUNTIFS(Despiece!$A$6:$A$705,$A108,Despiece!$D$6:$D$705,"Tela 3")&gt;0,COUNTIFS(Mediciones!$C$6:$C$305,$A108,Mediciones!$D$6:$D$305,"Tela 3")&gt;0),"",0))))))</f>
        <v/>
      </c>
      <c r="X108" s="27"/>
      <c r="Y108" s="9" t="str">
        <f aca="false">IF($A108="","",IF(ISNUMBER(X108),X108,IF(COUNTIFS(Despiece!$A$6:$A$705,$A108,Despiece!$E$6:$E$705,"Sublimada",Despiece!$F$6:$F$705,"&gt;0")&gt;0,SUMIFS(Despiece!$F$6:$F$705,Despiece!$A$6:$A$705,$A108,Despiece!$E$6:$E$705,"Sublimada")*(1+Parametros!$B$22),IF(COUNTIFS(Despiece!$A$6:$A$705,$A108,Despiece!$E$6:$E$705,"Sublimada")=0,0,""))))</f>
        <v/>
      </c>
      <c r="Z108" s="10" t="str">
        <f aca="false">IF($A108="","",IFERROR(IF(ISNUMBER(Q108),IF(Q108=0,0,Q108*INDEX(Telas!$I$6:$I$105,MATCH(K108,Telas!$A$6:$A$105,0))),NA())+IF(ISNUMBER(T108),IF(T108=0,0,T108*INDEX(Telas!$I$6:$I$105,MATCH(L108,Telas!$A$6:$A$105,0))),NA())+IF(ISNUMBER(W108),IF(W108=0,0,W108*INDEX(Telas!$I$6:$I$105,MATCH(IF(M108="",K108,M108),Telas!$A$6:$A$105,0))),NA()),""))</f>
        <v/>
      </c>
      <c r="AA108" s="10" t="str">
        <f aca="false">IF($A108="","",IF(ISNUMBER(Y108),Y108*Parametros!$B$19,""))</f>
        <v/>
      </c>
      <c r="AB108" s="10" t="str">
        <f aca="false">IF(OR($A108="",F108=""),"",IFERROR(INDEX(Confeccion!$B$6:$B$125,MATCH(F108,Confeccion!$A$6:$A$125,0)),""))</f>
        <v/>
      </c>
      <c r="AC108" s="10" t="str">
        <f aca="false">IF($A108="","",IFERROR(N(H108)*IF(G108="",0,INDEX(Avios!$C$6:$C$65,MATCH(G108,Avios!$A$6:$A$65,0)))+N(J108)*IF(I108="",0,INDEX(Avios!$C$6:$C$65,MATCH(I108,Avios!$A$6:$A$65,0))),""))</f>
        <v/>
      </c>
      <c r="AD108" s="11" t="str">
        <f aca="false">IF($A108="","",IFERROR(Z108+AA108+AB108+AC108,""))</f>
        <v/>
      </c>
      <c r="AE108" s="10" t="str">
        <f aca="false">IF(ISNUMBER(AD108),AD108*Parametros!$B$12,"")</f>
        <v/>
      </c>
      <c r="AF108" s="29" t="str">
        <f aca="false">IF(AND(ISNUMBER(Q108),K108&lt;&gt;""),IFERROR(1/(Q108*INDEX(Telas!$G$6:$G$105,MATCH(K108,Telas!$A$6:$A$105,0))),""),"")</f>
        <v/>
      </c>
      <c r="AG108" s="0" t="str">
        <f aca="false">IF($A108="","",IF(ISNUMBER(AD108),IF(AND(N(Y108)&gt;0,N(Parametros!$B$19)=0),"Lista, pero sin costo de impresión (Parametros)","Lista"),IF(Q108="","Consumo tela principal (Despiece o Mediciones). ","")&amp;IF(COUNTIFS(Mediciones!$C$6:$C$305,$A108,Mediciones!$K$6:$K$305,"")&gt;0,"Pesar 1 m de la tela medida (Telas, kg por metro). ","")&amp;IF(T108="","Consumo Tela 2. ","")&amp;IF(W108="","Consumo Tela 3. ","")&amp;IF(K108="","Elegir tela principal. ",IF(ISERROR(INDEX(Telas!$I$6:$I$105,MATCH(K108,Telas!$A$6:$A$105,0))*1),"Precio o peso por metro de "&amp;K108&amp;". ",""))&amp;IF(AND(N(T108)&gt;0,L108=""),"Elegir Tela 2. ",IF(AND(N(T108)&gt;0,ISERROR(INDEX(Telas!$I$6:$I$105,MATCH(L108,Telas!$A$6:$A$105,0))*1)),"Precio o peso por metro de "&amp;L108&amp;". ",""))&amp;IF(Y108="","Metros impresos. ","")&amp;IF(F108="","Tipo de confección. ",IF(AB108="","Precio de confección. ",""))))</f>
        <v/>
      </c>
      <c r="AH108" s="27"/>
    </row>
    <row r="109" customFormat="false" ht="15" hidden="false" customHeight="false" outlineLevel="0" collapsed="false">
      <c r="A109" s="27"/>
      <c r="B109" s="27"/>
      <c r="C109" s="27"/>
      <c r="D109" s="27"/>
      <c r="E109" s="27"/>
      <c r="F109" s="27"/>
      <c r="G109" s="8"/>
      <c r="H109" s="27"/>
      <c r="I109" s="8"/>
      <c r="J109" s="27"/>
      <c r="K109" s="8"/>
      <c r="L109" s="8"/>
      <c r="M109" s="8"/>
      <c r="N109" s="8"/>
      <c r="O109" s="9" t="str">
        <f aca="false">IF($A109="","",IF(COUNTIFS(Despiece!$A$6:$A$705,$A109,Despiece!$D$6:$D$705,"Tela principal",Despiece!$F$6:$F$705,"&gt;0")=0,"",SUMIFS(Despiece!$F$6:$F$705,Despiece!$A$6:$A$705,$A109,Despiece!$D$6:$D$705,"Tela principal")))</f>
        <v/>
      </c>
      <c r="P109" s="9" t="str">
        <f aca="false">IF($A109="","",IFERROR(AVERAGEIFS(Mediciones!$K$6:$K$305,Mediciones!$C$6:$C$305,$A109,Mediciones!$D$6:$D$305,"Tela principal"),""))</f>
        <v/>
      </c>
      <c r="Q109" s="28" t="str">
        <f aca="false">IF($A109="","",IF(N(IF($N109="Despiece",IF(ISNUMBER(O109),O109*(1+Parametros!$B$22),IF(COUNTIFS(Despiece!$A$6:$A$705,$A109,Despiece!$D$6:$D$705,"Tela principal")&gt;0,"",0)),IF($N109="Medición real",IF(ISNUMBER(P109),P109,IF(COUNTIFS(Mediciones!$C$6:$C$305,$A109,Mediciones!$D$6:$D$305,"Tela principal")&gt;0,"",0)),IF(ISNUMBER(P109),P109,IF(ISNUMBER(O109),O109*(1+Parametros!$B$22),IF(OR(COUNTIFS(Despiece!$A$6:$A$705,$A109,Despiece!$D$6:$D$705,"Tela principal")&gt;0,COUNTIFS(Mediciones!$C$6:$C$305,$A109,Mediciones!$D$6:$D$305,"Tela principal")&gt;0),"",0))))))=0,"",IF($N109="Despiece",IF(ISNUMBER(O109),O109*(1+Parametros!$B$22),IF(COUNTIFS(Despiece!$A$6:$A$705,$A109,Despiece!$D$6:$D$705,"Tela principal")&gt;0,"",0)),IF($N109="Medición real",IF(ISNUMBER(P109),P109,IF(COUNTIFS(Mediciones!$C$6:$C$305,$A109,Mediciones!$D$6:$D$305,"Tela principal")&gt;0,"",0)),IF(ISNUMBER(P109),P109,IF(ISNUMBER(O109),O109*(1+Parametros!$B$22),IF(OR(COUNTIFS(Despiece!$A$6:$A$705,$A109,Despiece!$D$6:$D$705,"Tela principal")&gt;0,COUNTIFS(Mediciones!$C$6:$C$305,$A109,Mediciones!$D$6:$D$305,"Tela principal")&gt;0),"",0)))))))</f>
        <v/>
      </c>
      <c r="R109" s="9" t="str">
        <f aca="false">IF($A109="","",IF(COUNTIFS(Despiece!$A$6:$A$705,$A109,Despiece!$D$6:$D$705,"Tela 2",Despiece!$F$6:$F$705,"&gt;0")=0,"",SUMIFS(Despiece!$F$6:$F$705,Despiece!$A$6:$A$705,$A109,Despiece!$D$6:$D$705,"Tela 2")))</f>
        <v/>
      </c>
      <c r="S109" s="9" t="str">
        <f aca="false">IF($A109="","",IFERROR(AVERAGEIFS(Mediciones!$K$6:$K$305,Mediciones!$C$6:$C$305,$A109,Mediciones!$D$6:$D$305,"Tela 2"),""))</f>
        <v/>
      </c>
      <c r="T109" s="28" t="str">
        <f aca="false">IF($A109="","",IF($N109="Despiece",IF(ISNUMBER(R109),R109*(1+Parametros!$B$22),IF(COUNTIFS(Despiece!$A$6:$A$705,$A109,Despiece!$D$6:$D$705,"Tela 2")&gt;0,"",0)),IF($N109="Medición real",IF(ISNUMBER(S109),S109,IF(COUNTIFS(Mediciones!$C$6:$C$305,$A109,Mediciones!$D$6:$D$305,"Tela 2")&gt;0,"",0)),IF(ISNUMBER(S109),S109,IF(ISNUMBER(R109),R109*(1+Parametros!$B$22),IF(OR(COUNTIFS(Despiece!$A$6:$A$705,$A109,Despiece!$D$6:$D$705,"Tela 2")&gt;0,COUNTIFS(Mediciones!$C$6:$C$305,$A109,Mediciones!$D$6:$D$305,"Tela 2")&gt;0),"",0))))))</f>
        <v/>
      </c>
      <c r="U109" s="9" t="str">
        <f aca="false">IF($A109="","",IF(COUNTIFS(Despiece!$A$6:$A$705,$A109,Despiece!$D$6:$D$705,"Tela 3",Despiece!$F$6:$F$705,"&gt;0")=0,"",SUMIFS(Despiece!$F$6:$F$705,Despiece!$A$6:$A$705,$A109,Despiece!$D$6:$D$705,"Tela 3")))</f>
        <v/>
      </c>
      <c r="V109" s="9" t="str">
        <f aca="false">IF($A109="","",IFERROR(AVERAGEIFS(Mediciones!$K$6:$K$305,Mediciones!$C$6:$C$305,$A109,Mediciones!$D$6:$D$305,"Tela 3"),""))</f>
        <v/>
      </c>
      <c r="W109" s="28" t="str">
        <f aca="false">IF($A109="","",IF($N109="Despiece",IF(ISNUMBER(U109),U109*(1+Parametros!$B$22),IF(COUNTIFS(Despiece!$A$6:$A$705,$A109,Despiece!$D$6:$D$705,"Tela 3")&gt;0,"",0)),IF($N109="Medición real",IF(ISNUMBER(V109),V109,IF(COUNTIFS(Mediciones!$C$6:$C$305,$A109,Mediciones!$D$6:$D$305,"Tela 3")&gt;0,"",0)),IF(ISNUMBER(V109),V109,IF(ISNUMBER(U109),U109*(1+Parametros!$B$22),IF(OR(COUNTIFS(Despiece!$A$6:$A$705,$A109,Despiece!$D$6:$D$705,"Tela 3")&gt;0,COUNTIFS(Mediciones!$C$6:$C$305,$A109,Mediciones!$D$6:$D$305,"Tela 3")&gt;0),"",0))))))</f>
        <v/>
      </c>
      <c r="X109" s="27"/>
      <c r="Y109" s="9" t="str">
        <f aca="false">IF($A109="","",IF(ISNUMBER(X109),X109,IF(COUNTIFS(Despiece!$A$6:$A$705,$A109,Despiece!$E$6:$E$705,"Sublimada",Despiece!$F$6:$F$705,"&gt;0")&gt;0,SUMIFS(Despiece!$F$6:$F$705,Despiece!$A$6:$A$705,$A109,Despiece!$E$6:$E$705,"Sublimada")*(1+Parametros!$B$22),IF(COUNTIFS(Despiece!$A$6:$A$705,$A109,Despiece!$E$6:$E$705,"Sublimada")=0,0,""))))</f>
        <v/>
      </c>
      <c r="Z109" s="10" t="str">
        <f aca="false">IF($A109="","",IFERROR(IF(ISNUMBER(Q109),IF(Q109=0,0,Q109*INDEX(Telas!$I$6:$I$105,MATCH(K109,Telas!$A$6:$A$105,0))),NA())+IF(ISNUMBER(T109),IF(T109=0,0,T109*INDEX(Telas!$I$6:$I$105,MATCH(L109,Telas!$A$6:$A$105,0))),NA())+IF(ISNUMBER(W109),IF(W109=0,0,W109*INDEX(Telas!$I$6:$I$105,MATCH(IF(M109="",K109,M109),Telas!$A$6:$A$105,0))),NA()),""))</f>
        <v/>
      </c>
      <c r="AA109" s="10" t="str">
        <f aca="false">IF($A109="","",IF(ISNUMBER(Y109),Y109*Parametros!$B$19,""))</f>
        <v/>
      </c>
      <c r="AB109" s="10" t="str">
        <f aca="false">IF(OR($A109="",F109=""),"",IFERROR(INDEX(Confeccion!$B$6:$B$125,MATCH(F109,Confeccion!$A$6:$A$125,0)),""))</f>
        <v/>
      </c>
      <c r="AC109" s="10" t="str">
        <f aca="false">IF($A109="","",IFERROR(N(H109)*IF(G109="",0,INDEX(Avios!$C$6:$C$65,MATCH(G109,Avios!$A$6:$A$65,0)))+N(J109)*IF(I109="",0,INDEX(Avios!$C$6:$C$65,MATCH(I109,Avios!$A$6:$A$65,0))),""))</f>
        <v/>
      </c>
      <c r="AD109" s="11" t="str">
        <f aca="false">IF($A109="","",IFERROR(Z109+AA109+AB109+AC109,""))</f>
        <v/>
      </c>
      <c r="AE109" s="10" t="str">
        <f aca="false">IF(ISNUMBER(AD109),AD109*Parametros!$B$12,"")</f>
        <v/>
      </c>
      <c r="AF109" s="29" t="str">
        <f aca="false">IF(AND(ISNUMBER(Q109),K109&lt;&gt;""),IFERROR(1/(Q109*INDEX(Telas!$G$6:$G$105,MATCH(K109,Telas!$A$6:$A$105,0))),""),"")</f>
        <v/>
      </c>
      <c r="AG109" s="0" t="str">
        <f aca="false">IF($A109="","",IF(ISNUMBER(AD109),IF(AND(N(Y109)&gt;0,N(Parametros!$B$19)=0),"Lista, pero sin costo de impresión (Parametros)","Lista"),IF(Q109="","Consumo tela principal (Despiece o Mediciones). ","")&amp;IF(COUNTIFS(Mediciones!$C$6:$C$305,$A109,Mediciones!$K$6:$K$305,"")&gt;0,"Pesar 1 m de la tela medida (Telas, kg por metro). ","")&amp;IF(T109="","Consumo Tela 2. ","")&amp;IF(W109="","Consumo Tela 3. ","")&amp;IF(K109="","Elegir tela principal. ",IF(ISERROR(INDEX(Telas!$I$6:$I$105,MATCH(K109,Telas!$A$6:$A$105,0))*1),"Precio o peso por metro de "&amp;K109&amp;". ",""))&amp;IF(AND(N(T109)&gt;0,L109=""),"Elegir Tela 2. ",IF(AND(N(T109)&gt;0,ISERROR(INDEX(Telas!$I$6:$I$105,MATCH(L109,Telas!$A$6:$A$105,0))*1)),"Precio o peso por metro de "&amp;L109&amp;". ",""))&amp;IF(Y109="","Metros impresos. ","")&amp;IF(F109="","Tipo de confección. ",IF(AB109="","Precio de confección. ",""))))</f>
        <v/>
      </c>
      <c r="AH109" s="27"/>
    </row>
    <row r="110" customFormat="false" ht="15" hidden="false" customHeight="false" outlineLevel="0" collapsed="false">
      <c r="A110" s="27"/>
      <c r="B110" s="27"/>
      <c r="C110" s="27"/>
      <c r="D110" s="27"/>
      <c r="E110" s="27"/>
      <c r="F110" s="27"/>
      <c r="G110" s="8"/>
      <c r="H110" s="27"/>
      <c r="I110" s="8"/>
      <c r="J110" s="27"/>
      <c r="K110" s="8"/>
      <c r="L110" s="8"/>
      <c r="M110" s="8"/>
      <c r="N110" s="8"/>
      <c r="O110" s="9" t="str">
        <f aca="false">IF($A110="","",IF(COUNTIFS(Despiece!$A$6:$A$705,$A110,Despiece!$D$6:$D$705,"Tela principal",Despiece!$F$6:$F$705,"&gt;0")=0,"",SUMIFS(Despiece!$F$6:$F$705,Despiece!$A$6:$A$705,$A110,Despiece!$D$6:$D$705,"Tela principal")))</f>
        <v/>
      </c>
      <c r="P110" s="9" t="str">
        <f aca="false">IF($A110="","",IFERROR(AVERAGEIFS(Mediciones!$K$6:$K$305,Mediciones!$C$6:$C$305,$A110,Mediciones!$D$6:$D$305,"Tela principal"),""))</f>
        <v/>
      </c>
      <c r="Q110" s="28" t="str">
        <f aca="false">IF($A110="","",IF(N(IF($N110="Despiece",IF(ISNUMBER(O110),O110*(1+Parametros!$B$22),IF(COUNTIFS(Despiece!$A$6:$A$705,$A110,Despiece!$D$6:$D$705,"Tela principal")&gt;0,"",0)),IF($N110="Medición real",IF(ISNUMBER(P110),P110,IF(COUNTIFS(Mediciones!$C$6:$C$305,$A110,Mediciones!$D$6:$D$305,"Tela principal")&gt;0,"",0)),IF(ISNUMBER(P110),P110,IF(ISNUMBER(O110),O110*(1+Parametros!$B$22),IF(OR(COUNTIFS(Despiece!$A$6:$A$705,$A110,Despiece!$D$6:$D$705,"Tela principal")&gt;0,COUNTIFS(Mediciones!$C$6:$C$305,$A110,Mediciones!$D$6:$D$305,"Tela principal")&gt;0),"",0))))))=0,"",IF($N110="Despiece",IF(ISNUMBER(O110),O110*(1+Parametros!$B$22),IF(COUNTIFS(Despiece!$A$6:$A$705,$A110,Despiece!$D$6:$D$705,"Tela principal")&gt;0,"",0)),IF($N110="Medición real",IF(ISNUMBER(P110),P110,IF(COUNTIFS(Mediciones!$C$6:$C$305,$A110,Mediciones!$D$6:$D$305,"Tela principal")&gt;0,"",0)),IF(ISNUMBER(P110),P110,IF(ISNUMBER(O110),O110*(1+Parametros!$B$22),IF(OR(COUNTIFS(Despiece!$A$6:$A$705,$A110,Despiece!$D$6:$D$705,"Tela principal")&gt;0,COUNTIFS(Mediciones!$C$6:$C$305,$A110,Mediciones!$D$6:$D$305,"Tela principal")&gt;0),"",0)))))))</f>
        <v/>
      </c>
      <c r="R110" s="9" t="str">
        <f aca="false">IF($A110="","",IF(COUNTIFS(Despiece!$A$6:$A$705,$A110,Despiece!$D$6:$D$705,"Tela 2",Despiece!$F$6:$F$705,"&gt;0")=0,"",SUMIFS(Despiece!$F$6:$F$705,Despiece!$A$6:$A$705,$A110,Despiece!$D$6:$D$705,"Tela 2")))</f>
        <v/>
      </c>
      <c r="S110" s="9" t="str">
        <f aca="false">IF($A110="","",IFERROR(AVERAGEIFS(Mediciones!$K$6:$K$305,Mediciones!$C$6:$C$305,$A110,Mediciones!$D$6:$D$305,"Tela 2"),""))</f>
        <v/>
      </c>
      <c r="T110" s="28" t="str">
        <f aca="false">IF($A110="","",IF($N110="Despiece",IF(ISNUMBER(R110),R110*(1+Parametros!$B$22),IF(COUNTIFS(Despiece!$A$6:$A$705,$A110,Despiece!$D$6:$D$705,"Tela 2")&gt;0,"",0)),IF($N110="Medición real",IF(ISNUMBER(S110),S110,IF(COUNTIFS(Mediciones!$C$6:$C$305,$A110,Mediciones!$D$6:$D$305,"Tela 2")&gt;0,"",0)),IF(ISNUMBER(S110),S110,IF(ISNUMBER(R110),R110*(1+Parametros!$B$22),IF(OR(COUNTIFS(Despiece!$A$6:$A$705,$A110,Despiece!$D$6:$D$705,"Tela 2")&gt;0,COUNTIFS(Mediciones!$C$6:$C$305,$A110,Mediciones!$D$6:$D$305,"Tela 2")&gt;0),"",0))))))</f>
        <v/>
      </c>
      <c r="U110" s="9" t="str">
        <f aca="false">IF($A110="","",IF(COUNTIFS(Despiece!$A$6:$A$705,$A110,Despiece!$D$6:$D$705,"Tela 3",Despiece!$F$6:$F$705,"&gt;0")=0,"",SUMIFS(Despiece!$F$6:$F$705,Despiece!$A$6:$A$705,$A110,Despiece!$D$6:$D$705,"Tela 3")))</f>
        <v/>
      </c>
      <c r="V110" s="9" t="str">
        <f aca="false">IF($A110="","",IFERROR(AVERAGEIFS(Mediciones!$K$6:$K$305,Mediciones!$C$6:$C$305,$A110,Mediciones!$D$6:$D$305,"Tela 3"),""))</f>
        <v/>
      </c>
      <c r="W110" s="28" t="str">
        <f aca="false">IF($A110="","",IF($N110="Despiece",IF(ISNUMBER(U110),U110*(1+Parametros!$B$22),IF(COUNTIFS(Despiece!$A$6:$A$705,$A110,Despiece!$D$6:$D$705,"Tela 3")&gt;0,"",0)),IF($N110="Medición real",IF(ISNUMBER(V110),V110,IF(COUNTIFS(Mediciones!$C$6:$C$305,$A110,Mediciones!$D$6:$D$305,"Tela 3")&gt;0,"",0)),IF(ISNUMBER(V110),V110,IF(ISNUMBER(U110),U110*(1+Parametros!$B$22),IF(OR(COUNTIFS(Despiece!$A$6:$A$705,$A110,Despiece!$D$6:$D$705,"Tela 3")&gt;0,COUNTIFS(Mediciones!$C$6:$C$305,$A110,Mediciones!$D$6:$D$305,"Tela 3")&gt;0),"",0))))))</f>
        <v/>
      </c>
      <c r="X110" s="27"/>
      <c r="Y110" s="9" t="str">
        <f aca="false">IF($A110="","",IF(ISNUMBER(X110),X110,IF(COUNTIFS(Despiece!$A$6:$A$705,$A110,Despiece!$E$6:$E$705,"Sublimada",Despiece!$F$6:$F$705,"&gt;0")&gt;0,SUMIFS(Despiece!$F$6:$F$705,Despiece!$A$6:$A$705,$A110,Despiece!$E$6:$E$705,"Sublimada")*(1+Parametros!$B$22),IF(COUNTIFS(Despiece!$A$6:$A$705,$A110,Despiece!$E$6:$E$705,"Sublimada")=0,0,""))))</f>
        <v/>
      </c>
      <c r="Z110" s="10" t="str">
        <f aca="false">IF($A110="","",IFERROR(IF(ISNUMBER(Q110),IF(Q110=0,0,Q110*INDEX(Telas!$I$6:$I$105,MATCH(K110,Telas!$A$6:$A$105,0))),NA())+IF(ISNUMBER(T110),IF(T110=0,0,T110*INDEX(Telas!$I$6:$I$105,MATCH(L110,Telas!$A$6:$A$105,0))),NA())+IF(ISNUMBER(W110),IF(W110=0,0,W110*INDEX(Telas!$I$6:$I$105,MATCH(IF(M110="",K110,M110),Telas!$A$6:$A$105,0))),NA()),""))</f>
        <v/>
      </c>
      <c r="AA110" s="10" t="str">
        <f aca="false">IF($A110="","",IF(ISNUMBER(Y110),Y110*Parametros!$B$19,""))</f>
        <v/>
      </c>
      <c r="AB110" s="10" t="str">
        <f aca="false">IF(OR($A110="",F110=""),"",IFERROR(INDEX(Confeccion!$B$6:$B$125,MATCH(F110,Confeccion!$A$6:$A$125,0)),""))</f>
        <v/>
      </c>
      <c r="AC110" s="10" t="str">
        <f aca="false">IF($A110="","",IFERROR(N(H110)*IF(G110="",0,INDEX(Avios!$C$6:$C$65,MATCH(G110,Avios!$A$6:$A$65,0)))+N(J110)*IF(I110="",0,INDEX(Avios!$C$6:$C$65,MATCH(I110,Avios!$A$6:$A$65,0))),""))</f>
        <v/>
      </c>
      <c r="AD110" s="11" t="str">
        <f aca="false">IF($A110="","",IFERROR(Z110+AA110+AB110+AC110,""))</f>
        <v/>
      </c>
      <c r="AE110" s="10" t="str">
        <f aca="false">IF(ISNUMBER(AD110),AD110*Parametros!$B$12,"")</f>
        <v/>
      </c>
      <c r="AF110" s="29" t="str">
        <f aca="false">IF(AND(ISNUMBER(Q110),K110&lt;&gt;""),IFERROR(1/(Q110*INDEX(Telas!$G$6:$G$105,MATCH(K110,Telas!$A$6:$A$105,0))),""),"")</f>
        <v/>
      </c>
      <c r="AG110" s="0" t="str">
        <f aca="false">IF($A110="","",IF(ISNUMBER(AD110),IF(AND(N(Y110)&gt;0,N(Parametros!$B$19)=0),"Lista, pero sin costo de impresión (Parametros)","Lista"),IF(Q110="","Consumo tela principal (Despiece o Mediciones). ","")&amp;IF(COUNTIFS(Mediciones!$C$6:$C$305,$A110,Mediciones!$K$6:$K$305,"")&gt;0,"Pesar 1 m de la tela medida (Telas, kg por metro). ","")&amp;IF(T110="","Consumo Tela 2. ","")&amp;IF(W110="","Consumo Tela 3. ","")&amp;IF(K110="","Elegir tela principal. ",IF(ISERROR(INDEX(Telas!$I$6:$I$105,MATCH(K110,Telas!$A$6:$A$105,0))*1),"Precio o peso por metro de "&amp;K110&amp;". ",""))&amp;IF(AND(N(T110)&gt;0,L110=""),"Elegir Tela 2. ",IF(AND(N(T110)&gt;0,ISERROR(INDEX(Telas!$I$6:$I$105,MATCH(L110,Telas!$A$6:$A$105,0))*1)),"Precio o peso por metro de "&amp;L110&amp;". ",""))&amp;IF(Y110="","Metros impresos. ","")&amp;IF(F110="","Tipo de confección. ",IF(AB110="","Precio de confección. ",""))))</f>
        <v/>
      </c>
      <c r="AH110" s="27"/>
    </row>
    <row r="111" customFormat="false" ht="15" hidden="false" customHeight="false" outlineLevel="0" collapsed="false">
      <c r="A111" s="27"/>
      <c r="B111" s="27"/>
      <c r="C111" s="27"/>
      <c r="D111" s="27"/>
      <c r="E111" s="27"/>
      <c r="F111" s="27"/>
      <c r="G111" s="8"/>
      <c r="H111" s="27"/>
      <c r="I111" s="8"/>
      <c r="J111" s="27"/>
      <c r="K111" s="8"/>
      <c r="L111" s="8"/>
      <c r="M111" s="8"/>
      <c r="N111" s="8"/>
      <c r="O111" s="9" t="str">
        <f aca="false">IF($A111="","",IF(COUNTIFS(Despiece!$A$6:$A$705,$A111,Despiece!$D$6:$D$705,"Tela principal",Despiece!$F$6:$F$705,"&gt;0")=0,"",SUMIFS(Despiece!$F$6:$F$705,Despiece!$A$6:$A$705,$A111,Despiece!$D$6:$D$705,"Tela principal")))</f>
        <v/>
      </c>
      <c r="P111" s="9" t="str">
        <f aca="false">IF($A111="","",IFERROR(AVERAGEIFS(Mediciones!$K$6:$K$305,Mediciones!$C$6:$C$305,$A111,Mediciones!$D$6:$D$305,"Tela principal"),""))</f>
        <v/>
      </c>
      <c r="Q111" s="28" t="str">
        <f aca="false">IF($A111="","",IF(N(IF($N111="Despiece",IF(ISNUMBER(O111),O111*(1+Parametros!$B$22),IF(COUNTIFS(Despiece!$A$6:$A$705,$A111,Despiece!$D$6:$D$705,"Tela principal")&gt;0,"",0)),IF($N111="Medición real",IF(ISNUMBER(P111),P111,IF(COUNTIFS(Mediciones!$C$6:$C$305,$A111,Mediciones!$D$6:$D$305,"Tela principal")&gt;0,"",0)),IF(ISNUMBER(P111),P111,IF(ISNUMBER(O111),O111*(1+Parametros!$B$22),IF(OR(COUNTIFS(Despiece!$A$6:$A$705,$A111,Despiece!$D$6:$D$705,"Tela principal")&gt;0,COUNTIFS(Mediciones!$C$6:$C$305,$A111,Mediciones!$D$6:$D$305,"Tela principal")&gt;0),"",0))))))=0,"",IF($N111="Despiece",IF(ISNUMBER(O111),O111*(1+Parametros!$B$22),IF(COUNTIFS(Despiece!$A$6:$A$705,$A111,Despiece!$D$6:$D$705,"Tela principal")&gt;0,"",0)),IF($N111="Medición real",IF(ISNUMBER(P111),P111,IF(COUNTIFS(Mediciones!$C$6:$C$305,$A111,Mediciones!$D$6:$D$305,"Tela principal")&gt;0,"",0)),IF(ISNUMBER(P111),P111,IF(ISNUMBER(O111),O111*(1+Parametros!$B$22),IF(OR(COUNTIFS(Despiece!$A$6:$A$705,$A111,Despiece!$D$6:$D$705,"Tela principal")&gt;0,COUNTIFS(Mediciones!$C$6:$C$305,$A111,Mediciones!$D$6:$D$305,"Tela principal")&gt;0),"",0)))))))</f>
        <v/>
      </c>
      <c r="R111" s="9" t="str">
        <f aca="false">IF($A111="","",IF(COUNTIFS(Despiece!$A$6:$A$705,$A111,Despiece!$D$6:$D$705,"Tela 2",Despiece!$F$6:$F$705,"&gt;0")=0,"",SUMIFS(Despiece!$F$6:$F$705,Despiece!$A$6:$A$705,$A111,Despiece!$D$6:$D$705,"Tela 2")))</f>
        <v/>
      </c>
      <c r="S111" s="9" t="str">
        <f aca="false">IF($A111="","",IFERROR(AVERAGEIFS(Mediciones!$K$6:$K$305,Mediciones!$C$6:$C$305,$A111,Mediciones!$D$6:$D$305,"Tela 2"),""))</f>
        <v/>
      </c>
      <c r="T111" s="28" t="str">
        <f aca="false">IF($A111="","",IF($N111="Despiece",IF(ISNUMBER(R111),R111*(1+Parametros!$B$22),IF(COUNTIFS(Despiece!$A$6:$A$705,$A111,Despiece!$D$6:$D$705,"Tela 2")&gt;0,"",0)),IF($N111="Medición real",IF(ISNUMBER(S111),S111,IF(COUNTIFS(Mediciones!$C$6:$C$305,$A111,Mediciones!$D$6:$D$305,"Tela 2")&gt;0,"",0)),IF(ISNUMBER(S111),S111,IF(ISNUMBER(R111),R111*(1+Parametros!$B$22),IF(OR(COUNTIFS(Despiece!$A$6:$A$705,$A111,Despiece!$D$6:$D$705,"Tela 2")&gt;0,COUNTIFS(Mediciones!$C$6:$C$305,$A111,Mediciones!$D$6:$D$305,"Tela 2")&gt;0),"",0))))))</f>
        <v/>
      </c>
      <c r="U111" s="9" t="str">
        <f aca="false">IF($A111="","",IF(COUNTIFS(Despiece!$A$6:$A$705,$A111,Despiece!$D$6:$D$705,"Tela 3",Despiece!$F$6:$F$705,"&gt;0")=0,"",SUMIFS(Despiece!$F$6:$F$705,Despiece!$A$6:$A$705,$A111,Despiece!$D$6:$D$705,"Tela 3")))</f>
        <v/>
      </c>
      <c r="V111" s="9" t="str">
        <f aca="false">IF($A111="","",IFERROR(AVERAGEIFS(Mediciones!$K$6:$K$305,Mediciones!$C$6:$C$305,$A111,Mediciones!$D$6:$D$305,"Tela 3"),""))</f>
        <v/>
      </c>
      <c r="W111" s="28" t="str">
        <f aca="false">IF($A111="","",IF($N111="Despiece",IF(ISNUMBER(U111),U111*(1+Parametros!$B$22),IF(COUNTIFS(Despiece!$A$6:$A$705,$A111,Despiece!$D$6:$D$705,"Tela 3")&gt;0,"",0)),IF($N111="Medición real",IF(ISNUMBER(V111),V111,IF(COUNTIFS(Mediciones!$C$6:$C$305,$A111,Mediciones!$D$6:$D$305,"Tela 3")&gt;0,"",0)),IF(ISNUMBER(V111),V111,IF(ISNUMBER(U111),U111*(1+Parametros!$B$22),IF(OR(COUNTIFS(Despiece!$A$6:$A$705,$A111,Despiece!$D$6:$D$705,"Tela 3")&gt;0,COUNTIFS(Mediciones!$C$6:$C$305,$A111,Mediciones!$D$6:$D$305,"Tela 3")&gt;0),"",0))))))</f>
        <v/>
      </c>
      <c r="X111" s="27"/>
      <c r="Y111" s="9" t="str">
        <f aca="false">IF($A111="","",IF(ISNUMBER(X111),X111,IF(COUNTIFS(Despiece!$A$6:$A$705,$A111,Despiece!$E$6:$E$705,"Sublimada",Despiece!$F$6:$F$705,"&gt;0")&gt;0,SUMIFS(Despiece!$F$6:$F$705,Despiece!$A$6:$A$705,$A111,Despiece!$E$6:$E$705,"Sublimada")*(1+Parametros!$B$22),IF(COUNTIFS(Despiece!$A$6:$A$705,$A111,Despiece!$E$6:$E$705,"Sublimada")=0,0,""))))</f>
        <v/>
      </c>
      <c r="Z111" s="10" t="str">
        <f aca="false">IF($A111="","",IFERROR(IF(ISNUMBER(Q111),IF(Q111=0,0,Q111*INDEX(Telas!$I$6:$I$105,MATCH(K111,Telas!$A$6:$A$105,0))),NA())+IF(ISNUMBER(T111),IF(T111=0,0,T111*INDEX(Telas!$I$6:$I$105,MATCH(L111,Telas!$A$6:$A$105,0))),NA())+IF(ISNUMBER(W111),IF(W111=0,0,W111*INDEX(Telas!$I$6:$I$105,MATCH(IF(M111="",K111,M111),Telas!$A$6:$A$105,0))),NA()),""))</f>
        <v/>
      </c>
      <c r="AA111" s="10" t="str">
        <f aca="false">IF($A111="","",IF(ISNUMBER(Y111),Y111*Parametros!$B$19,""))</f>
        <v/>
      </c>
      <c r="AB111" s="10" t="str">
        <f aca="false">IF(OR($A111="",F111=""),"",IFERROR(INDEX(Confeccion!$B$6:$B$125,MATCH(F111,Confeccion!$A$6:$A$125,0)),""))</f>
        <v/>
      </c>
      <c r="AC111" s="10" t="str">
        <f aca="false">IF($A111="","",IFERROR(N(H111)*IF(G111="",0,INDEX(Avios!$C$6:$C$65,MATCH(G111,Avios!$A$6:$A$65,0)))+N(J111)*IF(I111="",0,INDEX(Avios!$C$6:$C$65,MATCH(I111,Avios!$A$6:$A$65,0))),""))</f>
        <v/>
      </c>
      <c r="AD111" s="11" t="str">
        <f aca="false">IF($A111="","",IFERROR(Z111+AA111+AB111+AC111,""))</f>
        <v/>
      </c>
      <c r="AE111" s="10" t="str">
        <f aca="false">IF(ISNUMBER(AD111),AD111*Parametros!$B$12,"")</f>
        <v/>
      </c>
      <c r="AF111" s="29" t="str">
        <f aca="false">IF(AND(ISNUMBER(Q111),K111&lt;&gt;""),IFERROR(1/(Q111*INDEX(Telas!$G$6:$G$105,MATCH(K111,Telas!$A$6:$A$105,0))),""),"")</f>
        <v/>
      </c>
      <c r="AG111" s="0" t="str">
        <f aca="false">IF($A111="","",IF(ISNUMBER(AD111),IF(AND(N(Y111)&gt;0,N(Parametros!$B$19)=0),"Lista, pero sin costo de impresión (Parametros)","Lista"),IF(Q111="","Consumo tela principal (Despiece o Mediciones). ","")&amp;IF(COUNTIFS(Mediciones!$C$6:$C$305,$A111,Mediciones!$K$6:$K$305,"")&gt;0,"Pesar 1 m de la tela medida (Telas, kg por metro). ","")&amp;IF(T111="","Consumo Tela 2. ","")&amp;IF(W111="","Consumo Tela 3. ","")&amp;IF(K111="","Elegir tela principal. ",IF(ISERROR(INDEX(Telas!$I$6:$I$105,MATCH(K111,Telas!$A$6:$A$105,0))*1),"Precio o peso por metro de "&amp;K111&amp;". ",""))&amp;IF(AND(N(T111)&gt;0,L111=""),"Elegir Tela 2. ",IF(AND(N(T111)&gt;0,ISERROR(INDEX(Telas!$I$6:$I$105,MATCH(L111,Telas!$A$6:$A$105,0))*1)),"Precio o peso por metro de "&amp;L111&amp;". ",""))&amp;IF(Y111="","Metros impresos. ","")&amp;IF(F111="","Tipo de confección. ",IF(AB111="","Precio de confección. ",""))))</f>
        <v/>
      </c>
      <c r="AH111" s="27"/>
    </row>
    <row r="112" customFormat="false" ht="15" hidden="false" customHeight="false" outlineLevel="0" collapsed="false">
      <c r="A112" s="27"/>
      <c r="B112" s="27"/>
      <c r="C112" s="27"/>
      <c r="D112" s="27"/>
      <c r="E112" s="27"/>
      <c r="F112" s="27"/>
      <c r="G112" s="8"/>
      <c r="H112" s="27"/>
      <c r="I112" s="8"/>
      <c r="J112" s="27"/>
      <c r="K112" s="8"/>
      <c r="L112" s="8"/>
      <c r="M112" s="8"/>
      <c r="N112" s="8"/>
      <c r="O112" s="9" t="str">
        <f aca="false">IF($A112="","",IF(COUNTIFS(Despiece!$A$6:$A$705,$A112,Despiece!$D$6:$D$705,"Tela principal",Despiece!$F$6:$F$705,"&gt;0")=0,"",SUMIFS(Despiece!$F$6:$F$705,Despiece!$A$6:$A$705,$A112,Despiece!$D$6:$D$705,"Tela principal")))</f>
        <v/>
      </c>
      <c r="P112" s="9" t="str">
        <f aca="false">IF($A112="","",IFERROR(AVERAGEIFS(Mediciones!$K$6:$K$305,Mediciones!$C$6:$C$305,$A112,Mediciones!$D$6:$D$305,"Tela principal"),""))</f>
        <v/>
      </c>
      <c r="Q112" s="28" t="str">
        <f aca="false">IF($A112="","",IF(N(IF($N112="Despiece",IF(ISNUMBER(O112),O112*(1+Parametros!$B$22),IF(COUNTIFS(Despiece!$A$6:$A$705,$A112,Despiece!$D$6:$D$705,"Tela principal")&gt;0,"",0)),IF($N112="Medición real",IF(ISNUMBER(P112),P112,IF(COUNTIFS(Mediciones!$C$6:$C$305,$A112,Mediciones!$D$6:$D$305,"Tela principal")&gt;0,"",0)),IF(ISNUMBER(P112),P112,IF(ISNUMBER(O112),O112*(1+Parametros!$B$22),IF(OR(COUNTIFS(Despiece!$A$6:$A$705,$A112,Despiece!$D$6:$D$705,"Tela principal")&gt;0,COUNTIFS(Mediciones!$C$6:$C$305,$A112,Mediciones!$D$6:$D$305,"Tela principal")&gt;0),"",0))))))=0,"",IF($N112="Despiece",IF(ISNUMBER(O112),O112*(1+Parametros!$B$22),IF(COUNTIFS(Despiece!$A$6:$A$705,$A112,Despiece!$D$6:$D$705,"Tela principal")&gt;0,"",0)),IF($N112="Medición real",IF(ISNUMBER(P112),P112,IF(COUNTIFS(Mediciones!$C$6:$C$305,$A112,Mediciones!$D$6:$D$305,"Tela principal")&gt;0,"",0)),IF(ISNUMBER(P112),P112,IF(ISNUMBER(O112),O112*(1+Parametros!$B$22),IF(OR(COUNTIFS(Despiece!$A$6:$A$705,$A112,Despiece!$D$6:$D$705,"Tela principal")&gt;0,COUNTIFS(Mediciones!$C$6:$C$305,$A112,Mediciones!$D$6:$D$305,"Tela principal")&gt;0),"",0)))))))</f>
        <v/>
      </c>
      <c r="R112" s="9" t="str">
        <f aca="false">IF($A112="","",IF(COUNTIFS(Despiece!$A$6:$A$705,$A112,Despiece!$D$6:$D$705,"Tela 2",Despiece!$F$6:$F$705,"&gt;0")=0,"",SUMIFS(Despiece!$F$6:$F$705,Despiece!$A$6:$A$705,$A112,Despiece!$D$6:$D$705,"Tela 2")))</f>
        <v/>
      </c>
      <c r="S112" s="9" t="str">
        <f aca="false">IF($A112="","",IFERROR(AVERAGEIFS(Mediciones!$K$6:$K$305,Mediciones!$C$6:$C$305,$A112,Mediciones!$D$6:$D$305,"Tela 2"),""))</f>
        <v/>
      </c>
      <c r="T112" s="28" t="str">
        <f aca="false">IF($A112="","",IF($N112="Despiece",IF(ISNUMBER(R112),R112*(1+Parametros!$B$22),IF(COUNTIFS(Despiece!$A$6:$A$705,$A112,Despiece!$D$6:$D$705,"Tela 2")&gt;0,"",0)),IF($N112="Medición real",IF(ISNUMBER(S112),S112,IF(COUNTIFS(Mediciones!$C$6:$C$305,$A112,Mediciones!$D$6:$D$305,"Tela 2")&gt;0,"",0)),IF(ISNUMBER(S112),S112,IF(ISNUMBER(R112),R112*(1+Parametros!$B$22),IF(OR(COUNTIFS(Despiece!$A$6:$A$705,$A112,Despiece!$D$6:$D$705,"Tela 2")&gt;0,COUNTIFS(Mediciones!$C$6:$C$305,$A112,Mediciones!$D$6:$D$305,"Tela 2")&gt;0),"",0))))))</f>
        <v/>
      </c>
      <c r="U112" s="9" t="str">
        <f aca="false">IF($A112="","",IF(COUNTIFS(Despiece!$A$6:$A$705,$A112,Despiece!$D$6:$D$705,"Tela 3",Despiece!$F$6:$F$705,"&gt;0")=0,"",SUMIFS(Despiece!$F$6:$F$705,Despiece!$A$6:$A$705,$A112,Despiece!$D$6:$D$705,"Tela 3")))</f>
        <v/>
      </c>
      <c r="V112" s="9" t="str">
        <f aca="false">IF($A112="","",IFERROR(AVERAGEIFS(Mediciones!$K$6:$K$305,Mediciones!$C$6:$C$305,$A112,Mediciones!$D$6:$D$305,"Tela 3"),""))</f>
        <v/>
      </c>
      <c r="W112" s="28" t="str">
        <f aca="false">IF($A112="","",IF($N112="Despiece",IF(ISNUMBER(U112),U112*(1+Parametros!$B$22),IF(COUNTIFS(Despiece!$A$6:$A$705,$A112,Despiece!$D$6:$D$705,"Tela 3")&gt;0,"",0)),IF($N112="Medición real",IF(ISNUMBER(V112),V112,IF(COUNTIFS(Mediciones!$C$6:$C$305,$A112,Mediciones!$D$6:$D$305,"Tela 3")&gt;0,"",0)),IF(ISNUMBER(V112),V112,IF(ISNUMBER(U112),U112*(1+Parametros!$B$22),IF(OR(COUNTIFS(Despiece!$A$6:$A$705,$A112,Despiece!$D$6:$D$705,"Tela 3")&gt;0,COUNTIFS(Mediciones!$C$6:$C$305,$A112,Mediciones!$D$6:$D$305,"Tela 3")&gt;0),"",0))))))</f>
        <v/>
      </c>
      <c r="X112" s="27"/>
      <c r="Y112" s="9" t="str">
        <f aca="false">IF($A112="","",IF(ISNUMBER(X112),X112,IF(COUNTIFS(Despiece!$A$6:$A$705,$A112,Despiece!$E$6:$E$705,"Sublimada",Despiece!$F$6:$F$705,"&gt;0")&gt;0,SUMIFS(Despiece!$F$6:$F$705,Despiece!$A$6:$A$705,$A112,Despiece!$E$6:$E$705,"Sublimada")*(1+Parametros!$B$22),IF(COUNTIFS(Despiece!$A$6:$A$705,$A112,Despiece!$E$6:$E$705,"Sublimada")=0,0,""))))</f>
        <v/>
      </c>
      <c r="Z112" s="10" t="str">
        <f aca="false">IF($A112="","",IFERROR(IF(ISNUMBER(Q112),IF(Q112=0,0,Q112*INDEX(Telas!$I$6:$I$105,MATCH(K112,Telas!$A$6:$A$105,0))),NA())+IF(ISNUMBER(T112),IF(T112=0,0,T112*INDEX(Telas!$I$6:$I$105,MATCH(L112,Telas!$A$6:$A$105,0))),NA())+IF(ISNUMBER(W112),IF(W112=0,0,W112*INDEX(Telas!$I$6:$I$105,MATCH(IF(M112="",K112,M112),Telas!$A$6:$A$105,0))),NA()),""))</f>
        <v/>
      </c>
      <c r="AA112" s="10" t="str">
        <f aca="false">IF($A112="","",IF(ISNUMBER(Y112),Y112*Parametros!$B$19,""))</f>
        <v/>
      </c>
      <c r="AB112" s="10" t="str">
        <f aca="false">IF(OR($A112="",F112=""),"",IFERROR(INDEX(Confeccion!$B$6:$B$125,MATCH(F112,Confeccion!$A$6:$A$125,0)),""))</f>
        <v/>
      </c>
      <c r="AC112" s="10" t="str">
        <f aca="false">IF($A112="","",IFERROR(N(H112)*IF(G112="",0,INDEX(Avios!$C$6:$C$65,MATCH(G112,Avios!$A$6:$A$65,0)))+N(J112)*IF(I112="",0,INDEX(Avios!$C$6:$C$65,MATCH(I112,Avios!$A$6:$A$65,0))),""))</f>
        <v/>
      </c>
      <c r="AD112" s="11" t="str">
        <f aca="false">IF($A112="","",IFERROR(Z112+AA112+AB112+AC112,""))</f>
        <v/>
      </c>
      <c r="AE112" s="10" t="str">
        <f aca="false">IF(ISNUMBER(AD112),AD112*Parametros!$B$12,"")</f>
        <v/>
      </c>
      <c r="AF112" s="29" t="str">
        <f aca="false">IF(AND(ISNUMBER(Q112),K112&lt;&gt;""),IFERROR(1/(Q112*INDEX(Telas!$G$6:$G$105,MATCH(K112,Telas!$A$6:$A$105,0))),""),"")</f>
        <v/>
      </c>
      <c r="AG112" s="0" t="str">
        <f aca="false">IF($A112="","",IF(ISNUMBER(AD112),IF(AND(N(Y112)&gt;0,N(Parametros!$B$19)=0),"Lista, pero sin costo de impresión (Parametros)","Lista"),IF(Q112="","Consumo tela principal (Despiece o Mediciones). ","")&amp;IF(COUNTIFS(Mediciones!$C$6:$C$305,$A112,Mediciones!$K$6:$K$305,"")&gt;0,"Pesar 1 m de la tela medida (Telas, kg por metro). ","")&amp;IF(T112="","Consumo Tela 2. ","")&amp;IF(W112="","Consumo Tela 3. ","")&amp;IF(K112="","Elegir tela principal. ",IF(ISERROR(INDEX(Telas!$I$6:$I$105,MATCH(K112,Telas!$A$6:$A$105,0))*1),"Precio o peso por metro de "&amp;K112&amp;". ",""))&amp;IF(AND(N(T112)&gt;0,L112=""),"Elegir Tela 2. ",IF(AND(N(T112)&gt;0,ISERROR(INDEX(Telas!$I$6:$I$105,MATCH(L112,Telas!$A$6:$A$105,0))*1)),"Precio o peso por metro de "&amp;L112&amp;". ",""))&amp;IF(Y112="","Metros impresos. ","")&amp;IF(F112="","Tipo de confección. ",IF(AB112="","Precio de confección. ",""))))</f>
        <v/>
      </c>
      <c r="AH112" s="27"/>
    </row>
    <row r="113" customFormat="false" ht="15" hidden="false" customHeight="false" outlineLevel="0" collapsed="false">
      <c r="A113" s="27"/>
      <c r="B113" s="27"/>
      <c r="C113" s="27"/>
      <c r="D113" s="27"/>
      <c r="E113" s="27"/>
      <c r="F113" s="27"/>
      <c r="G113" s="8"/>
      <c r="H113" s="27"/>
      <c r="I113" s="8"/>
      <c r="J113" s="27"/>
      <c r="K113" s="8"/>
      <c r="L113" s="8"/>
      <c r="M113" s="8"/>
      <c r="N113" s="8"/>
      <c r="O113" s="9" t="str">
        <f aca="false">IF($A113="","",IF(COUNTIFS(Despiece!$A$6:$A$705,$A113,Despiece!$D$6:$D$705,"Tela principal",Despiece!$F$6:$F$705,"&gt;0")=0,"",SUMIFS(Despiece!$F$6:$F$705,Despiece!$A$6:$A$705,$A113,Despiece!$D$6:$D$705,"Tela principal")))</f>
        <v/>
      </c>
      <c r="P113" s="9" t="str">
        <f aca="false">IF($A113="","",IFERROR(AVERAGEIFS(Mediciones!$K$6:$K$305,Mediciones!$C$6:$C$305,$A113,Mediciones!$D$6:$D$305,"Tela principal"),""))</f>
        <v/>
      </c>
      <c r="Q113" s="28" t="str">
        <f aca="false">IF($A113="","",IF(N(IF($N113="Despiece",IF(ISNUMBER(O113),O113*(1+Parametros!$B$22),IF(COUNTIFS(Despiece!$A$6:$A$705,$A113,Despiece!$D$6:$D$705,"Tela principal")&gt;0,"",0)),IF($N113="Medición real",IF(ISNUMBER(P113),P113,IF(COUNTIFS(Mediciones!$C$6:$C$305,$A113,Mediciones!$D$6:$D$305,"Tela principal")&gt;0,"",0)),IF(ISNUMBER(P113),P113,IF(ISNUMBER(O113),O113*(1+Parametros!$B$22),IF(OR(COUNTIFS(Despiece!$A$6:$A$705,$A113,Despiece!$D$6:$D$705,"Tela principal")&gt;0,COUNTIFS(Mediciones!$C$6:$C$305,$A113,Mediciones!$D$6:$D$305,"Tela principal")&gt;0),"",0))))))=0,"",IF($N113="Despiece",IF(ISNUMBER(O113),O113*(1+Parametros!$B$22),IF(COUNTIFS(Despiece!$A$6:$A$705,$A113,Despiece!$D$6:$D$705,"Tela principal")&gt;0,"",0)),IF($N113="Medición real",IF(ISNUMBER(P113),P113,IF(COUNTIFS(Mediciones!$C$6:$C$305,$A113,Mediciones!$D$6:$D$305,"Tela principal")&gt;0,"",0)),IF(ISNUMBER(P113),P113,IF(ISNUMBER(O113),O113*(1+Parametros!$B$22),IF(OR(COUNTIFS(Despiece!$A$6:$A$705,$A113,Despiece!$D$6:$D$705,"Tela principal")&gt;0,COUNTIFS(Mediciones!$C$6:$C$305,$A113,Mediciones!$D$6:$D$305,"Tela principal")&gt;0),"",0)))))))</f>
        <v/>
      </c>
      <c r="R113" s="9" t="str">
        <f aca="false">IF($A113="","",IF(COUNTIFS(Despiece!$A$6:$A$705,$A113,Despiece!$D$6:$D$705,"Tela 2",Despiece!$F$6:$F$705,"&gt;0")=0,"",SUMIFS(Despiece!$F$6:$F$705,Despiece!$A$6:$A$705,$A113,Despiece!$D$6:$D$705,"Tela 2")))</f>
        <v/>
      </c>
      <c r="S113" s="9" t="str">
        <f aca="false">IF($A113="","",IFERROR(AVERAGEIFS(Mediciones!$K$6:$K$305,Mediciones!$C$6:$C$305,$A113,Mediciones!$D$6:$D$305,"Tela 2"),""))</f>
        <v/>
      </c>
      <c r="T113" s="28" t="str">
        <f aca="false">IF($A113="","",IF($N113="Despiece",IF(ISNUMBER(R113),R113*(1+Parametros!$B$22),IF(COUNTIFS(Despiece!$A$6:$A$705,$A113,Despiece!$D$6:$D$705,"Tela 2")&gt;0,"",0)),IF($N113="Medición real",IF(ISNUMBER(S113),S113,IF(COUNTIFS(Mediciones!$C$6:$C$305,$A113,Mediciones!$D$6:$D$305,"Tela 2")&gt;0,"",0)),IF(ISNUMBER(S113),S113,IF(ISNUMBER(R113),R113*(1+Parametros!$B$22),IF(OR(COUNTIFS(Despiece!$A$6:$A$705,$A113,Despiece!$D$6:$D$705,"Tela 2")&gt;0,COUNTIFS(Mediciones!$C$6:$C$305,$A113,Mediciones!$D$6:$D$305,"Tela 2")&gt;0),"",0))))))</f>
        <v/>
      </c>
      <c r="U113" s="9" t="str">
        <f aca="false">IF($A113="","",IF(COUNTIFS(Despiece!$A$6:$A$705,$A113,Despiece!$D$6:$D$705,"Tela 3",Despiece!$F$6:$F$705,"&gt;0")=0,"",SUMIFS(Despiece!$F$6:$F$705,Despiece!$A$6:$A$705,$A113,Despiece!$D$6:$D$705,"Tela 3")))</f>
        <v/>
      </c>
      <c r="V113" s="9" t="str">
        <f aca="false">IF($A113="","",IFERROR(AVERAGEIFS(Mediciones!$K$6:$K$305,Mediciones!$C$6:$C$305,$A113,Mediciones!$D$6:$D$305,"Tela 3"),""))</f>
        <v/>
      </c>
      <c r="W113" s="28" t="str">
        <f aca="false">IF($A113="","",IF($N113="Despiece",IF(ISNUMBER(U113),U113*(1+Parametros!$B$22),IF(COUNTIFS(Despiece!$A$6:$A$705,$A113,Despiece!$D$6:$D$705,"Tela 3")&gt;0,"",0)),IF($N113="Medición real",IF(ISNUMBER(V113),V113,IF(COUNTIFS(Mediciones!$C$6:$C$305,$A113,Mediciones!$D$6:$D$305,"Tela 3")&gt;0,"",0)),IF(ISNUMBER(V113),V113,IF(ISNUMBER(U113),U113*(1+Parametros!$B$22),IF(OR(COUNTIFS(Despiece!$A$6:$A$705,$A113,Despiece!$D$6:$D$705,"Tela 3")&gt;0,COUNTIFS(Mediciones!$C$6:$C$305,$A113,Mediciones!$D$6:$D$305,"Tela 3")&gt;0),"",0))))))</f>
        <v/>
      </c>
      <c r="X113" s="27"/>
      <c r="Y113" s="9" t="str">
        <f aca="false">IF($A113="","",IF(ISNUMBER(X113),X113,IF(COUNTIFS(Despiece!$A$6:$A$705,$A113,Despiece!$E$6:$E$705,"Sublimada",Despiece!$F$6:$F$705,"&gt;0")&gt;0,SUMIFS(Despiece!$F$6:$F$705,Despiece!$A$6:$A$705,$A113,Despiece!$E$6:$E$705,"Sublimada")*(1+Parametros!$B$22),IF(COUNTIFS(Despiece!$A$6:$A$705,$A113,Despiece!$E$6:$E$705,"Sublimada")=0,0,""))))</f>
        <v/>
      </c>
      <c r="Z113" s="10" t="str">
        <f aca="false">IF($A113="","",IFERROR(IF(ISNUMBER(Q113),IF(Q113=0,0,Q113*INDEX(Telas!$I$6:$I$105,MATCH(K113,Telas!$A$6:$A$105,0))),NA())+IF(ISNUMBER(T113),IF(T113=0,0,T113*INDEX(Telas!$I$6:$I$105,MATCH(L113,Telas!$A$6:$A$105,0))),NA())+IF(ISNUMBER(W113),IF(W113=0,0,W113*INDEX(Telas!$I$6:$I$105,MATCH(IF(M113="",K113,M113),Telas!$A$6:$A$105,0))),NA()),""))</f>
        <v/>
      </c>
      <c r="AA113" s="10" t="str">
        <f aca="false">IF($A113="","",IF(ISNUMBER(Y113),Y113*Parametros!$B$19,""))</f>
        <v/>
      </c>
      <c r="AB113" s="10" t="str">
        <f aca="false">IF(OR($A113="",F113=""),"",IFERROR(INDEX(Confeccion!$B$6:$B$125,MATCH(F113,Confeccion!$A$6:$A$125,0)),""))</f>
        <v/>
      </c>
      <c r="AC113" s="10" t="str">
        <f aca="false">IF($A113="","",IFERROR(N(H113)*IF(G113="",0,INDEX(Avios!$C$6:$C$65,MATCH(G113,Avios!$A$6:$A$65,0)))+N(J113)*IF(I113="",0,INDEX(Avios!$C$6:$C$65,MATCH(I113,Avios!$A$6:$A$65,0))),""))</f>
        <v/>
      </c>
      <c r="AD113" s="11" t="str">
        <f aca="false">IF($A113="","",IFERROR(Z113+AA113+AB113+AC113,""))</f>
        <v/>
      </c>
      <c r="AE113" s="10" t="str">
        <f aca="false">IF(ISNUMBER(AD113),AD113*Parametros!$B$12,"")</f>
        <v/>
      </c>
      <c r="AF113" s="29" t="str">
        <f aca="false">IF(AND(ISNUMBER(Q113),K113&lt;&gt;""),IFERROR(1/(Q113*INDEX(Telas!$G$6:$G$105,MATCH(K113,Telas!$A$6:$A$105,0))),""),"")</f>
        <v/>
      </c>
      <c r="AG113" s="0" t="str">
        <f aca="false">IF($A113="","",IF(ISNUMBER(AD113),IF(AND(N(Y113)&gt;0,N(Parametros!$B$19)=0),"Lista, pero sin costo de impresión (Parametros)","Lista"),IF(Q113="","Consumo tela principal (Despiece o Mediciones). ","")&amp;IF(COUNTIFS(Mediciones!$C$6:$C$305,$A113,Mediciones!$K$6:$K$305,"")&gt;0,"Pesar 1 m de la tela medida (Telas, kg por metro). ","")&amp;IF(T113="","Consumo Tela 2. ","")&amp;IF(W113="","Consumo Tela 3. ","")&amp;IF(K113="","Elegir tela principal. ",IF(ISERROR(INDEX(Telas!$I$6:$I$105,MATCH(K113,Telas!$A$6:$A$105,0))*1),"Precio o peso por metro de "&amp;K113&amp;". ",""))&amp;IF(AND(N(T113)&gt;0,L113=""),"Elegir Tela 2. ",IF(AND(N(T113)&gt;0,ISERROR(INDEX(Telas!$I$6:$I$105,MATCH(L113,Telas!$A$6:$A$105,0))*1)),"Precio o peso por metro de "&amp;L113&amp;". ",""))&amp;IF(Y113="","Metros impresos. ","")&amp;IF(F113="","Tipo de confección. ",IF(AB113="","Precio de confección. ",""))))</f>
        <v/>
      </c>
      <c r="AH113" s="27"/>
    </row>
    <row r="114" customFormat="false" ht="15" hidden="false" customHeight="false" outlineLevel="0" collapsed="false">
      <c r="A114" s="27"/>
      <c r="B114" s="27"/>
      <c r="C114" s="27"/>
      <c r="D114" s="27"/>
      <c r="E114" s="27"/>
      <c r="F114" s="27"/>
      <c r="G114" s="8"/>
      <c r="H114" s="27"/>
      <c r="I114" s="8"/>
      <c r="J114" s="27"/>
      <c r="K114" s="8"/>
      <c r="L114" s="8"/>
      <c r="M114" s="8"/>
      <c r="N114" s="8"/>
      <c r="O114" s="9" t="str">
        <f aca="false">IF($A114="","",IF(COUNTIFS(Despiece!$A$6:$A$705,$A114,Despiece!$D$6:$D$705,"Tela principal",Despiece!$F$6:$F$705,"&gt;0")=0,"",SUMIFS(Despiece!$F$6:$F$705,Despiece!$A$6:$A$705,$A114,Despiece!$D$6:$D$705,"Tela principal")))</f>
        <v/>
      </c>
      <c r="P114" s="9" t="str">
        <f aca="false">IF($A114="","",IFERROR(AVERAGEIFS(Mediciones!$K$6:$K$305,Mediciones!$C$6:$C$305,$A114,Mediciones!$D$6:$D$305,"Tela principal"),""))</f>
        <v/>
      </c>
      <c r="Q114" s="28" t="str">
        <f aca="false">IF($A114="","",IF(N(IF($N114="Despiece",IF(ISNUMBER(O114),O114*(1+Parametros!$B$22),IF(COUNTIFS(Despiece!$A$6:$A$705,$A114,Despiece!$D$6:$D$705,"Tela principal")&gt;0,"",0)),IF($N114="Medición real",IF(ISNUMBER(P114),P114,IF(COUNTIFS(Mediciones!$C$6:$C$305,$A114,Mediciones!$D$6:$D$305,"Tela principal")&gt;0,"",0)),IF(ISNUMBER(P114),P114,IF(ISNUMBER(O114),O114*(1+Parametros!$B$22),IF(OR(COUNTIFS(Despiece!$A$6:$A$705,$A114,Despiece!$D$6:$D$705,"Tela principal")&gt;0,COUNTIFS(Mediciones!$C$6:$C$305,$A114,Mediciones!$D$6:$D$305,"Tela principal")&gt;0),"",0))))))=0,"",IF($N114="Despiece",IF(ISNUMBER(O114),O114*(1+Parametros!$B$22),IF(COUNTIFS(Despiece!$A$6:$A$705,$A114,Despiece!$D$6:$D$705,"Tela principal")&gt;0,"",0)),IF($N114="Medición real",IF(ISNUMBER(P114),P114,IF(COUNTIFS(Mediciones!$C$6:$C$305,$A114,Mediciones!$D$6:$D$305,"Tela principal")&gt;0,"",0)),IF(ISNUMBER(P114),P114,IF(ISNUMBER(O114),O114*(1+Parametros!$B$22),IF(OR(COUNTIFS(Despiece!$A$6:$A$705,$A114,Despiece!$D$6:$D$705,"Tela principal")&gt;0,COUNTIFS(Mediciones!$C$6:$C$305,$A114,Mediciones!$D$6:$D$305,"Tela principal")&gt;0),"",0)))))))</f>
        <v/>
      </c>
      <c r="R114" s="9" t="str">
        <f aca="false">IF($A114="","",IF(COUNTIFS(Despiece!$A$6:$A$705,$A114,Despiece!$D$6:$D$705,"Tela 2",Despiece!$F$6:$F$705,"&gt;0")=0,"",SUMIFS(Despiece!$F$6:$F$705,Despiece!$A$6:$A$705,$A114,Despiece!$D$6:$D$705,"Tela 2")))</f>
        <v/>
      </c>
      <c r="S114" s="9" t="str">
        <f aca="false">IF($A114="","",IFERROR(AVERAGEIFS(Mediciones!$K$6:$K$305,Mediciones!$C$6:$C$305,$A114,Mediciones!$D$6:$D$305,"Tela 2"),""))</f>
        <v/>
      </c>
      <c r="T114" s="28" t="str">
        <f aca="false">IF($A114="","",IF($N114="Despiece",IF(ISNUMBER(R114),R114*(1+Parametros!$B$22),IF(COUNTIFS(Despiece!$A$6:$A$705,$A114,Despiece!$D$6:$D$705,"Tela 2")&gt;0,"",0)),IF($N114="Medición real",IF(ISNUMBER(S114),S114,IF(COUNTIFS(Mediciones!$C$6:$C$305,$A114,Mediciones!$D$6:$D$305,"Tela 2")&gt;0,"",0)),IF(ISNUMBER(S114),S114,IF(ISNUMBER(R114),R114*(1+Parametros!$B$22),IF(OR(COUNTIFS(Despiece!$A$6:$A$705,$A114,Despiece!$D$6:$D$705,"Tela 2")&gt;0,COUNTIFS(Mediciones!$C$6:$C$305,$A114,Mediciones!$D$6:$D$305,"Tela 2")&gt;0),"",0))))))</f>
        <v/>
      </c>
      <c r="U114" s="9" t="str">
        <f aca="false">IF($A114="","",IF(COUNTIFS(Despiece!$A$6:$A$705,$A114,Despiece!$D$6:$D$705,"Tela 3",Despiece!$F$6:$F$705,"&gt;0")=0,"",SUMIFS(Despiece!$F$6:$F$705,Despiece!$A$6:$A$705,$A114,Despiece!$D$6:$D$705,"Tela 3")))</f>
        <v/>
      </c>
      <c r="V114" s="9" t="str">
        <f aca="false">IF($A114="","",IFERROR(AVERAGEIFS(Mediciones!$K$6:$K$305,Mediciones!$C$6:$C$305,$A114,Mediciones!$D$6:$D$305,"Tela 3"),""))</f>
        <v/>
      </c>
      <c r="W114" s="28" t="str">
        <f aca="false">IF($A114="","",IF($N114="Despiece",IF(ISNUMBER(U114),U114*(1+Parametros!$B$22),IF(COUNTIFS(Despiece!$A$6:$A$705,$A114,Despiece!$D$6:$D$705,"Tela 3")&gt;0,"",0)),IF($N114="Medición real",IF(ISNUMBER(V114),V114,IF(COUNTIFS(Mediciones!$C$6:$C$305,$A114,Mediciones!$D$6:$D$305,"Tela 3")&gt;0,"",0)),IF(ISNUMBER(V114),V114,IF(ISNUMBER(U114),U114*(1+Parametros!$B$22),IF(OR(COUNTIFS(Despiece!$A$6:$A$705,$A114,Despiece!$D$6:$D$705,"Tela 3")&gt;0,COUNTIFS(Mediciones!$C$6:$C$305,$A114,Mediciones!$D$6:$D$305,"Tela 3")&gt;0),"",0))))))</f>
        <v/>
      </c>
      <c r="X114" s="27"/>
      <c r="Y114" s="9" t="str">
        <f aca="false">IF($A114="","",IF(ISNUMBER(X114),X114,IF(COUNTIFS(Despiece!$A$6:$A$705,$A114,Despiece!$E$6:$E$705,"Sublimada",Despiece!$F$6:$F$705,"&gt;0")&gt;0,SUMIFS(Despiece!$F$6:$F$705,Despiece!$A$6:$A$705,$A114,Despiece!$E$6:$E$705,"Sublimada")*(1+Parametros!$B$22),IF(COUNTIFS(Despiece!$A$6:$A$705,$A114,Despiece!$E$6:$E$705,"Sublimada")=0,0,""))))</f>
        <v/>
      </c>
      <c r="Z114" s="10" t="str">
        <f aca="false">IF($A114="","",IFERROR(IF(ISNUMBER(Q114),IF(Q114=0,0,Q114*INDEX(Telas!$I$6:$I$105,MATCH(K114,Telas!$A$6:$A$105,0))),NA())+IF(ISNUMBER(T114),IF(T114=0,0,T114*INDEX(Telas!$I$6:$I$105,MATCH(L114,Telas!$A$6:$A$105,0))),NA())+IF(ISNUMBER(W114),IF(W114=0,0,W114*INDEX(Telas!$I$6:$I$105,MATCH(IF(M114="",K114,M114),Telas!$A$6:$A$105,0))),NA()),""))</f>
        <v/>
      </c>
      <c r="AA114" s="10" t="str">
        <f aca="false">IF($A114="","",IF(ISNUMBER(Y114),Y114*Parametros!$B$19,""))</f>
        <v/>
      </c>
      <c r="AB114" s="10" t="str">
        <f aca="false">IF(OR($A114="",F114=""),"",IFERROR(INDEX(Confeccion!$B$6:$B$125,MATCH(F114,Confeccion!$A$6:$A$125,0)),""))</f>
        <v/>
      </c>
      <c r="AC114" s="10" t="str">
        <f aca="false">IF($A114="","",IFERROR(N(H114)*IF(G114="",0,INDEX(Avios!$C$6:$C$65,MATCH(G114,Avios!$A$6:$A$65,0)))+N(J114)*IF(I114="",0,INDEX(Avios!$C$6:$C$65,MATCH(I114,Avios!$A$6:$A$65,0))),""))</f>
        <v/>
      </c>
      <c r="AD114" s="11" t="str">
        <f aca="false">IF($A114="","",IFERROR(Z114+AA114+AB114+AC114,""))</f>
        <v/>
      </c>
      <c r="AE114" s="10" t="str">
        <f aca="false">IF(ISNUMBER(AD114),AD114*Parametros!$B$12,"")</f>
        <v/>
      </c>
      <c r="AF114" s="29" t="str">
        <f aca="false">IF(AND(ISNUMBER(Q114),K114&lt;&gt;""),IFERROR(1/(Q114*INDEX(Telas!$G$6:$G$105,MATCH(K114,Telas!$A$6:$A$105,0))),""),"")</f>
        <v/>
      </c>
      <c r="AG114" s="0" t="str">
        <f aca="false">IF($A114="","",IF(ISNUMBER(AD114),IF(AND(N(Y114)&gt;0,N(Parametros!$B$19)=0),"Lista, pero sin costo de impresión (Parametros)","Lista"),IF(Q114="","Consumo tela principal (Despiece o Mediciones). ","")&amp;IF(COUNTIFS(Mediciones!$C$6:$C$305,$A114,Mediciones!$K$6:$K$305,"")&gt;0,"Pesar 1 m de la tela medida (Telas, kg por metro). ","")&amp;IF(T114="","Consumo Tela 2. ","")&amp;IF(W114="","Consumo Tela 3. ","")&amp;IF(K114="","Elegir tela principal. ",IF(ISERROR(INDEX(Telas!$I$6:$I$105,MATCH(K114,Telas!$A$6:$A$105,0))*1),"Precio o peso por metro de "&amp;K114&amp;". ",""))&amp;IF(AND(N(T114)&gt;0,L114=""),"Elegir Tela 2. ",IF(AND(N(T114)&gt;0,ISERROR(INDEX(Telas!$I$6:$I$105,MATCH(L114,Telas!$A$6:$A$105,0))*1)),"Precio o peso por metro de "&amp;L114&amp;". ",""))&amp;IF(Y114="","Metros impresos. ","")&amp;IF(F114="","Tipo de confección. ",IF(AB114="","Precio de confección. ",""))))</f>
        <v/>
      </c>
      <c r="AH114" s="27"/>
    </row>
    <row r="115" customFormat="false" ht="15" hidden="false" customHeight="false" outlineLevel="0" collapsed="false">
      <c r="A115" s="27"/>
      <c r="B115" s="27"/>
      <c r="C115" s="27"/>
      <c r="D115" s="27"/>
      <c r="E115" s="27"/>
      <c r="F115" s="27"/>
      <c r="G115" s="8"/>
      <c r="H115" s="27"/>
      <c r="I115" s="8"/>
      <c r="J115" s="27"/>
      <c r="K115" s="8"/>
      <c r="L115" s="8"/>
      <c r="M115" s="8"/>
      <c r="N115" s="8"/>
      <c r="O115" s="9" t="str">
        <f aca="false">IF($A115="","",IF(COUNTIFS(Despiece!$A$6:$A$705,$A115,Despiece!$D$6:$D$705,"Tela principal",Despiece!$F$6:$F$705,"&gt;0")=0,"",SUMIFS(Despiece!$F$6:$F$705,Despiece!$A$6:$A$705,$A115,Despiece!$D$6:$D$705,"Tela principal")))</f>
        <v/>
      </c>
      <c r="P115" s="9" t="str">
        <f aca="false">IF($A115="","",IFERROR(AVERAGEIFS(Mediciones!$K$6:$K$305,Mediciones!$C$6:$C$305,$A115,Mediciones!$D$6:$D$305,"Tela principal"),""))</f>
        <v/>
      </c>
      <c r="Q115" s="28" t="str">
        <f aca="false">IF($A115="","",IF(N(IF($N115="Despiece",IF(ISNUMBER(O115),O115*(1+Parametros!$B$22),IF(COUNTIFS(Despiece!$A$6:$A$705,$A115,Despiece!$D$6:$D$705,"Tela principal")&gt;0,"",0)),IF($N115="Medición real",IF(ISNUMBER(P115),P115,IF(COUNTIFS(Mediciones!$C$6:$C$305,$A115,Mediciones!$D$6:$D$305,"Tela principal")&gt;0,"",0)),IF(ISNUMBER(P115),P115,IF(ISNUMBER(O115),O115*(1+Parametros!$B$22),IF(OR(COUNTIFS(Despiece!$A$6:$A$705,$A115,Despiece!$D$6:$D$705,"Tela principal")&gt;0,COUNTIFS(Mediciones!$C$6:$C$305,$A115,Mediciones!$D$6:$D$305,"Tela principal")&gt;0),"",0))))))=0,"",IF($N115="Despiece",IF(ISNUMBER(O115),O115*(1+Parametros!$B$22),IF(COUNTIFS(Despiece!$A$6:$A$705,$A115,Despiece!$D$6:$D$705,"Tela principal")&gt;0,"",0)),IF($N115="Medición real",IF(ISNUMBER(P115),P115,IF(COUNTIFS(Mediciones!$C$6:$C$305,$A115,Mediciones!$D$6:$D$305,"Tela principal")&gt;0,"",0)),IF(ISNUMBER(P115),P115,IF(ISNUMBER(O115),O115*(1+Parametros!$B$22),IF(OR(COUNTIFS(Despiece!$A$6:$A$705,$A115,Despiece!$D$6:$D$705,"Tela principal")&gt;0,COUNTIFS(Mediciones!$C$6:$C$305,$A115,Mediciones!$D$6:$D$305,"Tela principal")&gt;0),"",0)))))))</f>
        <v/>
      </c>
      <c r="R115" s="9" t="str">
        <f aca="false">IF($A115="","",IF(COUNTIFS(Despiece!$A$6:$A$705,$A115,Despiece!$D$6:$D$705,"Tela 2",Despiece!$F$6:$F$705,"&gt;0")=0,"",SUMIFS(Despiece!$F$6:$F$705,Despiece!$A$6:$A$705,$A115,Despiece!$D$6:$D$705,"Tela 2")))</f>
        <v/>
      </c>
      <c r="S115" s="9" t="str">
        <f aca="false">IF($A115="","",IFERROR(AVERAGEIFS(Mediciones!$K$6:$K$305,Mediciones!$C$6:$C$305,$A115,Mediciones!$D$6:$D$305,"Tela 2"),""))</f>
        <v/>
      </c>
      <c r="T115" s="28" t="str">
        <f aca="false">IF($A115="","",IF($N115="Despiece",IF(ISNUMBER(R115),R115*(1+Parametros!$B$22),IF(COUNTIFS(Despiece!$A$6:$A$705,$A115,Despiece!$D$6:$D$705,"Tela 2")&gt;0,"",0)),IF($N115="Medición real",IF(ISNUMBER(S115),S115,IF(COUNTIFS(Mediciones!$C$6:$C$305,$A115,Mediciones!$D$6:$D$305,"Tela 2")&gt;0,"",0)),IF(ISNUMBER(S115),S115,IF(ISNUMBER(R115),R115*(1+Parametros!$B$22),IF(OR(COUNTIFS(Despiece!$A$6:$A$705,$A115,Despiece!$D$6:$D$705,"Tela 2")&gt;0,COUNTIFS(Mediciones!$C$6:$C$305,$A115,Mediciones!$D$6:$D$305,"Tela 2")&gt;0),"",0))))))</f>
        <v/>
      </c>
      <c r="U115" s="9" t="str">
        <f aca="false">IF($A115="","",IF(COUNTIFS(Despiece!$A$6:$A$705,$A115,Despiece!$D$6:$D$705,"Tela 3",Despiece!$F$6:$F$705,"&gt;0")=0,"",SUMIFS(Despiece!$F$6:$F$705,Despiece!$A$6:$A$705,$A115,Despiece!$D$6:$D$705,"Tela 3")))</f>
        <v/>
      </c>
      <c r="V115" s="9" t="str">
        <f aca="false">IF($A115="","",IFERROR(AVERAGEIFS(Mediciones!$K$6:$K$305,Mediciones!$C$6:$C$305,$A115,Mediciones!$D$6:$D$305,"Tela 3"),""))</f>
        <v/>
      </c>
      <c r="W115" s="28" t="str">
        <f aca="false">IF($A115="","",IF($N115="Despiece",IF(ISNUMBER(U115),U115*(1+Parametros!$B$22),IF(COUNTIFS(Despiece!$A$6:$A$705,$A115,Despiece!$D$6:$D$705,"Tela 3")&gt;0,"",0)),IF($N115="Medición real",IF(ISNUMBER(V115),V115,IF(COUNTIFS(Mediciones!$C$6:$C$305,$A115,Mediciones!$D$6:$D$305,"Tela 3")&gt;0,"",0)),IF(ISNUMBER(V115),V115,IF(ISNUMBER(U115),U115*(1+Parametros!$B$22),IF(OR(COUNTIFS(Despiece!$A$6:$A$705,$A115,Despiece!$D$6:$D$705,"Tela 3")&gt;0,COUNTIFS(Mediciones!$C$6:$C$305,$A115,Mediciones!$D$6:$D$305,"Tela 3")&gt;0),"",0))))))</f>
        <v/>
      </c>
      <c r="X115" s="27"/>
      <c r="Y115" s="9" t="str">
        <f aca="false">IF($A115="","",IF(ISNUMBER(X115),X115,IF(COUNTIFS(Despiece!$A$6:$A$705,$A115,Despiece!$E$6:$E$705,"Sublimada",Despiece!$F$6:$F$705,"&gt;0")&gt;0,SUMIFS(Despiece!$F$6:$F$705,Despiece!$A$6:$A$705,$A115,Despiece!$E$6:$E$705,"Sublimada")*(1+Parametros!$B$22),IF(COUNTIFS(Despiece!$A$6:$A$705,$A115,Despiece!$E$6:$E$705,"Sublimada")=0,0,""))))</f>
        <v/>
      </c>
      <c r="Z115" s="10" t="str">
        <f aca="false">IF($A115="","",IFERROR(IF(ISNUMBER(Q115),IF(Q115=0,0,Q115*INDEX(Telas!$I$6:$I$105,MATCH(K115,Telas!$A$6:$A$105,0))),NA())+IF(ISNUMBER(T115),IF(T115=0,0,T115*INDEX(Telas!$I$6:$I$105,MATCH(L115,Telas!$A$6:$A$105,0))),NA())+IF(ISNUMBER(W115),IF(W115=0,0,W115*INDEX(Telas!$I$6:$I$105,MATCH(IF(M115="",K115,M115),Telas!$A$6:$A$105,0))),NA()),""))</f>
        <v/>
      </c>
      <c r="AA115" s="10" t="str">
        <f aca="false">IF($A115="","",IF(ISNUMBER(Y115),Y115*Parametros!$B$19,""))</f>
        <v/>
      </c>
      <c r="AB115" s="10" t="str">
        <f aca="false">IF(OR($A115="",F115=""),"",IFERROR(INDEX(Confeccion!$B$6:$B$125,MATCH(F115,Confeccion!$A$6:$A$125,0)),""))</f>
        <v/>
      </c>
      <c r="AC115" s="10" t="str">
        <f aca="false">IF($A115="","",IFERROR(N(H115)*IF(G115="",0,INDEX(Avios!$C$6:$C$65,MATCH(G115,Avios!$A$6:$A$65,0)))+N(J115)*IF(I115="",0,INDEX(Avios!$C$6:$C$65,MATCH(I115,Avios!$A$6:$A$65,0))),""))</f>
        <v/>
      </c>
      <c r="AD115" s="11" t="str">
        <f aca="false">IF($A115="","",IFERROR(Z115+AA115+AB115+AC115,""))</f>
        <v/>
      </c>
      <c r="AE115" s="10" t="str">
        <f aca="false">IF(ISNUMBER(AD115),AD115*Parametros!$B$12,"")</f>
        <v/>
      </c>
      <c r="AF115" s="29" t="str">
        <f aca="false">IF(AND(ISNUMBER(Q115),K115&lt;&gt;""),IFERROR(1/(Q115*INDEX(Telas!$G$6:$G$105,MATCH(K115,Telas!$A$6:$A$105,0))),""),"")</f>
        <v/>
      </c>
      <c r="AG115" s="0" t="str">
        <f aca="false">IF($A115="","",IF(ISNUMBER(AD115),IF(AND(N(Y115)&gt;0,N(Parametros!$B$19)=0),"Lista, pero sin costo de impresión (Parametros)","Lista"),IF(Q115="","Consumo tela principal (Despiece o Mediciones). ","")&amp;IF(COUNTIFS(Mediciones!$C$6:$C$305,$A115,Mediciones!$K$6:$K$305,"")&gt;0,"Pesar 1 m de la tela medida (Telas, kg por metro). ","")&amp;IF(T115="","Consumo Tela 2. ","")&amp;IF(W115="","Consumo Tela 3. ","")&amp;IF(K115="","Elegir tela principal. ",IF(ISERROR(INDEX(Telas!$I$6:$I$105,MATCH(K115,Telas!$A$6:$A$105,0))*1),"Precio o peso por metro de "&amp;K115&amp;". ",""))&amp;IF(AND(N(T115)&gt;0,L115=""),"Elegir Tela 2. ",IF(AND(N(T115)&gt;0,ISERROR(INDEX(Telas!$I$6:$I$105,MATCH(L115,Telas!$A$6:$A$105,0))*1)),"Precio o peso por metro de "&amp;L115&amp;". ",""))&amp;IF(Y115="","Metros impresos. ","")&amp;IF(F115="","Tipo de confección. ",IF(AB115="","Precio de confección. ",""))))</f>
        <v/>
      </c>
      <c r="AH115" s="27"/>
    </row>
  </sheetData>
  <dataValidations count="7">
    <dataValidation allowBlank="true" errorStyle="stop" operator="between" showDropDown="false" showErrorMessage="false" showInputMessage="false" sqref="K6:K115" type="list">
      <formula1>Telas!$A$6:$A$105</formula1>
      <formula2>0</formula2>
    </dataValidation>
    <dataValidation allowBlank="true" errorStyle="stop" operator="between" showDropDown="false" showErrorMessage="false" showInputMessage="false" sqref="L6:L115" type="list">
      <formula1>Telas!$A$6:$A$105</formula1>
      <formula2>0</formula2>
    </dataValidation>
    <dataValidation allowBlank="true" errorStyle="stop" operator="between" showDropDown="false" showErrorMessage="false" showInputMessage="false" sqref="M6:M115" type="list">
      <formula1>Telas!$A$6:$A$105</formula1>
      <formula2>0</formula2>
    </dataValidation>
    <dataValidation allowBlank="true" errorStyle="stop" operator="between" showDropDown="false" showErrorMessage="false" showInputMessage="false" sqref="F6:F115" type="list">
      <formula1>Confeccion!$A$6:$A$125</formula1>
      <formula2>0</formula2>
    </dataValidation>
    <dataValidation allowBlank="true" errorStyle="stop" operator="between" showDropDown="false" showErrorMessage="false" showInputMessage="false" sqref="G6:G115" type="list">
      <formula1>Avios!$A$6:$A$65</formula1>
      <formula2>0</formula2>
    </dataValidation>
    <dataValidation allowBlank="true" errorStyle="stop" operator="between" showDropDown="false" showErrorMessage="false" showInputMessage="false" sqref="I6:I115" type="list">
      <formula1>Avios!$A$6:$A$65</formula1>
      <formula2>0</formula2>
    </dataValidation>
    <dataValidation allowBlank="true" errorStyle="stop" operator="between" showDropDown="false" showErrorMessage="false" showInputMessage="false" sqref="N6:N115" type="list">
      <formula1>"Despiece,Medición real"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24"/>
    <col collapsed="false" customWidth="true" hidden="false" outlineLevel="0" max="9" min="8" style="0" width="14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5" min="15" style="0" width="10"/>
    <col collapsed="false" customWidth="true" hidden="false" outlineLevel="0" max="17" min="16" style="0" width="12"/>
    <col collapsed="false" customWidth="true" hidden="false" outlineLevel="0" max="18" min="18" style="0" width="10"/>
    <col collapsed="false" customWidth="true" hidden="false" outlineLevel="0" max="20" min="19" style="0" width="11"/>
    <col collapsed="false" customWidth="true" hidden="false" outlineLevel="0" max="21" min="21" style="0" width="44"/>
  </cols>
  <sheetData>
    <row r="1" customFormat="false" ht="17.35" hidden="false" customHeight="false" outlineLevel="0" collapsed="false">
      <c r="A1" s="1" t="s">
        <v>216</v>
      </c>
    </row>
    <row r="2" customFormat="false" ht="15" hidden="false" customHeight="false" outlineLevel="0" collapsed="false">
      <c r="A2" s="2" t="s">
        <v>217</v>
      </c>
    </row>
    <row r="3" customFormat="false" ht="15" hidden="false" customHeight="false" outlineLevel="0" collapsed="false">
      <c r="A3" s="3" t="s">
        <v>218</v>
      </c>
    </row>
    <row r="4" customFormat="false" ht="15" hidden="false" customHeight="false" outlineLevel="0" collapsed="false">
      <c r="A4" s="24" t="s">
        <v>219</v>
      </c>
      <c r="G4" s="26" t="s">
        <v>220</v>
      </c>
    </row>
    <row r="5" customFormat="false" ht="45" hidden="false" customHeight="true" outlineLevel="0" collapsed="false">
      <c r="A5" s="6" t="s">
        <v>63</v>
      </c>
      <c r="B5" s="6" t="s">
        <v>221</v>
      </c>
      <c r="C5" s="6" t="s">
        <v>222</v>
      </c>
      <c r="D5" s="6" t="s">
        <v>223</v>
      </c>
      <c r="E5" s="6" t="s">
        <v>224</v>
      </c>
      <c r="F5" s="6" t="s">
        <v>225</v>
      </c>
      <c r="G5" s="6" t="s">
        <v>226</v>
      </c>
      <c r="H5" s="6" t="s">
        <v>227</v>
      </c>
      <c r="I5" s="6" t="s">
        <v>228</v>
      </c>
      <c r="J5" s="6" t="s">
        <v>229</v>
      </c>
      <c r="K5" s="6" t="s">
        <v>230</v>
      </c>
      <c r="L5" s="6" t="s">
        <v>80</v>
      </c>
      <c r="M5" s="6" t="s">
        <v>81</v>
      </c>
      <c r="N5" s="6" t="s">
        <v>82</v>
      </c>
      <c r="O5" s="6" t="s">
        <v>231</v>
      </c>
      <c r="P5" s="6" t="s">
        <v>84</v>
      </c>
      <c r="Q5" s="6" t="s">
        <v>232</v>
      </c>
      <c r="R5" s="6" t="s">
        <v>233</v>
      </c>
      <c r="S5" s="6" t="s">
        <v>234</v>
      </c>
      <c r="T5" s="6" t="s">
        <v>86</v>
      </c>
      <c r="U5" s="6" t="s">
        <v>87</v>
      </c>
    </row>
    <row r="6" customFormat="false" ht="15" hidden="false" customHeight="false" outlineLevel="0" collapsed="false">
      <c r="A6" s="27" t="s">
        <v>4</v>
      </c>
      <c r="B6" s="27" t="s">
        <v>120</v>
      </c>
      <c r="C6" s="27" t="s">
        <v>104</v>
      </c>
      <c r="D6" s="8"/>
      <c r="E6" s="15"/>
      <c r="F6" s="15" t="n">
        <v>18403</v>
      </c>
      <c r="G6" s="7" t="str">
        <f aca="false">IF($A6="","",IF(B6="",IFERROR(INDEX(Recetas!$K$6:$K$115,MATCH($A6,Recetas!$A$6:$A$115,0))&amp;"",""),B6))</f>
        <v>MONTESIMONE TRAINING (fut pro)</v>
      </c>
      <c r="H6" s="7" t="str">
        <f aca="false">IF($A6="","",IF(AND(C6="",N(IFERROR(INDEX(Recetas!$T$6:$T$115,MATCH($A6,Recetas!$A$6:$A$115,0)),1))=0),"—",IF(C6="",IFERROR(INDEX(Recetas!$L$6:$L$115,MATCH($A6,Recetas!$A$6:$A$115,0))&amp;"",""),C6)))</f>
        <v>MESH</v>
      </c>
      <c r="I6" s="7" t="str">
        <f aca="false">IF($A6="","",IF(AND(D6="",N(IFERROR(INDEX(Recetas!$W$6:$W$115,MATCH($A6,Recetas!$A$6:$A$115,0)),1))=0),"—",IF(D6="",IFERROR(IF(INDEX(Recetas!$M$6:$M$115,MATCH($A6,Recetas!$A$6:$A$115,0))&amp;""="",G6,INDEX(Recetas!$M$6:$M$115,MATCH($A6,Recetas!$A$6:$A$115,0))&amp;""),""),D6)))</f>
        <v>—</v>
      </c>
      <c r="J6" s="9" t="n">
        <f aca="false">IF($A6="","",IFERROR(INDEX(Recetas!$Q$6:$Q$115,MATCH($A6,Recetas!$A$6:$A$115,0)),""))</f>
        <v>0.609137055837563</v>
      </c>
      <c r="K6" s="10" t="n">
        <f aca="false">IF($A6="","",IFERROR(INDEX(Telas!$I$6:$I$105,MATCH(G6,Telas!$A$6:$A$105,0)),""))</f>
        <v>695.607</v>
      </c>
      <c r="L6" s="10" t="str">
        <f aca="false">IF($A6="","",IFERROR(IF(ISNUMBER(J6),IF(J6=0,0,J6*INDEX(Telas!$I$6:$I$105,MATCH(G6,Telas!$A$6:$A$105,0))),NA())+IF(ISNUMBER(INDEX(Recetas!$T$6:$T$115,MATCH($A6,Recetas!$A$6:$A$115,0))),IF(INDEX(Recetas!$T$6:$T$115,MATCH($A6,Recetas!$A$6:$A$115,0))=0,0,INDEX(Recetas!$T$6:$T$115,MATCH($A6,Recetas!$A$6:$A$115,0))*INDEX(Telas!$I$6:$I$105,MATCH(H6,Telas!$A$6:$A$105,0))),NA())+IF(ISNUMBER(INDEX(Recetas!$W$6:$W$115,MATCH($A6,Recetas!$A$6:$A$115,0))),IF(INDEX(Recetas!$W$6:$W$115,MATCH($A6,Recetas!$A$6:$A$115,0))=0,0,INDEX(Recetas!$W$6:$W$115,MATCH($A6,Recetas!$A$6:$A$115,0))*INDEX(Telas!$I$6:$I$105,MATCH(I6,Telas!$A$6:$A$105,0))),NA()),""))</f>
        <v/>
      </c>
      <c r="M6" s="10" t="n">
        <f aca="false">IF($A6="","",IFERROR(INDEX(Recetas!$AA$6:$AA$115,MATCH($A6,Recetas!$A$6:$A$115,0))*1,""))</f>
        <v>0</v>
      </c>
      <c r="N6" s="10" t="n">
        <f aca="false">IF($A6="","",IFERROR(INDEX(Recetas!$AB$6:$AB$115,MATCH($A6,Recetas!$A$6:$A$115,0))*1,""))</f>
        <v>2000</v>
      </c>
      <c r="O6" s="10" t="n">
        <f aca="false">IF($A6="","",IFERROR(INDEX(Recetas!$AC$6:$AC$115,MATCH($A6,Recetas!$A$6:$A$115,0))+N(E6),""))</f>
        <v>0</v>
      </c>
      <c r="P6" s="11" t="str">
        <f aca="false">IF($A6="","",IFERROR(L6+M6+N6+O6,""))</f>
        <v/>
      </c>
      <c r="Q6" s="11" t="str">
        <f aca="false">IF(ISNUMBER(P6),P6*Parametros!$B$12,"")</f>
        <v/>
      </c>
      <c r="R6" s="30" t="str">
        <f aca="false">IF(AND(ISNUMBER(P6),N(F6)&gt;0),(F6-P6-F6*Parametros!$B$8)/F6,"")</f>
        <v/>
      </c>
      <c r="S6" s="10" t="str">
        <f aca="false">IF(AND(ISNUMBER(P6),N(F6)&gt;0),F6-P6-F6*Parametros!$B$8,"")</f>
        <v/>
      </c>
      <c r="T6" s="29" t="n">
        <f aca="false">IF(AND(ISNUMBER(J6),G6&lt;&gt;""),IFERROR(1/(J6*INDEX(Telas!$G$6:$G$105,MATCH(G6,Telas!$A$6:$A$105,0))),""),"")</f>
        <v>8.33333333333333</v>
      </c>
      <c r="U6" s="7" t="str">
        <f aca="false">IF($A6="","",IF(ISNUMBER(P6),"OK",IF(K6="","Precio o peso por metro de "&amp;G6&amp;". ","")&amp;IFERROR(INDEX(Recetas!$AG$6:$AG$115,MATCH($A6,Recetas!$A$6:$A$115,0)),"Molde no existe en Recetas.")))</f>
        <v>Pesar 1 m de la tela medida (Telas, kg por metro). Consumo Tela 2. </v>
      </c>
    </row>
    <row r="7" customFormat="false" ht="15" hidden="false" customHeight="false" outlineLevel="0" collapsed="false">
      <c r="A7" s="27" t="s">
        <v>4</v>
      </c>
      <c r="B7" s="27" t="s">
        <v>103</v>
      </c>
      <c r="C7" s="27" t="s">
        <v>104</v>
      </c>
      <c r="D7" s="8"/>
      <c r="E7" s="15"/>
      <c r="F7" s="15" t="n">
        <v>18403</v>
      </c>
      <c r="G7" s="7" t="str">
        <f aca="false">IF($A7="","",IF(B7="",IFERROR(INDEX(Recetas!$K$6:$K$115,MATCH($A7,Recetas!$A$6:$A$115,0))&amp;"",""),B7))</f>
        <v>CIRE BLANCO</v>
      </c>
      <c r="H7" s="7" t="str">
        <f aca="false">IF($A7="","",IF(AND(C7="",N(IFERROR(INDEX(Recetas!$T$6:$T$115,MATCH($A7,Recetas!$A$6:$A$115,0)),1))=0),"—",IF(C7="",IFERROR(INDEX(Recetas!$L$6:$L$115,MATCH($A7,Recetas!$A$6:$A$115,0))&amp;"",""),C7)))</f>
        <v>MESH</v>
      </c>
      <c r="I7" s="7" t="str">
        <f aca="false">IF($A7="","",IF(AND(D7="",N(IFERROR(INDEX(Recetas!$W$6:$W$115,MATCH($A7,Recetas!$A$6:$A$115,0)),1))=0),"—",IF(D7="",IFERROR(IF(INDEX(Recetas!$M$6:$M$115,MATCH($A7,Recetas!$A$6:$A$115,0))&amp;""="",G7,INDEX(Recetas!$M$6:$M$115,MATCH($A7,Recetas!$A$6:$A$115,0))&amp;""),""),D7)))</f>
        <v>—</v>
      </c>
      <c r="J7" s="9" t="n">
        <f aca="false">IF($A7="","",IFERROR(INDEX(Recetas!$Q$6:$Q$115,MATCH($A7,Recetas!$A$6:$A$115,0)),""))</f>
        <v>0.609137055837563</v>
      </c>
      <c r="K7" s="10" t="str">
        <f aca="false">IF($A7="","",IFERROR(INDEX(Telas!$I$6:$I$105,MATCH(G7,Telas!$A$6:$A$105,0)),""))</f>
        <v/>
      </c>
      <c r="L7" s="10" t="str">
        <f aca="false">IF($A7="","",IFERROR(IF(ISNUMBER(J7),IF(J7=0,0,J7*INDEX(Telas!$I$6:$I$105,MATCH(G7,Telas!$A$6:$A$105,0))),NA())+IF(ISNUMBER(INDEX(Recetas!$T$6:$T$115,MATCH($A7,Recetas!$A$6:$A$115,0))),IF(INDEX(Recetas!$T$6:$T$115,MATCH($A7,Recetas!$A$6:$A$115,0))=0,0,INDEX(Recetas!$T$6:$T$115,MATCH($A7,Recetas!$A$6:$A$115,0))*INDEX(Telas!$I$6:$I$105,MATCH(H7,Telas!$A$6:$A$105,0))),NA())+IF(ISNUMBER(INDEX(Recetas!$W$6:$W$115,MATCH($A7,Recetas!$A$6:$A$115,0))),IF(INDEX(Recetas!$W$6:$W$115,MATCH($A7,Recetas!$A$6:$A$115,0))=0,0,INDEX(Recetas!$W$6:$W$115,MATCH($A7,Recetas!$A$6:$A$115,0))*INDEX(Telas!$I$6:$I$105,MATCH(I7,Telas!$A$6:$A$105,0))),NA()),""))</f>
        <v/>
      </c>
      <c r="M7" s="10" t="n">
        <f aca="false">IF($A7="","",IFERROR(INDEX(Recetas!$AA$6:$AA$115,MATCH($A7,Recetas!$A$6:$A$115,0))*1,""))</f>
        <v>0</v>
      </c>
      <c r="N7" s="10" t="n">
        <f aca="false">IF($A7="","",IFERROR(INDEX(Recetas!$AB$6:$AB$115,MATCH($A7,Recetas!$A$6:$A$115,0))*1,""))</f>
        <v>2000</v>
      </c>
      <c r="O7" s="10" t="n">
        <f aca="false">IF($A7="","",IFERROR(INDEX(Recetas!$AC$6:$AC$115,MATCH($A7,Recetas!$A$6:$A$115,0))+N(E7),""))</f>
        <v>0</v>
      </c>
      <c r="P7" s="11" t="str">
        <f aca="false">IF($A7="","",IFERROR(L7+M7+N7+O7,""))</f>
        <v/>
      </c>
      <c r="Q7" s="11" t="str">
        <f aca="false">IF(ISNUMBER(P7),P7*Parametros!$B$12,"")</f>
        <v/>
      </c>
      <c r="R7" s="30" t="str">
        <f aca="false">IF(AND(ISNUMBER(P7),N(F7)&gt;0),(F7-P7-F7*Parametros!$B$8)/F7,"")</f>
        <v/>
      </c>
      <c r="S7" s="10" t="str">
        <f aca="false">IF(AND(ISNUMBER(P7),N(F7)&gt;0),F7-P7-F7*Parametros!$B$8,"")</f>
        <v/>
      </c>
      <c r="T7" s="29" t="str">
        <f aca="false">IF(AND(ISNUMBER(J7),G7&lt;&gt;""),IFERROR(1/(J7*INDEX(Telas!$G$6:$G$105,MATCH(G7,Telas!$A$6:$A$105,0))),""),"")</f>
        <v/>
      </c>
      <c r="U7" s="7" t="str">
        <f aca="false">IF($A7="","",IF(ISNUMBER(P7),"OK",IF(K7="","Precio o peso por metro de "&amp;G7&amp;". ","")&amp;IFERROR(INDEX(Recetas!$AG$6:$AG$115,MATCH($A7,Recetas!$A$6:$A$115,0)),"Molde no existe en Recetas.")))</f>
        <v>Precio o peso por metro de CIRE BLANCO. Pesar 1 m de la tela medida (Telas, kg por metro). Consumo Tela 2. </v>
      </c>
    </row>
    <row r="8" customFormat="false" ht="15" hidden="false" customHeight="false" outlineLevel="0" collapsed="false">
      <c r="A8" s="27" t="s">
        <v>4</v>
      </c>
      <c r="B8" s="27" t="s">
        <v>235</v>
      </c>
      <c r="C8" s="27" t="s">
        <v>104</v>
      </c>
      <c r="D8" s="8"/>
      <c r="E8" s="15"/>
      <c r="F8" s="15" t="n">
        <v>18403</v>
      </c>
      <c r="G8" s="7" t="str">
        <f aca="false">IF($A8="","",IF(B8="",IFERROR(INDEX(Recetas!$K$6:$K$115,MATCH($A8,Recetas!$A$6:$A$115,0))&amp;"",""),B8))</f>
        <v>JACQUARD TECH</v>
      </c>
      <c r="H8" s="7" t="str">
        <f aca="false">IF($A8="","",IF(AND(C8="",N(IFERROR(INDEX(Recetas!$T$6:$T$115,MATCH($A8,Recetas!$A$6:$A$115,0)),1))=0),"—",IF(C8="",IFERROR(INDEX(Recetas!$L$6:$L$115,MATCH($A8,Recetas!$A$6:$A$115,0))&amp;"",""),C8)))</f>
        <v>MESH</v>
      </c>
      <c r="I8" s="7" t="str">
        <f aca="false">IF($A8="","",IF(AND(D8="",N(IFERROR(INDEX(Recetas!$W$6:$W$115,MATCH($A8,Recetas!$A$6:$A$115,0)),1))=0),"—",IF(D8="",IFERROR(IF(INDEX(Recetas!$M$6:$M$115,MATCH($A8,Recetas!$A$6:$A$115,0))&amp;""="",G8,INDEX(Recetas!$M$6:$M$115,MATCH($A8,Recetas!$A$6:$A$115,0))&amp;""),""),D8)))</f>
        <v>—</v>
      </c>
      <c r="J8" s="9" t="n">
        <f aca="false">IF($A8="","",IFERROR(INDEX(Recetas!$Q$6:$Q$115,MATCH($A8,Recetas!$A$6:$A$115,0)),""))</f>
        <v>0.609137055837563</v>
      </c>
      <c r="K8" s="10" t="n">
        <f aca="false">IF($A8="","",IFERROR(INDEX(Telas!$I$6:$I$105,MATCH(G8,Telas!$A$6:$A$105,0)),""))</f>
        <v>1027.064</v>
      </c>
      <c r="L8" s="10" t="str">
        <f aca="false">IF($A8="","",IFERROR(IF(ISNUMBER(J8),IF(J8=0,0,J8*INDEX(Telas!$I$6:$I$105,MATCH(G8,Telas!$A$6:$A$105,0))),NA())+IF(ISNUMBER(INDEX(Recetas!$T$6:$T$115,MATCH($A8,Recetas!$A$6:$A$115,0))),IF(INDEX(Recetas!$T$6:$T$115,MATCH($A8,Recetas!$A$6:$A$115,0))=0,0,INDEX(Recetas!$T$6:$T$115,MATCH($A8,Recetas!$A$6:$A$115,0))*INDEX(Telas!$I$6:$I$105,MATCH(H8,Telas!$A$6:$A$105,0))),NA())+IF(ISNUMBER(INDEX(Recetas!$W$6:$W$115,MATCH($A8,Recetas!$A$6:$A$115,0))),IF(INDEX(Recetas!$W$6:$W$115,MATCH($A8,Recetas!$A$6:$A$115,0))=0,0,INDEX(Recetas!$W$6:$W$115,MATCH($A8,Recetas!$A$6:$A$115,0))*INDEX(Telas!$I$6:$I$105,MATCH(I8,Telas!$A$6:$A$105,0))),NA()),""))</f>
        <v/>
      </c>
      <c r="M8" s="10" t="n">
        <f aca="false">IF($A8="","",IFERROR(INDEX(Recetas!$AA$6:$AA$115,MATCH($A8,Recetas!$A$6:$A$115,0))*1,""))</f>
        <v>0</v>
      </c>
      <c r="N8" s="10" t="n">
        <f aca="false">IF($A8="","",IFERROR(INDEX(Recetas!$AB$6:$AB$115,MATCH($A8,Recetas!$A$6:$A$115,0))*1,""))</f>
        <v>2000</v>
      </c>
      <c r="O8" s="10" t="n">
        <f aca="false">IF($A8="","",IFERROR(INDEX(Recetas!$AC$6:$AC$115,MATCH($A8,Recetas!$A$6:$A$115,0))+N(E8),""))</f>
        <v>0</v>
      </c>
      <c r="P8" s="11" t="str">
        <f aca="false">IF($A8="","",IFERROR(L8+M8+N8+O8,""))</f>
        <v/>
      </c>
      <c r="Q8" s="11" t="str">
        <f aca="false">IF(ISNUMBER(P8),P8*Parametros!$B$12,"")</f>
        <v/>
      </c>
      <c r="R8" s="30" t="str">
        <f aca="false">IF(AND(ISNUMBER(P8),N(F8)&gt;0),(F8-P8-F8*Parametros!$B$8)/F8,"")</f>
        <v/>
      </c>
      <c r="S8" s="10" t="str">
        <f aca="false">IF(AND(ISNUMBER(P8),N(F8)&gt;0),F8-P8-F8*Parametros!$B$8,"")</f>
        <v/>
      </c>
      <c r="T8" s="29" t="n">
        <f aca="false">IF(AND(ISNUMBER(J8),G8&lt;&gt;""),IFERROR(1/(J8*INDEX(Telas!$G$6:$G$105,MATCH(G8,Telas!$A$6:$A$105,0))),""),"")</f>
        <v>7.04577968526466</v>
      </c>
      <c r="U8" s="7" t="str">
        <f aca="false">IF($A8="","",IF(ISNUMBER(P8),"OK",IF(K8="","Precio o peso por metro de "&amp;G8&amp;". ","")&amp;IFERROR(INDEX(Recetas!$AG$6:$AG$115,MATCH($A8,Recetas!$A$6:$A$115,0)),"Molde no existe en Recetas.")))</f>
        <v>Pesar 1 m de la tela medida (Telas, kg por metro). Consumo Tela 2. </v>
      </c>
    </row>
    <row r="9" customFormat="false" ht="15" hidden="false" customHeight="false" outlineLevel="0" collapsed="false">
      <c r="A9" s="27" t="s">
        <v>149</v>
      </c>
      <c r="B9" s="27" t="s">
        <v>150</v>
      </c>
      <c r="C9" s="27"/>
      <c r="D9" s="8"/>
      <c r="E9" s="15"/>
      <c r="F9" s="15"/>
      <c r="G9" s="7" t="str">
        <f aca="false">IF($A9="","",IF(B9="",IFERROR(INDEX(Recetas!$K$6:$K$115,MATCH($A9,Recetas!$A$6:$A$115,0))&amp;"",""),B9))</f>
        <v>QUICKDRY</v>
      </c>
      <c r="H9" s="7" t="str">
        <f aca="false">IF($A9="","",IF(AND(C9="",N(IFERROR(INDEX(Recetas!$T$6:$T$115,MATCH($A9,Recetas!$A$6:$A$115,0)),1))=0),"—",IF(C9="",IFERROR(INDEX(Recetas!$L$6:$L$115,MATCH($A9,Recetas!$A$6:$A$115,0))&amp;"",""),C9)))</f>
        <v>—</v>
      </c>
      <c r="I9" s="7" t="str">
        <f aca="false">IF($A9="","",IF(AND(D9="",N(IFERROR(INDEX(Recetas!$W$6:$W$115,MATCH($A9,Recetas!$A$6:$A$115,0)),1))=0),"—",IF(D9="",IFERROR(IF(INDEX(Recetas!$M$6:$M$115,MATCH($A9,Recetas!$A$6:$A$115,0))&amp;""="",G9,INDEX(Recetas!$M$6:$M$115,MATCH($A9,Recetas!$A$6:$A$115,0))&amp;""),""),D9)))</f>
        <v>—</v>
      </c>
      <c r="J9" s="9" t="str">
        <f aca="false">IF($A9="","",IFERROR(INDEX(Recetas!$Q$6:$Q$115,MATCH($A9,Recetas!$A$6:$A$115,0)),""))</f>
        <v/>
      </c>
      <c r="K9" s="10" t="str">
        <f aca="false">IF($A9="","",IFERROR(INDEX(Telas!$I$6:$I$105,MATCH(G9,Telas!$A$6:$A$105,0)),""))</f>
        <v/>
      </c>
      <c r="L9" s="10" t="str">
        <f aca="false">IF($A9="","",IFERROR(IF(ISNUMBER(J9),IF(J9=0,0,J9*INDEX(Telas!$I$6:$I$105,MATCH(G9,Telas!$A$6:$A$105,0))),NA())+IF(ISNUMBER(INDEX(Recetas!$T$6:$T$115,MATCH($A9,Recetas!$A$6:$A$115,0))),IF(INDEX(Recetas!$T$6:$T$115,MATCH($A9,Recetas!$A$6:$A$115,0))=0,0,INDEX(Recetas!$T$6:$T$115,MATCH($A9,Recetas!$A$6:$A$115,0))*INDEX(Telas!$I$6:$I$105,MATCH(H9,Telas!$A$6:$A$105,0))),NA())+IF(ISNUMBER(INDEX(Recetas!$W$6:$W$115,MATCH($A9,Recetas!$A$6:$A$115,0))),IF(INDEX(Recetas!$W$6:$W$115,MATCH($A9,Recetas!$A$6:$A$115,0))=0,0,INDEX(Recetas!$W$6:$W$115,MATCH($A9,Recetas!$A$6:$A$115,0))*INDEX(Telas!$I$6:$I$105,MATCH(I9,Telas!$A$6:$A$105,0))),NA()),""))</f>
        <v/>
      </c>
      <c r="M9" s="10" t="str">
        <f aca="false">IF($A9="","",IFERROR(INDEX(Recetas!$AA$6:$AA$115,MATCH($A9,Recetas!$A$6:$A$115,0))*1,""))</f>
        <v/>
      </c>
      <c r="N9" s="10" t="n">
        <f aca="false">IF($A9="","",IFERROR(INDEX(Recetas!$AB$6:$AB$115,MATCH($A9,Recetas!$A$6:$A$115,0))*1,""))</f>
        <v>1900</v>
      </c>
      <c r="O9" s="10" t="n">
        <f aca="false">IF($A9="","",IFERROR(INDEX(Recetas!$AC$6:$AC$115,MATCH($A9,Recetas!$A$6:$A$115,0))+N(E9),""))</f>
        <v>0</v>
      </c>
      <c r="P9" s="11" t="str">
        <f aca="false">IF($A9="","",IFERROR(L9+M9+N9+O9,""))</f>
        <v/>
      </c>
      <c r="Q9" s="11" t="str">
        <f aca="false">IF(ISNUMBER(P9),P9*Parametros!$B$12,"")</f>
        <v/>
      </c>
      <c r="R9" s="30" t="str">
        <f aca="false">IF(AND(ISNUMBER(P9),N(F9)&gt;0),(F9-P9-F9*Parametros!$B$8)/F9,"")</f>
        <v/>
      </c>
      <c r="S9" s="10" t="str">
        <f aca="false">IF(AND(ISNUMBER(P9),N(F9)&gt;0),F9-P9-F9*Parametros!$B$8,"")</f>
        <v/>
      </c>
      <c r="T9" s="29" t="str">
        <f aca="false">IF(AND(ISNUMBER(J9),G9&lt;&gt;""),IFERROR(1/(J9*INDEX(Telas!$G$6:$G$105,MATCH(G9,Telas!$A$6:$A$105,0))),""),"")</f>
        <v/>
      </c>
      <c r="U9" s="7" t="str">
        <f aca="false">IF($A9="","",IF(ISNUMBER(P9),"OK",IF(K9="","Precio o peso por metro de "&amp;G9&amp;". ","")&amp;IFERROR(INDEX(Recetas!$AG$6:$AG$115,MATCH($A9,Recetas!$A$6:$A$115,0)),"Molde no existe en Recetas.")))</f>
        <v>Precio o peso por metro de QUICKDRY. Consumo tela principal (Despiece o Mediciones). Pesar 1 m de la tela medida (Telas, kg por metro). Precio o peso por metro de QUICKDRY. Metros impresos. </v>
      </c>
    </row>
    <row r="10" customFormat="false" ht="15" hidden="false" customHeight="false" outlineLevel="0" collapsed="false">
      <c r="A10" s="27" t="s">
        <v>149</v>
      </c>
      <c r="B10" s="27" t="s">
        <v>236</v>
      </c>
      <c r="C10" s="27"/>
      <c r="D10" s="8"/>
      <c r="E10" s="15"/>
      <c r="F10" s="15"/>
      <c r="G10" s="7" t="str">
        <f aca="false">IF($A10="","",IF(B10="",IFERROR(INDEX(Recetas!$K$6:$K$115,MATCH($A10,Recetas!$A$6:$A$115,0))&amp;"",""),B10))</f>
        <v>MICROFIBRA</v>
      </c>
      <c r="H10" s="7" t="str">
        <f aca="false">IF($A10="","",IF(AND(C10="",N(IFERROR(INDEX(Recetas!$T$6:$T$115,MATCH($A10,Recetas!$A$6:$A$115,0)),1))=0),"—",IF(C10="",IFERROR(INDEX(Recetas!$L$6:$L$115,MATCH($A10,Recetas!$A$6:$A$115,0))&amp;"",""),C10)))</f>
        <v>—</v>
      </c>
      <c r="I10" s="7" t="str">
        <f aca="false">IF($A10="","",IF(AND(D10="",N(IFERROR(INDEX(Recetas!$W$6:$W$115,MATCH($A10,Recetas!$A$6:$A$115,0)),1))=0),"—",IF(D10="",IFERROR(IF(INDEX(Recetas!$M$6:$M$115,MATCH($A10,Recetas!$A$6:$A$115,0))&amp;""="",G10,INDEX(Recetas!$M$6:$M$115,MATCH($A10,Recetas!$A$6:$A$115,0))&amp;""),""),D10)))</f>
        <v>—</v>
      </c>
      <c r="J10" s="9" t="str">
        <f aca="false">IF($A10="","",IFERROR(INDEX(Recetas!$Q$6:$Q$115,MATCH($A10,Recetas!$A$6:$A$115,0)),""))</f>
        <v/>
      </c>
      <c r="K10" s="10" t="str">
        <f aca="false">IF($A10="","",IFERROR(INDEX(Telas!$I$6:$I$105,MATCH(G10,Telas!$A$6:$A$105,0)),""))</f>
        <v/>
      </c>
      <c r="L10" s="10" t="str">
        <f aca="false">IF($A10="","",IFERROR(IF(ISNUMBER(J10),IF(J10=0,0,J10*INDEX(Telas!$I$6:$I$105,MATCH(G10,Telas!$A$6:$A$105,0))),NA())+IF(ISNUMBER(INDEX(Recetas!$T$6:$T$115,MATCH($A10,Recetas!$A$6:$A$115,0))),IF(INDEX(Recetas!$T$6:$T$115,MATCH($A10,Recetas!$A$6:$A$115,0))=0,0,INDEX(Recetas!$T$6:$T$115,MATCH($A10,Recetas!$A$6:$A$115,0))*INDEX(Telas!$I$6:$I$105,MATCH(H10,Telas!$A$6:$A$105,0))),NA())+IF(ISNUMBER(INDEX(Recetas!$W$6:$W$115,MATCH($A10,Recetas!$A$6:$A$115,0))),IF(INDEX(Recetas!$W$6:$W$115,MATCH($A10,Recetas!$A$6:$A$115,0))=0,0,INDEX(Recetas!$W$6:$W$115,MATCH($A10,Recetas!$A$6:$A$115,0))*INDEX(Telas!$I$6:$I$105,MATCH(I10,Telas!$A$6:$A$105,0))),NA()),""))</f>
        <v/>
      </c>
      <c r="M10" s="10" t="str">
        <f aca="false">IF($A10="","",IFERROR(INDEX(Recetas!$AA$6:$AA$115,MATCH($A10,Recetas!$A$6:$A$115,0))*1,""))</f>
        <v/>
      </c>
      <c r="N10" s="10" t="n">
        <f aca="false">IF($A10="","",IFERROR(INDEX(Recetas!$AB$6:$AB$115,MATCH($A10,Recetas!$A$6:$A$115,0))*1,""))</f>
        <v>1900</v>
      </c>
      <c r="O10" s="10" t="n">
        <f aca="false">IF($A10="","",IFERROR(INDEX(Recetas!$AC$6:$AC$115,MATCH($A10,Recetas!$A$6:$A$115,0))+N(E10),""))</f>
        <v>0</v>
      </c>
      <c r="P10" s="11" t="str">
        <f aca="false">IF($A10="","",IFERROR(L10+M10+N10+O10,""))</f>
        <v/>
      </c>
      <c r="Q10" s="11" t="str">
        <f aca="false">IF(ISNUMBER(P10),P10*Parametros!$B$12,"")</f>
        <v/>
      </c>
      <c r="R10" s="30" t="str">
        <f aca="false">IF(AND(ISNUMBER(P10),N(F10)&gt;0),(F10-P10-F10*Parametros!$B$8)/F10,"")</f>
        <v/>
      </c>
      <c r="S10" s="10" t="str">
        <f aca="false">IF(AND(ISNUMBER(P10),N(F10)&gt;0),F10-P10-F10*Parametros!$B$8,"")</f>
        <v/>
      </c>
      <c r="T10" s="29" t="str">
        <f aca="false">IF(AND(ISNUMBER(J10),G10&lt;&gt;""),IFERROR(1/(J10*INDEX(Telas!$G$6:$G$105,MATCH(G10,Telas!$A$6:$A$105,0))),""),"")</f>
        <v/>
      </c>
      <c r="U10" s="7" t="str">
        <f aca="false">IF($A10="","",IF(ISNUMBER(P10),"OK",IF(K10="","Precio o peso por metro de "&amp;G10&amp;". ","")&amp;IFERROR(INDEX(Recetas!$AG$6:$AG$115,MATCH($A10,Recetas!$A$6:$A$115,0)),"Molde no existe en Recetas.")))</f>
        <v>Precio o peso por metro de MICROFIBRA. Consumo tela principal (Despiece o Mediciones). Pesar 1 m de la tela medida (Telas, kg por metro). Precio o peso por metro de QUICKDRY. Metros impresos. </v>
      </c>
    </row>
    <row r="11" customFormat="false" ht="15" hidden="false" customHeight="false" outlineLevel="0" collapsed="false">
      <c r="A11" s="27"/>
      <c r="B11" s="27"/>
      <c r="C11" s="27"/>
      <c r="D11" s="8"/>
      <c r="E11" s="15"/>
      <c r="F11" s="15"/>
      <c r="G11" s="7" t="str">
        <f aca="false">IF($A11="","",IF(B11="",IFERROR(INDEX(Recetas!$K$6:$K$115,MATCH($A11,Recetas!$A$6:$A$115,0))&amp;"",""),B11))</f>
        <v/>
      </c>
      <c r="H11" s="7" t="str">
        <f aca="false">IF($A11="","",IF(AND(C11="",N(IFERROR(INDEX(Recetas!$T$6:$T$115,MATCH($A11,Recetas!$A$6:$A$115,0)),1))=0),"—",IF(C11="",IFERROR(INDEX(Recetas!$L$6:$L$115,MATCH($A11,Recetas!$A$6:$A$115,0))&amp;"",""),C11)))</f>
        <v/>
      </c>
      <c r="I11" s="7" t="str">
        <f aca="false">IF($A11="","",IF(AND(D11="",N(IFERROR(INDEX(Recetas!$W$6:$W$115,MATCH($A11,Recetas!$A$6:$A$115,0)),1))=0),"—",IF(D11="",IFERROR(IF(INDEX(Recetas!$M$6:$M$115,MATCH($A11,Recetas!$A$6:$A$115,0))&amp;""="",G11,INDEX(Recetas!$M$6:$M$115,MATCH($A11,Recetas!$A$6:$A$115,0))&amp;""),""),D11)))</f>
        <v/>
      </c>
      <c r="J11" s="9" t="str">
        <f aca="false">IF($A11="","",IFERROR(INDEX(Recetas!$Q$6:$Q$115,MATCH($A11,Recetas!$A$6:$A$115,0)),""))</f>
        <v/>
      </c>
      <c r="K11" s="10" t="str">
        <f aca="false">IF($A11="","",IFERROR(INDEX(Telas!$I$6:$I$105,MATCH(G11,Telas!$A$6:$A$105,0)),""))</f>
        <v/>
      </c>
      <c r="L11" s="10" t="str">
        <f aca="false">IF($A11="","",IFERROR(IF(ISNUMBER(J11),IF(J11=0,0,J11*INDEX(Telas!$I$6:$I$105,MATCH(G11,Telas!$A$6:$A$105,0))),NA())+IF(ISNUMBER(INDEX(Recetas!$T$6:$T$115,MATCH($A11,Recetas!$A$6:$A$115,0))),IF(INDEX(Recetas!$T$6:$T$115,MATCH($A11,Recetas!$A$6:$A$115,0))=0,0,INDEX(Recetas!$T$6:$T$115,MATCH($A11,Recetas!$A$6:$A$115,0))*INDEX(Telas!$I$6:$I$105,MATCH(H11,Telas!$A$6:$A$105,0))),NA())+IF(ISNUMBER(INDEX(Recetas!$W$6:$W$115,MATCH($A11,Recetas!$A$6:$A$115,0))),IF(INDEX(Recetas!$W$6:$W$115,MATCH($A11,Recetas!$A$6:$A$115,0))=0,0,INDEX(Recetas!$W$6:$W$115,MATCH($A11,Recetas!$A$6:$A$115,0))*INDEX(Telas!$I$6:$I$105,MATCH(I11,Telas!$A$6:$A$105,0))),NA()),""))</f>
        <v/>
      </c>
      <c r="M11" s="10" t="str">
        <f aca="false">IF($A11="","",IFERROR(INDEX(Recetas!$AA$6:$AA$115,MATCH($A11,Recetas!$A$6:$A$115,0))*1,""))</f>
        <v/>
      </c>
      <c r="N11" s="10" t="str">
        <f aca="false">IF($A11="","",IFERROR(INDEX(Recetas!$AB$6:$AB$115,MATCH($A11,Recetas!$A$6:$A$115,0))*1,""))</f>
        <v/>
      </c>
      <c r="O11" s="10" t="str">
        <f aca="false">IF($A11="","",IFERROR(INDEX(Recetas!$AC$6:$AC$115,MATCH($A11,Recetas!$A$6:$A$115,0))+N(E11),""))</f>
        <v/>
      </c>
      <c r="P11" s="11" t="str">
        <f aca="false">IF($A11="","",IFERROR(L11+M11+N11+O11,""))</f>
        <v/>
      </c>
      <c r="Q11" s="11" t="str">
        <f aca="false">IF(ISNUMBER(P11),P11*Parametros!$B$12,"")</f>
        <v/>
      </c>
      <c r="R11" s="30" t="str">
        <f aca="false">IF(AND(ISNUMBER(P11),N(F11)&gt;0),(F11-P11-F11*Parametros!$B$8)/F11,"")</f>
        <v/>
      </c>
      <c r="S11" s="10" t="str">
        <f aca="false">IF(AND(ISNUMBER(P11),N(F11)&gt;0),F11-P11-F11*Parametros!$B$8,"")</f>
        <v/>
      </c>
      <c r="T11" s="29" t="str">
        <f aca="false">IF(AND(ISNUMBER(J11),G11&lt;&gt;""),IFERROR(1/(J11*INDEX(Telas!$G$6:$G$105,MATCH(G11,Telas!$A$6:$A$105,0))),""),"")</f>
        <v/>
      </c>
      <c r="U11" s="7" t="str">
        <f aca="false">IF($A11="","",IF(ISNUMBER(P11),"OK",IF(K11="","Precio o peso por metro de "&amp;G11&amp;". ","")&amp;IFERROR(INDEX(Recetas!$AG$6:$AG$115,MATCH($A11,Recetas!$A$6:$A$115,0)),"Molde no existe en Recetas.")))</f>
        <v/>
      </c>
    </row>
    <row r="12" customFormat="false" ht="15" hidden="false" customHeight="false" outlineLevel="0" collapsed="false">
      <c r="A12" s="27"/>
      <c r="B12" s="27"/>
      <c r="C12" s="27"/>
      <c r="D12" s="8"/>
      <c r="E12" s="15"/>
      <c r="F12" s="15"/>
      <c r="G12" s="7" t="str">
        <f aca="false">IF($A12="","",IF(B12="",IFERROR(INDEX(Recetas!$K$6:$K$115,MATCH($A12,Recetas!$A$6:$A$115,0))&amp;"",""),B12))</f>
        <v/>
      </c>
      <c r="H12" s="7" t="str">
        <f aca="false">IF($A12="","",IF(AND(C12="",N(IFERROR(INDEX(Recetas!$T$6:$T$115,MATCH($A12,Recetas!$A$6:$A$115,0)),1))=0),"—",IF(C12="",IFERROR(INDEX(Recetas!$L$6:$L$115,MATCH($A12,Recetas!$A$6:$A$115,0))&amp;"",""),C12)))</f>
        <v/>
      </c>
      <c r="I12" s="7" t="str">
        <f aca="false">IF($A12="","",IF(AND(D12="",N(IFERROR(INDEX(Recetas!$W$6:$W$115,MATCH($A12,Recetas!$A$6:$A$115,0)),1))=0),"—",IF(D12="",IFERROR(IF(INDEX(Recetas!$M$6:$M$115,MATCH($A12,Recetas!$A$6:$A$115,0))&amp;""="",G12,INDEX(Recetas!$M$6:$M$115,MATCH($A12,Recetas!$A$6:$A$115,0))&amp;""),""),D12)))</f>
        <v/>
      </c>
      <c r="J12" s="9" t="str">
        <f aca="false">IF($A12="","",IFERROR(INDEX(Recetas!$Q$6:$Q$115,MATCH($A12,Recetas!$A$6:$A$115,0)),""))</f>
        <v/>
      </c>
      <c r="K12" s="10" t="str">
        <f aca="false">IF($A12="","",IFERROR(INDEX(Telas!$I$6:$I$105,MATCH(G12,Telas!$A$6:$A$105,0)),""))</f>
        <v/>
      </c>
      <c r="L12" s="10" t="str">
        <f aca="false">IF($A12="","",IFERROR(IF(ISNUMBER(J12),IF(J12=0,0,J12*INDEX(Telas!$I$6:$I$105,MATCH(G12,Telas!$A$6:$A$105,0))),NA())+IF(ISNUMBER(INDEX(Recetas!$T$6:$T$115,MATCH($A12,Recetas!$A$6:$A$115,0))),IF(INDEX(Recetas!$T$6:$T$115,MATCH($A12,Recetas!$A$6:$A$115,0))=0,0,INDEX(Recetas!$T$6:$T$115,MATCH($A12,Recetas!$A$6:$A$115,0))*INDEX(Telas!$I$6:$I$105,MATCH(H12,Telas!$A$6:$A$105,0))),NA())+IF(ISNUMBER(INDEX(Recetas!$W$6:$W$115,MATCH($A12,Recetas!$A$6:$A$115,0))),IF(INDEX(Recetas!$W$6:$W$115,MATCH($A12,Recetas!$A$6:$A$115,0))=0,0,INDEX(Recetas!$W$6:$W$115,MATCH($A12,Recetas!$A$6:$A$115,0))*INDEX(Telas!$I$6:$I$105,MATCH(I12,Telas!$A$6:$A$105,0))),NA()),""))</f>
        <v/>
      </c>
      <c r="M12" s="10" t="str">
        <f aca="false">IF($A12="","",IFERROR(INDEX(Recetas!$AA$6:$AA$115,MATCH($A12,Recetas!$A$6:$A$115,0))*1,""))</f>
        <v/>
      </c>
      <c r="N12" s="10" t="str">
        <f aca="false">IF($A12="","",IFERROR(INDEX(Recetas!$AB$6:$AB$115,MATCH($A12,Recetas!$A$6:$A$115,0))*1,""))</f>
        <v/>
      </c>
      <c r="O12" s="10" t="str">
        <f aca="false">IF($A12="","",IFERROR(INDEX(Recetas!$AC$6:$AC$115,MATCH($A12,Recetas!$A$6:$A$115,0))+N(E12),""))</f>
        <v/>
      </c>
      <c r="P12" s="11" t="str">
        <f aca="false">IF($A12="","",IFERROR(L12+M12+N12+O12,""))</f>
        <v/>
      </c>
      <c r="Q12" s="11" t="str">
        <f aca="false">IF(ISNUMBER(P12),P12*Parametros!$B$12,"")</f>
        <v/>
      </c>
      <c r="R12" s="30" t="str">
        <f aca="false">IF(AND(ISNUMBER(P12),N(F12)&gt;0),(F12-P12-F12*Parametros!$B$8)/F12,"")</f>
        <v/>
      </c>
      <c r="S12" s="10" t="str">
        <f aca="false">IF(AND(ISNUMBER(P12),N(F12)&gt;0),F12-P12-F12*Parametros!$B$8,"")</f>
        <v/>
      </c>
      <c r="T12" s="29" t="str">
        <f aca="false">IF(AND(ISNUMBER(J12),G12&lt;&gt;""),IFERROR(1/(J12*INDEX(Telas!$G$6:$G$105,MATCH(G12,Telas!$A$6:$A$105,0))),""),"")</f>
        <v/>
      </c>
      <c r="U12" s="7" t="str">
        <f aca="false">IF($A12="","",IF(ISNUMBER(P12),"OK",IF(K12="","Precio o peso por metro de "&amp;G12&amp;". ","")&amp;IFERROR(INDEX(Recetas!$AG$6:$AG$115,MATCH($A12,Recetas!$A$6:$A$115,0)),"Molde no existe en Recetas.")))</f>
        <v/>
      </c>
    </row>
    <row r="13" customFormat="false" ht="15" hidden="false" customHeight="false" outlineLevel="0" collapsed="false">
      <c r="A13" s="27"/>
      <c r="B13" s="27"/>
      <c r="C13" s="27"/>
      <c r="D13" s="8"/>
      <c r="E13" s="15"/>
      <c r="F13" s="15"/>
      <c r="G13" s="7" t="str">
        <f aca="false">IF($A13="","",IF(B13="",IFERROR(INDEX(Recetas!$K$6:$K$115,MATCH($A13,Recetas!$A$6:$A$115,0))&amp;"",""),B13))</f>
        <v/>
      </c>
      <c r="H13" s="7" t="str">
        <f aca="false">IF($A13="","",IF(AND(C13="",N(IFERROR(INDEX(Recetas!$T$6:$T$115,MATCH($A13,Recetas!$A$6:$A$115,0)),1))=0),"—",IF(C13="",IFERROR(INDEX(Recetas!$L$6:$L$115,MATCH($A13,Recetas!$A$6:$A$115,0))&amp;"",""),C13)))</f>
        <v/>
      </c>
      <c r="I13" s="7" t="str">
        <f aca="false">IF($A13="","",IF(AND(D13="",N(IFERROR(INDEX(Recetas!$W$6:$W$115,MATCH($A13,Recetas!$A$6:$A$115,0)),1))=0),"—",IF(D13="",IFERROR(IF(INDEX(Recetas!$M$6:$M$115,MATCH($A13,Recetas!$A$6:$A$115,0))&amp;""="",G13,INDEX(Recetas!$M$6:$M$115,MATCH($A13,Recetas!$A$6:$A$115,0))&amp;""),""),D13)))</f>
        <v/>
      </c>
      <c r="J13" s="9" t="str">
        <f aca="false">IF($A13="","",IFERROR(INDEX(Recetas!$Q$6:$Q$115,MATCH($A13,Recetas!$A$6:$A$115,0)),""))</f>
        <v/>
      </c>
      <c r="K13" s="10" t="str">
        <f aca="false">IF($A13="","",IFERROR(INDEX(Telas!$I$6:$I$105,MATCH(G13,Telas!$A$6:$A$105,0)),""))</f>
        <v/>
      </c>
      <c r="L13" s="10" t="str">
        <f aca="false">IF($A13="","",IFERROR(IF(ISNUMBER(J13),IF(J13=0,0,J13*INDEX(Telas!$I$6:$I$105,MATCH(G13,Telas!$A$6:$A$105,0))),NA())+IF(ISNUMBER(INDEX(Recetas!$T$6:$T$115,MATCH($A13,Recetas!$A$6:$A$115,0))),IF(INDEX(Recetas!$T$6:$T$115,MATCH($A13,Recetas!$A$6:$A$115,0))=0,0,INDEX(Recetas!$T$6:$T$115,MATCH($A13,Recetas!$A$6:$A$115,0))*INDEX(Telas!$I$6:$I$105,MATCH(H13,Telas!$A$6:$A$105,0))),NA())+IF(ISNUMBER(INDEX(Recetas!$W$6:$W$115,MATCH($A13,Recetas!$A$6:$A$115,0))),IF(INDEX(Recetas!$W$6:$W$115,MATCH($A13,Recetas!$A$6:$A$115,0))=0,0,INDEX(Recetas!$W$6:$W$115,MATCH($A13,Recetas!$A$6:$A$115,0))*INDEX(Telas!$I$6:$I$105,MATCH(I13,Telas!$A$6:$A$105,0))),NA()),""))</f>
        <v/>
      </c>
      <c r="M13" s="10" t="str">
        <f aca="false">IF($A13="","",IFERROR(INDEX(Recetas!$AA$6:$AA$115,MATCH($A13,Recetas!$A$6:$A$115,0))*1,""))</f>
        <v/>
      </c>
      <c r="N13" s="10" t="str">
        <f aca="false">IF($A13="","",IFERROR(INDEX(Recetas!$AB$6:$AB$115,MATCH($A13,Recetas!$A$6:$A$115,0))*1,""))</f>
        <v/>
      </c>
      <c r="O13" s="10" t="str">
        <f aca="false">IF($A13="","",IFERROR(INDEX(Recetas!$AC$6:$AC$115,MATCH($A13,Recetas!$A$6:$A$115,0))+N(E13),""))</f>
        <v/>
      </c>
      <c r="P13" s="11" t="str">
        <f aca="false">IF($A13="","",IFERROR(L13+M13+N13+O13,""))</f>
        <v/>
      </c>
      <c r="Q13" s="11" t="str">
        <f aca="false">IF(ISNUMBER(P13),P13*Parametros!$B$12,"")</f>
        <v/>
      </c>
      <c r="R13" s="30" t="str">
        <f aca="false">IF(AND(ISNUMBER(P13),N(F13)&gt;0),(F13-P13-F13*Parametros!$B$8)/F13,"")</f>
        <v/>
      </c>
      <c r="S13" s="10" t="str">
        <f aca="false">IF(AND(ISNUMBER(P13),N(F13)&gt;0),F13-P13-F13*Parametros!$B$8,"")</f>
        <v/>
      </c>
      <c r="T13" s="29" t="str">
        <f aca="false">IF(AND(ISNUMBER(J13),G13&lt;&gt;""),IFERROR(1/(J13*INDEX(Telas!$G$6:$G$105,MATCH(G13,Telas!$A$6:$A$105,0))),""),"")</f>
        <v/>
      </c>
      <c r="U13" s="7" t="str">
        <f aca="false">IF($A13="","",IF(ISNUMBER(P13),"OK",IF(K13="","Precio o peso por metro de "&amp;G13&amp;". ","")&amp;IFERROR(INDEX(Recetas!$AG$6:$AG$115,MATCH($A13,Recetas!$A$6:$A$115,0)),"Molde no existe en Recetas.")))</f>
        <v/>
      </c>
    </row>
    <row r="14" customFormat="false" ht="15" hidden="false" customHeight="false" outlineLevel="0" collapsed="false">
      <c r="A14" s="27"/>
      <c r="B14" s="27"/>
      <c r="C14" s="27"/>
      <c r="D14" s="8"/>
      <c r="E14" s="15"/>
      <c r="F14" s="15"/>
      <c r="G14" s="7" t="str">
        <f aca="false">IF($A14="","",IF(B14="",IFERROR(INDEX(Recetas!$K$6:$K$115,MATCH($A14,Recetas!$A$6:$A$115,0))&amp;"",""),B14))</f>
        <v/>
      </c>
      <c r="H14" s="7" t="str">
        <f aca="false">IF($A14="","",IF(AND(C14="",N(IFERROR(INDEX(Recetas!$T$6:$T$115,MATCH($A14,Recetas!$A$6:$A$115,0)),1))=0),"—",IF(C14="",IFERROR(INDEX(Recetas!$L$6:$L$115,MATCH($A14,Recetas!$A$6:$A$115,0))&amp;"",""),C14)))</f>
        <v/>
      </c>
      <c r="I14" s="7" t="str">
        <f aca="false">IF($A14="","",IF(AND(D14="",N(IFERROR(INDEX(Recetas!$W$6:$W$115,MATCH($A14,Recetas!$A$6:$A$115,0)),1))=0),"—",IF(D14="",IFERROR(IF(INDEX(Recetas!$M$6:$M$115,MATCH($A14,Recetas!$A$6:$A$115,0))&amp;""="",G14,INDEX(Recetas!$M$6:$M$115,MATCH($A14,Recetas!$A$6:$A$115,0))&amp;""),""),D14)))</f>
        <v/>
      </c>
      <c r="J14" s="9" t="str">
        <f aca="false">IF($A14="","",IFERROR(INDEX(Recetas!$Q$6:$Q$115,MATCH($A14,Recetas!$A$6:$A$115,0)),""))</f>
        <v/>
      </c>
      <c r="K14" s="10" t="str">
        <f aca="false">IF($A14="","",IFERROR(INDEX(Telas!$I$6:$I$105,MATCH(G14,Telas!$A$6:$A$105,0)),""))</f>
        <v/>
      </c>
      <c r="L14" s="10" t="str">
        <f aca="false">IF($A14="","",IFERROR(IF(ISNUMBER(J14),IF(J14=0,0,J14*INDEX(Telas!$I$6:$I$105,MATCH(G14,Telas!$A$6:$A$105,0))),NA())+IF(ISNUMBER(INDEX(Recetas!$T$6:$T$115,MATCH($A14,Recetas!$A$6:$A$115,0))),IF(INDEX(Recetas!$T$6:$T$115,MATCH($A14,Recetas!$A$6:$A$115,0))=0,0,INDEX(Recetas!$T$6:$T$115,MATCH($A14,Recetas!$A$6:$A$115,0))*INDEX(Telas!$I$6:$I$105,MATCH(H14,Telas!$A$6:$A$105,0))),NA())+IF(ISNUMBER(INDEX(Recetas!$W$6:$W$115,MATCH($A14,Recetas!$A$6:$A$115,0))),IF(INDEX(Recetas!$W$6:$W$115,MATCH($A14,Recetas!$A$6:$A$115,0))=0,0,INDEX(Recetas!$W$6:$W$115,MATCH($A14,Recetas!$A$6:$A$115,0))*INDEX(Telas!$I$6:$I$105,MATCH(I14,Telas!$A$6:$A$105,0))),NA()),""))</f>
        <v/>
      </c>
      <c r="M14" s="10" t="str">
        <f aca="false">IF($A14="","",IFERROR(INDEX(Recetas!$AA$6:$AA$115,MATCH($A14,Recetas!$A$6:$A$115,0))*1,""))</f>
        <v/>
      </c>
      <c r="N14" s="10" t="str">
        <f aca="false">IF($A14="","",IFERROR(INDEX(Recetas!$AB$6:$AB$115,MATCH($A14,Recetas!$A$6:$A$115,0))*1,""))</f>
        <v/>
      </c>
      <c r="O14" s="10" t="str">
        <f aca="false">IF($A14="","",IFERROR(INDEX(Recetas!$AC$6:$AC$115,MATCH($A14,Recetas!$A$6:$A$115,0))+N(E14),""))</f>
        <v/>
      </c>
      <c r="P14" s="11" t="str">
        <f aca="false">IF($A14="","",IFERROR(L14+M14+N14+O14,""))</f>
        <v/>
      </c>
      <c r="Q14" s="11" t="str">
        <f aca="false">IF(ISNUMBER(P14),P14*Parametros!$B$12,"")</f>
        <v/>
      </c>
      <c r="R14" s="30" t="str">
        <f aca="false">IF(AND(ISNUMBER(P14),N(F14)&gt;0),(F14-P14-F14*Parametros!$B$8)/F14,"")</f>
        <v/>
      </c>
      <c r="S14" s="10" t="str">
        <f aca="false">IF(AND(ISNUMBER(P14),N(F14)&gt;0),F14-P14-F14*Parametros!$B$8,"")</f>
        <v/>
      </c>
      <c r="T14" s="29" t="str">
        <f aca="false">IF(AND(ISNUMBER(J14),G14&lt;&gt;""),IFERROR(1/(J14*INDEX(Telas!$G$6:$G$105,MATCH(G14,Telas!$A$6:$A$105,0))),""),"")</f>
        <v/>
      </c>
      <c r="U14" s="7" t="str">
        <f aca="false">IF($A14="","",IF(ISNUMBER(P14),"OK",IF(K14="","Precio o peso por metro de "&amp;G14&amp;". ","")&amp;IFERROR(INDEX(Recetas!$AG$6:$AG$115,MATCH($A14,Recetas!$A$6:$A$115,0)),"Molde no existe en Recetas.")))</f>
        <v/>
      </c>
    </row>
    <row r="15" customFormat="false" ht="15" hidden="false" customHeight="false" outlineLevel="0" collapsed="false">
      <c r="A15" s="27"/>
      <c r="B15" s="27"/>
      <c r="C15" s="27"/>
      <c r="D15" s="8"/>
      <c r="E15" s="15"/>
      <c r="F15" s="15"/>
      <c r="G15" s="7" t="str">
        <f aca="false">IF($A15="","",IF(B15="",IFERROR(INDEX(Recetas!$K$6:$K$115,MATCH($A15,Recetas!$A$6:$A$115,0))&amp;"",""),B15))</f>
        <v/>
      </c>
      <c r="H15" s="7" t="str">
        <f aca="false">IF($A15="","",IF(AND(C15="",N(IFERROR(INDEX(Recetas!$T$6:$T$115,MATCH($A15,Recetas!$A$6:$A$115,0)),1))=0),"—",IF(C15="",IFERROR(INDEX(Recetas!$L$6:$L$115,MATCH($A15,Recetas!$A$6:$A$115,0))&amp;"",""),C15)))</f>
        <v/>
      </c>
      <c r="I15" s="7" t="str">
        <f aca="false">IF($A15="","",IF(AND(D15="",N(IFERROR(INDEX(Recetas!$W$6:$W$115,MATCH($A15,Recetas!$A$6:$A$115,0)),1))=0),"—",IF(D15="",IFERROR(IF(INDEX(Recetas!$M$6:$M$115,MATCH($A15,Recetas!$A$6:$A$115,0))&amp;""="",G15,INDEX(Recetas!$M$6:$M$115,MATCH($A15,Recetas!$A$6:$A$115,0))&amp;""),""),D15)))</f>
        <v/>
      </c>
      <c r="J15" s="9" t="str">
        <f aca="false">IF($A15="","",IFERROR(INDEX(Recetas!$Q$6:$Q$115,MATCH($A15,Recetas!$A$6:$A$115,0)),""))</f>
        <v/>
      </c>
      <c r="K15" s="10" t="str">
        <f aca="false">IF($A15="","",IFERROR(INDEX(Telas!$I$6:$I$105,MATCH(G15,Telas!$A$6:$A$105,0)),""))</f>
        <v/>
      </c>
      <c r="L15" s="10" t="str">
        <f aca="false">IF($A15="","",IFERROR(IF(ISNUMBER(J15),IF(J15=0,0,J15*INDEX(Telas!$I$6:$I$105,MATCH(G15,Telas!$A$6:$A$105,0))),NA())+IF(ISNUMBER(INDEX(Recetas!$T$6:$T$115,MATCH($A15,Recetas!$A$6:$A$115,0))),IF(INDEX(Recetas!$T$6:$T$115,MATCH($A15,Recetas!$A$6:$A$115,0))=0,0,INDEX(Recetas!$T$6:$T$115,MATCH($A15,Recetas!$A$6:$A$115,0))*INDEX(Telas!$I$6:$I$105,MATCH(H15,Telas!$A$6:$A$105,0))),NA())+IF(ISNUMBER(INDEX(Recetas!$W$6:$W$115,MATCH($A15,Recetas!$A$6:$A$115,0))),IF(INDEX(Recetas!$W$6:$W$115,MATCH($A15,Recetas!$A$6:$A$115,0))=0,0,INDEX(Recetas!$W$6:$W$115,MATCH($A15,Recetas!$A$6:$A$115,0))*INDEX(Telas!$I$6:$I$105,MATCH(I15,Telas!$A$6:$A$105,0))),NA()),""))</f>
        <v/>
      </c>
      <c r="M15" s="10" t="str">
        <f aca="false">IF($A15="","",IFERROR(INDEX(Recetas!$AA$6:$AA$115,MATCH($A15,Recetas!$A$6:$A$115,0))*1,""))</f>
        <v/>
      </c>
      <c r="N15" s="10" t="str">
        <f aca="false">IF($A15="","",IFERROR(INDEX(Recetas!$AB$6:$AB$115,MATCH($A15,Recetas!$A$6:$A$115,0))*1,""))</f>
        <v/>
      </c>
      <c r="O15" s="10" t="str">
        <f aca="false">IF($A15="","",IFERROR(INDEX(Recetas!$AC$6:$AC$115,MATCH($A15,Recetas!$A$6:$A$115,0))+N(E15),""))</f>
        <v/>
      </c>
      <c r="P15" s="11" t="str">
        <f aca="false">IF($A15="","",IFERROR(L15+M15+N15+O15,""))</f>
        <v/>
      </c>
      <c r="Q15" s="11" t="str">
        <f aca="false">IF(ISNUMBER(P15),P15*Parametros!$B$12,"")</f>
        <v/>
      </c>
      <c r="R15" s="30" t="str">
        <f aca="false">IF(AND(ISNUMBER(P15),N(F15)&gt;0),(F15-P15-F15*Parametros!$B$8)/F15,"")</f>
        <v/>
      </c>
      <c r="S15" s="10" t="str">
        <f aca="false">IF(AND(ISNUMBER(P15),N(F15)&gt;0),F15-P15-F15*Parametros!$B$8,"")</f>
        <v/>
      </c>
      <c r="T15" s="29" t="str">
        <f aca="false">IF(AND(ISNUMBER(J15),G15&lt;&gt;""),IFERROR(1/(J15*INDEX(Telas!$G$6:$G$105,MATCH(G15,Telas!$A$6:$A$105,0))),""),"")</f>
        <v/>
      </c>
      <c r="U15" s="7" t="str">
        <f aca="false">IF($A15="","",IF(ISNUMBER(P15),"OK",IF(K15="","Precio o peso por metro de "&amp;G15&amp;". ","")&amp;IFERROR(INDEX(Recetas!$AG$6:$AG$115,MATCH($A15,Recetas!$A$6:$A$115,0)),"Molde no existe en Recetas.")))</f>
        <v/>
      </c>
    </row>
    <row r="16" customFormat="false" ht="15" hidden="false" customHeight="false" outlineLevel="0" collapsed="false">
      <c r="A16" s="27"/>
      <c r="B16" s="27"/>
      <c r="C16" s="27"/>
      <c r="D16" s="8"/>
      <c r="E16" s="15"/>
      <c r="F16" s="15"/>
      <c r="G16" s="7" t="str">
        <f aca="false">IF($A16="","",IF(B16="",IFERROR(INDEX(Recetas!$K$6:$K$115,MATCH($A16,Recetas!$A$6:$A$115,0))&amp;"",""),B16))</f>
        <v/>
      </c>
      <c r="H16" s="7" t="str">
        <f aca="false">IF($A16="","",IF(AND(C16="",N(IFERROR(INDEX(Recetas!$T$6:$T$115,MATCH($A16,Recetas!$A$6:$A$115,0)),1))=0),"—",IF(C16="",IFERROR(INDEX(Recetas!$L$6:$L$115,MATCH($A16,Recetas!$A$6:$A$115,0))&amp;"",""),C16)))</f>
        <v/>
      </c>
      <c r="I16" s="7" t="str">
        <f aca="false">IF($A16="","",IF(AND(D16="",N(IFERROR(INDEX(Recetas!$W$6:$W$115,MATCH($A16,Recetas!$A$6:$A$115,0)),1))=0),"—",IF(D16="",IFERROR(IF(INDEX(Recetas!$M$6:$M$115,MATCH($A16,Recetas!$A$6:$A$115,0))&amp;""="",G16,INDEX(Recetas!$M$6:$M$115,MATCH($A16,Recetas!$A$6:$A$115,0))&amp;""),""),D16)))</f>
        <v/>
      </c>
      <c r="J16" s="9" t="str">
        <f aca="false">IF($A16="","",IFERROR(INDEX(Recetas!$Q$6:$Q$115,MATCH($A16,Recetas!$A$6:$A$115,0)),""))</f>
        <v/>
      </c>
      <c r="K16" s="10" t="str">
        <f aca="false">IF($A16="","",IFERROR(INDEX(Telas!$I$6:$I$105,MATCH(G16,Telas!$A$6:$A$105,0)),""))</f>
        <v/>
      </c>
      <c r="L16" s="10" t="str">
        <f aca="false">IF($A16="","",IFERROR(IF(ISNUMBER(J16),IF(J16=0,0,J16*INDEX(Telas!$I$6:$I$105,MATCH(G16,Telas!$A$6:$A$105,0))),NA())+IF(ISNUMBER(INDEX(Recetas!$T$6:$T$115,MATCH($A16,Recetas!$A$6:$A$115,0))),IF(INDEX(Recetas!$T$6:$T$115,MATCH($A16,Recetas!$A$6:$A$115,0))=0,0,INDEX(Recetas!$T$6:$T$115,MATCH($A16,Recetas!$A$6:$A$115,0))*INDEX(Telas!$I$6:$I$105,MATCH(H16,Telas!$A$6:$A$105,0))),NA())+IF(ISNUMBER(INDEX(Recetas!$W$6:$W$115,MATCH($A16,Recetas!$A$6:$A$115,0))),IF(INDEX(Recetas!$W$6:$W$115,MATCH($A16,Recetas!$A$6:$A$115,0))=0,0,INDEX(Recetas!$W$6:$W$115,MATCH($A16,Recetas!$A$6:$A$115,0))*INDEX(Telas!$I$6:$I$105,MATCH(I16,Telas!$A$6:$A$105,0))),NA()),""))</f>
        <v/>
      </c>
      <c r="M16" s="10" t="str">
        <f aca="false">IF($A16="","",IFERROR(INDEX(Recetas!$AA$6:$AA$115,MATCH($A16,Recetas!$A$6:$A$115,0))*1,""))</f>
        <v/>
      </c>
      <c r="N16" s="10" t="str">
        <f aca="false">IF($A16="","",IFERROR(INDEX(Recetas!$AB$6:$AB$115,MATCH($A16,Recetas!$A$6:$A$115,0))*1,""))</f>
        <v/>
      </c>
      <c r="O16" s="10" t="str">
        <f aca="false">IF($A16="","",IFERROR(INDEX(Recetas!$AC$6:$AC$115,MATCH($A16,Recetas!$A$6:$A$115,0))+N(E16),""))</f>
        <v/>
      </c>
      <c r="P16" s="11" t="str">
        <f aca="false">IF($A16="","",IFERROR(L16+M16+N16+O16,""))</f>
        <v/>
      </c>
      <c r="Q16" s="11" t="str">
        <f aca="false">IF(ISNUMBER(P16),P16*Parametros!$B$12,"")</f>
        <v/>
      </c>
      <c r="R16" s="30" t="str">
        <f aca="false">IF(AND(ISNUMBER(P16),N(F16)&gt;0),(F16-P16-F16*Parametros!$B$8)/F16,"")</f>
        <v/>
      </c>
      <c r="S16" s="10" t="str">
        <f aca="false">IF(AND(ISNUMBER(P16),N(F16)&gt;0),F16-P16-F16*Parametros!$B$8,"")</f>
        <v/>
      </c>
      <c r="T16" s="29" t="str">
        <f aca="false">IF(AND(ISNUMBER(J16),G16&lt;&gt;""),IFERROR(1/(J16*INDEX(Telas!$G$6:$G$105,MATCH(G16,Telas!$A$6:$A$105,0))),""),"")</f>
        <v/>
      </c>
      <c r="U16" s="7" t="str">
        <f aca="false">IF($A16="","",IF(ISNUMBER(P16),"OK",IF(K16="","Precio o peso por metro de "&amp;G16&amp;". ","")&amp;IFERROR(INDEX(Recetas!$AG$6:$AG$115,MATCH($A16,Recetas!$A$6:$A$115,0)),"Molde no existe en Recetas.")))</f>
        <v/>
      </c>
    </row>
    <row r="17" customFormat="false" ht="15" hidden="false" customHeight="false" outlineLevel="0" collapsed="false">
      <c r="A17" s="27"/>
      <c r="B17" s="27"/>
      <c r="C17" s="27"/>
      <c r="D17" s="8"/>
      <c r="E17" s="15"/>
      <c r="F17" s="15"/>
      <c r="G17" s="7" t="str">
        <f aca="false">IF($A17="","",IF(B17="",IFERROR(INDEX(Recetas!$K$6:$K$115,MATCH($A17,Recetas!$A$6:$A$115,0))&amp;"",""),B17))</f>
        <v/>
      </c>
      <c r="H17" s="7" t="str">
        <f aca="false">IF($A17="","",IF(AND(C17="",N(IFERROR(INDEX(Recetas!$T$6:$T$115,MATCH($A17,Recetas!$A$6:$A$115,0)),1))=0),"—",IF(C17="",IFERROR(INDEX(Recetas!$L$6:$L$115,MATCH($A17,Recetas!$A$6:$A$115,0))&amp;"",""),C17)))</f>
        <v/>
      </c>
      <c r="I17" s="7" t="str">
        <f aca="false">IF($A17="","",IF(AND(D17="",N(IFERROR(INDEX(Recetas!$W$6:$W$115,MATCH($A17,Recetas!$A$6:$A$115,0)),1))=0),"—",IF(D17="",IFERROR(IF(INDEX(Recetas!$M$6:$M$115,MATCH($A17,Recetas!$A$6:$A$115,0))&amp;""="",G17,INDEX(Recetas!$M$6:$M$115,MATCH($A17,Recetas!$A$6:$A$115,0))&amp;""),""),D17)))</f>
        <v/>
      </c>
      <c r="J17" s="9" t="str">
        <f aca="false">IF($A17="","",IFERROR(INDEX(Recetas!$Q$6:$Q$115,MATCH($A17,Recetas!$A$6:$A$115,0)),""))</f>
        <v/>
      </c>
      <c r="K17" s="10" t="str">
        <f aca="false">IF($A17="","",IFERROR(INDEX(Telas!$I$6:$I$105,MATCH(G17,Telas!$A$6:$A$105,0)),""))</f>
        <v/>
      </c>
      <c r="L17" s="10" t="str">
        <f aca="false">IF($A17="","",IFERROR(IF(ISNUMBER(J17),IF(J17=0,0,J17*INDEX(Telas!$I$6:$I$105,MATCH(G17,Telas!$A$6:$A$105,0))),NA())+IF(ISNUMBER(INDEX(Recetas!$T$6:$T$115,MATCH($A17,Recetas!$A$6:$A$115,0))),IF(INDEX(Recetas!$T$6:$T$115,MATCH($A17,Recetas!$A$6:$A$115,0))=0,0,INDEX(Recetas!$T$6:$T$115,MATCH($A17,Recetas!$A$6:$A$115,0))*INDEX(Telas!$I$6:$I$105,MATCH(H17,Telas!$A$6:$A$105,0))),NA())+IF(ISNUMBER(INDEX(Recetas!$W$6:$W$115,MATCH($A17,Recetas!$A$6:$A$115,0))),IF(INDEX(Recetas!$W$6:$W$115,MATCH($A17,Recetas!$A$6:$A$115,0))=0,0,INDEX(Recetas!$W$6:$W$115,MATCH($A17,Recetas!$A$6:$A$115,0))*INDEX(Telas!$I$6:$I$105,MATCH(I17,Telas!$A$6:$A$105,0))),NA()),""))</f>
        <v/>
      </c>
      <c r="M17" s="10" t="str">
        <f aca="false">IF($A17="","",IFERROR(INDEX(Recetas!$AA$6:$AA$115,MATCH($A17,Recetas!$A$6:$A$115,0))*1,""))</f>
        <v/>
      </c>
      <c r="N17" s="10" t="str">
        <f aca="false">IF($A17="","",IFERROR(INDEX(Recetas!$AB$6:$AB$115,MATCH($A17,Recetas!$A$6:$A$115,0))*1,""))</f>
        <v/>
      </c>
      <c r="O17" s="10" t="str">
        <f aca="false">IF($A17="","",IFERROR(INDEX(Recetas!$AC$6:$AC$115,MATCH($A17,Recetas!$A$6:$A$115,0))+N(E17),""))</f>
        <v/>
      </c>
      <c r="P17" s="11" t="str">
        <f aca="false">IF($A17="","",IFERROR(L17+M17+N17+O17,""))</f>
        <v/>
      </c>
      <c r="Q17" s="11" t="str">
        <f aca="false">IF(ISNUMBER(P17),P17*Parametros!$B$12,"")</f>
        <v/>
      </c>
      <c r="R17" s="30" t="str">
        <f aca="false">IF(AND(ISNUMBER(P17),N(F17)&gt;0),(F17-P17-F17*Parametros!$B$8)/F17,"")</f>
        <v/>
      </c>
      <c r="S17" s="10" t="str">
        <f aca="false">IF(AND(ISNUMBER(P17),N(F17)&gt;0),F17-P17-F17*Parametros!$B$8,"")</f>
        <v/>
      </c>
      <c r="T17" s="29" t="str">
        <f aca="false">IF(AND(ISNUMBER(J17),G17&lt;&gt;""),IFERROR(1/(J17*INDEX(Telas!$G$6:$G$105,MATCH(G17,Telas!$A$6:$A$105,0))),""),"")</f>
        <v/>
      </c>
      <c r="U17" s="7" t="str">
        <f aca="false">IF($A17="","",IF(ISNUMBER(P17),"OK",IF(K17="","Precio o peso por metro de "&amp;G17&amp;". ","")&amp;IFERROR(INDEX(Recetas!$AG$6:$AG$115,MATCH($A17,Recetas!$A$6:$A$115,0)),"Molde no existe en Recetas.")))</f>
        <v/>
      </c>
    </row>
    <row r="18" customFormat="false" ht="15" hidden="false" customHeight="false" outlineLevel="0" collapsed="false">
      <c r="A18" s="27"/>
      <c r="B18" s="27"/>
      <c r="C18" s="27"/>
      <c r="D18" s="8"/>
      <c r="E18" s="15"/>
      <c r="F18" s="15"/>
      <c r="G18" s="7" t="str">
        <f aca="false">IF($A18="","",IF(B18="",IFERROR(INDEX(Recetas!$K$6:$K$115,MATCH($A18,Recetas!$A$6:$A$115,0))&amp;"",""),B18))</f>
        <v/>
      </c>
      <c r="H18" s="7" t="str">
        <f aca="false">IF($A18="","",IF(AND(C18="",N(IFERROR(INDEX(Recetas!$T$6:$T$115,MATCH($A18,Recetas!$A$6:$A$115,0)),1))=0),"—",IF(C18="",IFERROR(INDEX(Recetas!$L$6:$L$115,MATCH($A18,Recetas!$A$6:$A$115,0))&amp;"",""),C18)))</f>
        <v/>
      </c>
      <c r="I18" s="7" t="str">
        <f aca="false">IF($A18="","",IF(AND(D18="",N(IFERROR(INDEX(Recetas!$W$6:$W$115,MATCH($A18,Recetas!$A$6:$A$115,0)),1))=0),"—",IF(D18="",IFERROR(IF(INDEX(Recetas!$M$6:$M$115,MATCH($A18,Recetas!$A$6:$A$115,0))&amp;""="",G18,INDEX(Recetas!$M$6:$M$115,MATCH($A18,Recetas!$A$6:$A$115,0))&amp;""),""),D18)))</f>
        <v/>
      </c>
      <c r="J18" s="9" t="str">
        <f aca="false">IF($A18="","",IFERROR(INDEX(Recetas!$Q$6:$Q$115,MATCH($A18,Recetas!$A$6:$A$115,0)),""))</f>
        <v/>
      </c>
      <c r="K18" s="10" t="str">
        <f aca="false">IF($A18="","",IFERROR(INDEX(Telas!$I$6:$I$105,MATCH(G18,Telas!$A$6:$A$105,0)),""))</f>
        <v/>
      </c>
      <c r="L18" s="10" t="str">
        <f aca="false">IF($A18="","",IFERROR(IF(ISNUMBER(J18),IF(J18=0,0,J18*INDEX(Telas!$I$6:$I$105,MATCH(G18,Telas!$A$6:$A$105,0))),NA())+IF(ISNUMBER(INDEX(Recetas!$T$6:$T$115,MATCH($A18,Recetas!$A$6:$A$115,0))),IF(INDEX(Recetas!$T$6:$T$115,MATCH($A18,Recetas!$A$6:$A$115,0))=0,0,INDEX(Recetas!$T$6:$T$115,MATCH($A18,Recetas!$A$6:$A$115,0))*INDEX(Telas!$I$6:$I$105,MATCH(H18,Telas!$A$6:$A$105,0))),NA())+IF(ISNUMBER(INDEX(Recetas!$W$6:$W$115,MATCH($A18,Recetas!$A$6:$A$115,0))),IF(INDEX(Recetas!$W$6:$W$115,MATCH($A18,Recetas!$A$6:$A$115,0))=0,0,INDEX(Recetas!$W$6:$W$115,MATCH($A18,Recetas!$A$6:$A$115,0))*INDEX(Telas!$I$6:$I$105,MATCH(I18,Telas!$A$6:$A$105,0))),NA()),""))</f>
        <v/>
      </c>
      <c r="M18" s="10" t="str">
        <f aca="false">IF($A18="","",IFERROR(INDEX(Recetas!$AA$6:$AA$115,MATCH($A18,Recetas!$A$6:$A$115,0))*1,""))</f>
        <v/>
      </c>
      <c r="N18" s="10" t="str">
        <f aca="false">IF($A18="","",IFERROR(INDEX(Recetas!$AB$6:$AB$115,MATCH($A18,Recetas!$A$6:$A$115,0))*1,""))</f>
        <v/>
      </c>
      <c r="O18" s="10" t="str">
        <f aca="false">IF($A18="","",IFERROR(INDEX(Recetas!$AC$6:$AC$115,MATCH($A18,Recetas!$A$6:$A$115,0))+N(E18),""))</f>
        <v/>
      </c>
      <c r="P18" s="11" t="str">
        <f aca="false">IF($A18="","",IFERROR(L18+M18+N18+O18,""))</f>
        <v/>
      </c>
      <c r="Q18" s="11" t="str">
        <f aca="false">IF(ISNUMBER(P18),P18*Parametros!$B$12,"")</f>
        <v/>
      </c>
      <c r="R18" s="30" t="str">
        <f aca="false">IF(AND(ISNUMBER(P18),N(F18)&gt;0),(F18-P18-F18*Parametros!$B$8)/F18,"")</f>
        <v/>
      </c>
      <c r="S18" s="10" t="str">
        <f aca="false">IF(AND(ISNUMBER(P18),N(F18)&gt;0),F18-P18-F18*Parametros!$B$8,"")</f>
        <v/>
      </c>
      <c r="T18" s="29" t="str">
        <f aca="false">IF(AND(ISNUMBER(J18),G18&lt;&gt;""),IFERROR(1/(J18*INDEX(Telas!$G$6:$G$105,MATCH(G18,Telas!$A$6:$A$105,0))),""),"")</f>
        <v/>
      </c>
      <c r="U18" s="7" t="str">
        <f aca="false">IF($A18="","",IF(ISNUMBER(P18),"OK",IF(K18="","Precio o peso por metro de "&amp;G18&amp;". ","")&amp;IFERROR(INDEX(Recetas!$AG$6:$AG$115,MATCH($A18,Recetas!$A$6:$A$115,0)),"Molde no existe en Recetas.")))</f>
        <v/>
      </c>
    </row>
    <row r="19" customFormat="false" ht="15" hidden="false" customHeight="false" outlineLevel="0" collapsed="false">
      <c r="A19" s="27"/>
      <c r="B19" s="27"/>
      <c r="C19" s="27"/>
      <c r="D19" s="8"/>
      <c r="E19" s="15"/>
      <c r="F19" s="15"/>
      <c r="G19" s="7" t="str">
        <f aca="false">IF($A19="","",IF(B19="",IFERROR(INDEX(Recetas!$K$6:$K$115,MATCH($A19,Recetas!$A$6:$A$115,0))&amp;"",""),B19))</f>
        <v/>
      </c>
      <c r="H19" s="7" t="str">
        <f aca="false">IF($A19="","",IF(AND(C19="",N(IFERROR(INDEX(Recetas!$T$6:$T$115,MATCH($A19,Recetas!$A$6:$A$115,0)),1))=0),"—",IF(C19="",IFERROR(INDEX(Recetas!$L$6:$L$115,MATCH($A19,Recetas!$A$6:$A$115,0))&amp;"",""),C19)))</f>
        <v/>
      </c>
      <c r="I19" s="7" t="str">
        <f aca="false">IF($A19="","",IF(AND(D19="",N(IFERROR(INDEX(Recetas!$W$6:$W$115,MATCH($A19,Recetas!$A$6:$A$115,0)),1))=0),"—",IF(D19="",IFERROR(IF(INDEX(Recetas!$M$6:$M$115,MATCH($A19,Recetas!$A$6:$A$115,0))&amp;""="",G19,INDEX(Recetas!$M$6:$M$115,MATCH($A19,Recetas!$A$6:$A$115,0))&amp;""),""),D19)))</f>
        <v/>
      </c>
      <c r="J19" s="9" t="str">
        <f aca="false">IF($A19="","",IFERROR(INDEX(Recetas!$Q$6:$Q$115,MATCH($A19,Recetas!$A$6:$A$115,0)),""))</f>
        <v/>
      </c>
      <c r="K19" s="10" t="str">
        <f aca="false">IF($A19="","",IFERROR(INDEX(Telas!$I$6:$I$105,MATCH(G19,Telas!$A$6:$A$105,0)),""))</f>
        <v/>
      </c>
      <c r="L19" s="10" t="str">
        <f aca="false">IF($A19="","",IFERROR(IF(ISNUMBER(J19),IF(J19=0,0,J19*INDEX(Telas!$I$6:$I$105,MATCH(G19,Telas!$A$6:$A$105,0))),NA())+IF(ISNUMBER(INDEX(Recetas!$T$6:$T$115,MATCH($A19,Recetas!$A$6:$A$115,0))),IF(INDEX(Recetas!$T$6:$T$115,MATCH($A19,Recetas!$A$6:$A$115,0))=0,0,INDEX(Recetas!$T$6:$T$115,MATCH($A19,Recetas!$A$6:$A$115,0))*INDEX(Telas!$I$6:$I$105,MATCH(H19,Telas!$A$6:$A$105,0))),NA())+IF(ISNUMBER(INDEX(Recetas!$W$6:$W$115,MATCH($A19,Recetas!$A$6:$A$115,0))),IF(INDEX(Recetas!$W$6:$W$115,MATCH($A19,Recetas!$A$6:$A$115,0))=0,0,INDEX(Recetas!$W$6:$W$115,MATCH($A19,Recetas!$A$6:$A$115,0))*INDEX(Telas!$I$6:$I$105,MATCH(I19,Telas!$A$6:$A$105,0))),NA()),""))</f>
        <v/>
      </c>
      <c r="M19" s="10" t="str">
        <f aca="false">IF($A19="","",IFERROR(INDEX(Recetas!$AA$6:$AA$115,MATCH($A19,Recetas!$A$6:$A$115,0))*1,""))</f>
        <v/>
      </c>
      <c r="N19" s="10" t="str">
        <f aca="false">IF($A19="","",IFERROR(INDEX(Recetas!$AB$6:$AB$115,MATCH($A19,Recetas!$A$6:$A$115,0))*1,""))</f>
        <v/>
      </c>
      <c r="O19" s="10" t="str">
        <f aca="false">IF($A19="","",IFERROR(INDEX(Recetas!$AC$6:$AC$115,MATCH($A19,Recetas!$A$6:$A$115,0))+N(E19),""))</f>
        <v/>
      </c>
      <c r="P19" s="11" t="str">
        <f aca="false">IF($A19="","",IFERROR(L19+M19+N19+O19,""))</f>
        <v/>
      </c>
      <c r="Q19" s="11" t="str">
        <f aca="false">IF(ISNUMBER(P19),P19*Parametros!$B$12,"")</f>
        <v/>
      </c>
      <c r="R19" s="30" t="str">
        <f aca="false">IF(AND(ISNUMBER(P19),N(F19)&gt;0),(F19-P19-F19*Parametros!$B$8)/F19,"")</f>
        <v/>
      </c>
      <c r="S19" s="10" t="str">
        <f aca="false">IF(AND(ISNUMBER(P19),N(F19)&gt;0),F19-P19-F19*Parametros!$B$8,"")</f>
        <v/>
      </c>
      <c r="T19" s="29" t="str">
        <f aca="false">IF(AND(ISNUMBER(J19),G19&lt;&gt;""),IFERROR(1/(J19*INDEX(Telas!$G$6:$G$105,MATCH(G19,Telas!$A$6:$A$105,0))),""),"")</f>
        <v/>
      </c>
      <c r="U19" s="7" t="str">
        <f aca="false">IF($A19="","",IF(ISNUMBER(P19),"OK",IF(K19="","Precio o peso por metro de "&amp;G19&amp;". ","")&amp;IFERROR(INDEX(Recetas!$AG$6:$AG$115,MATCH($A19,Recetas!$A$6:$A$115,0)),"Molde no existe en Recetas.")))</f>
        <v/>
      </c>
    </row>
    <row r="20" customFormat="false" ht="15" hidden="false" customHeight="false" outlineLevel="0" collapsed="false">
      <c r="A20" s="27"/>
      <c r="B20" s="27"/>
      <c r="C20" s="27"/>
      <c r="D20" s="8"/>
      <c r="E20" s="15"/>
      <c r="F20" s="15"/>
      <c r="G20" s="7" t="str">
        <f aca="false">IF($A20="","",IF(B20="",IFERROR(INDEX(Recetas!$K$6:$K$115,MATCH($A20,Recetas!$A$6:$A$115,0))&amp;"",""),B20))</f>
        <v/>
      </c>
      <c r="H20" s="7" t="str">
        <f aca="false">IF($A20="","",IF(AND(C20="",N(IFERROR(INDEX(Recetas!$T$6:$T$115,MATCH($A20,Recetas!$A$6:$A$115,0)),1))=0),"—",IF(C20="",IFERROR(INDEX(Recetas!$L$6:$L$115,MATCH($A20,Recetas!$A$6:$A$115,0))&amp;"",""),C20)))</f>
        <v/>
      </c>
      <c r="I20" s="7" t="str">
        <f aca="false">IF($A20="","",IF(AND(D20="",N(IFERROR(INDEX(Recetas!$W$6:$W$115,MATCH($A20,Recetas!$A$6:$A$115,0)),1))=0),"—",IF(D20="",IFERROR(IF(INDEX(Recetas!$M$6:$M$115,MATCH($A20,Recetas!$A$6:$A$115,0))&amp;""="",G20,INDEX(Recetas!$M$6:$M$115,MATCH($A20,Recetas!$A$6:$A$115,0))&amp;""),""),D20)))</f>
        <v/>
      </c>
      <c r="J20" s="9" t="str">
        <f aca="false">IF($A20="","",IFERROR(INDEX(Recetas!$Q$6:$Q$115,MATCH($A20,Recetas!$A$6:$A$115,0)),""))</f>
        <v/>
      </c>
      <c r="K20" s="10" t="str">
        <f aca="false">IF($A20="","",IFERROR(INDEX(Telas!$I$6:$I$105,MATCH(G20,Telas!$A$6:$A$105,0)),""))</f>
        <v/>
      </c>
      <c r="L20" s="10" t="str">
        <f aca="false">IF($A20="","",IFERROR(IF(ISNUMBER(J20),IF(J20=0,0,J20*INDEX(Telas!$I$6:$I$105,MATCH(G20,Telas!$A$6:$A$105,0))),NA())+IF(ISNUMBER(INDEX(Recetas!$T$6:$T$115,MATCH($A20,Recetas!$A$6:$A$115,0))),IF(INDEX(Recetas!$T$6:$T$115,MATCH($A20,Recetas!$A$6:$A$115,0))=0,0,INDEX(Recetas!$T$6:$T$115,MATCH($A20,Recetas!$A$6:$A$115,0))*INDEX(Telas!$I$6:$I$105,MATCH(H20,Telas!$A$6:$A$105,0))),NA())+IF(ISNUMBER(INDEX(Recetas!$W$6:$W$115,MATCH($A20,Recetas!$A$6:$A$115,0))),IF(INDEX(Recetas!$W$6:$W$115,MATCH($A20,Recetas!$A$6:$A$115,0))=0,0,INDEX(Recetas!$W$6:$W$115,MATCH($A20,Recetas!$A$6:$A$115,0))*INDEX(Telas!$I$6:$I$105,MATCH(I20,Telas!$A$6:$A$105,0))),NA()),""))</f>
        <v/>
      </c>
      <c r="M20" s="10" t="str">
        <f aca="false">IF($A20="","",IFERROR(INDEX(Recetas!$AA$6:$AA$115,MATCH($A20,Recetas!$A$6:$A$115,0))*1,""))</f>
        <v/>
      </c>
      <c r="N20" s="10" t="str">
        <f aca="false">IF($A20="","",IFERROR(INDEX(Recetas!$AB$6:$AB$115,MATCH($A20,Recetas!$A$6:$A$115,0))*1,""))</f>
        <v/>
      </c>
      <c r="O20" s="10" t="str">
        <f aca="false">IF($A20="","",IFERROR(INDEX(Recetas!$AC$6:$AC$115,MATCH($A20,Recetas!$A$6:$A$115,0))+N(E20),""))</f>
        <v/>
      </c>
      <c r="P20" s="11" t="str">
        <f aca="false">IF($A20="","",IFERROR(L20+M20+N20+O20,""))</f>
        <v/>
      </c>
      <c r="Q20" s="11" t="str">
        <f aca="false">IF(ISNUMBER(P20),P20*Parametros!$B$12,"")</f>
        <v/>
      </c>
      <c r="R20" s="30" t="str">
        <f aca="false">IF(AND(ISNUMBER(P20),N(F20)&gt;0),(F20-P20-F20*Parametros!$B$8)/F20,"")</f>
        <v/>
      </c>
      <c r="S20" s="10" t="str">
        <f aca="false">IF(AND(ISNUMBER(P20),N(F20)&gt;0),F20-P20-F20*Parametros!$B$8,"")</f>
        <v/>
      </c>
      <c r="T20" s="29" t="str">
        <f aca="false">IF(AND(ISNUMBER(J20),G20&lt;&gt;""),IFERROR(1/(J20*INDEX(Telas!$G$6:$G$105,MATCH(G20,Telas!$A$6:$A$105,0))),""),"")</f>
        <v/>
      </c>
      <c r="U20" s="7" t="str">
        <f aca="false">IF($A20="","",IF(ISNUMBER(P20),"OK",IF(K20="","Precio o peso por metro de "&amp;G20&amp;". ","")&amp;IFERROR(INDEX(Recetas!$AG$6:$AG$115,MATCH($A20,Recetas!$A$6:$A$115,0)),"Molde no existe en Recetas.")))</f>
        <v/>
      </c>
    </row>
    <row r="21" customFormat="false" ht="15" hidden="false" customHeight="false" outlineLevel="0" collapsed="false">
      <c r="A21" s="27"/>
      <c r="B21" s="27"/>
      <c r="C21" s="27"/>
      <c r="D21" s="8"/>
      <c r="E21" s="15"/>
      <c r="F21" s="15"/>
      <c r="G21" s="7" t="str">
        <f aca="false">IF($A21="","",IF(B21="",IFERROR(INDEX(Recetas!$K$6:$K$115,MATCH($A21,Recetas!$A$6:$A$115,0))&amp;"",""),B21))</f>
        <v/>
      </c>
      <c r="H21" s="7" t="str">
        <f aca="false">IF($A21="","",IF(AND(C21="",N(IFERROR(INDEX(Recetas!$T$6:$T$115,MATCH($A21,Recetas!$A$6:$A$115,0)),1))=0),"—",IF(C21="",IFERROR(INDEX(Recetas!$L$6:$L$115,MATCH($A21,Recetas!$A$6:$A$115,0))&amp;"",""),C21)))</f>
        <v/>
      </c>
      <c r="I21" s="7" t="str">
        <f aca="false">IF($A21="","",IF(AND(D21="",N(IFERROR(INDEX(Recetas!$W$6:$W$115,MATCH($A21,Recetas!$A$6:$A$115,0)),1))=0),"—",IF(D21="",IFERROR(IF(INDEX(Recetas!$M$6:$M$115,MATCH($A21,Recetas!$A$6:$A$115,0))&amp;""="",G21,INDEX(Recetas!$M$6:$M$115,MATCH($A21,Recetas!$A$6:$A$115,0))&amp;""),""),D21)))</f>
        <v/>
      </c>
      <c r="J21" s="9" t="str">
        <f aca="false">IF($A21="","",IFERROR(INDEX(Recetas!$Q$6:$Q$115,MATCH($A21,Recetas!$A$6:$A$115,0)),""))</f>
        <v/>
      </c>
      <c r="K21" s="10" t="str">
        <f aca="false">IF($A21="","",IFERROR(INDEX(Telas!$I$6:$I$105,MATCH(G21,Telas!$A$6:$A$105,0)),""))</f>
        <v/>
      </c>
      <c r="L21" s="10" t="str">
        <f aca="false">IF($A21="","",IFERROR(IF(ISNUMBER(J21),IF(J21=0,0,J21*INDEX(Telas!$I$6:$I$105,MATCH(G21,Telas!$A$6:$A$105,0))),NA())+IF(ISNUMBER(INDEX(Recetas!$T$6:$T$115,MATCH($A21,Recetas!$A$6:$A$115,0))),IF(INDEX(Recetas!$T$6:$T$115,MATCH($A21,Recetas!$A$6:$A$115,0))=0,0,INDEX(Recetas!$T$6:$T$115,MATCH($A21,Recetas!$A$6:$A$115,0))*INDEX(Telas!$I$6:$I$105,MATCH(H21,Telas!$A$6:$A$105,0))),NA())+IF(ISNUMBER(INDEX(Recetas!$W$6:$W$115,MATCH($A21,Recetas!$A$6:$A$115,0))),IF(INDEX(Recetas!$W$6:$W$115,MATCH($A21,Recetas!$A$6:$A$115,0))=0,0,INDEX(Recetas!$W$6:$W$115,MATCH($A21,Recetas!$A$6:$A$115,0))*INDEX(Telas!$I$6:$I$105,MATCH(I21,Telas!$A$6:$A$105,0))),NA()),""))</f>
        <v/>
      </c>
      <c r="M21" s="10" t="str">
        <f aca="false">IF($A21="","",IFERROR(INDEX(Recetas!$AA$6:$AA$115,MATCH($A21,Recetas!$A$6:$A$115,0))*1,""))</f>
        <v/>
      </c>
      <c r="N21" s="10" t="str">
        <f aca="false">IF($A21="","",IFERROR(INDEX(Recetas!$AB$6:$AB$115,MATCH($A21,Recetas!$A$6:$A$115,0))*1,""))</f>
        <v/>
      </c>
      <c r="O21" s="10" t="str">
        <f aca="false">IF($A21="","",IFERROR(INDEX(Recetas!$AC$6:$AC$115,MATCH($A21,Recetas!$A$6:$A$115,0))+N(E21),""))</f>
        <v/>
      </c>
      <c r="P21" s="11" t="str">
        <f aca="false">IF($A21="","",IFERROR(L21+M21+N21+O21,""))</f>
        <v/>
      </c>
      <c r="Q21" s="11" t="str">
        <f aca="false">IF(ISNUMBER(P21),P21*Parametros!$B$12,"")</f>
        <v/>
      </c>
      <c r="R21" s="30" t="str">
        <f aca="false">IF(AND(ISNUMBER(P21),N(F21)&gt;0),(F21-P21-F21*Parametros!$B$8)/F21,"")</f>
        <v/>
      </c>
      <c r="S21" s="10" t="str">
        <f aca="false">IF(AND(ISNUMBER(P21),N(F21)&gt;0),F21-P21-F21*Parametros!$B$8,"")</f>
        <v/>
      </c>
      <c r="T21" s="29" t="str">
        <f aca="false">IF(AND(ISNUMBER(J21),G21&lt;&gt;""),IFERROR(1/(J21*INDEX(Telas!$G$6:$G$105,MATCH(G21,Telas!$A$6:$A$105,0))),""),"")</f>
        <v/>
      </c>
      <c r="U21" s="7" t="str">
        <f aca="false">IF($A21="","",IF(ISNUMBER(P21),"OK",IF(K21="","Precio o peso por metro de "&amp;G21&amp;". ","")&amp;IFERROR(INDEX(Recetas!$AG$6:$AG$115,MATCH($A21,Recetas!$A$6:$A$115,0)),"Molde no existe en Recetas.")))</f>
        <v/>
      </c>
    </row>
    <row r="22" customFormat="false" ht="15" hidden="false" customHeight="false" outlineLevel="0" collapsed="false">
      <c r="A22" s="27"/>
      <c r="B22" s="27"/>
      <c r="C22" s="27"/>
      <c r="D22" s="8"/>
      <c r="E22" s="15"/>
      <c r="F22" s="15"/>
      <c r="G22" s="7" t="str">
        <f aca="false">IF($A22="","",IF(B22="",IFERROR(INDEX(Recetas!$K$6:$K$115,MATCH($A22,Recetas!$A$6:$A$115,0))&amp;"",""),B22))</f>
        <v/>
      </c>
      <c r="H22" s="7" t="str">
        <f aca="false">IF($A22="","",IF(AND(C22="",N(IFERROR(INDEX(Recetas!$T$6:$T$115,MATCH($A22,Recetas!$A$6:$A$115,0)),1))=0),"—",IF(C22="",IFERROR(INDEX(Recetas!$L$6:$L$115,MATCH($A22,Recetas!$A$6:$A$115,0))&amp;"",""),C22)))</f>
        <v/>
      </c>
      <c r="I22" s="7" t="str">
        <f aca="false">IF($A22="","",IF(AND(D22="",N(IFERROR(INDEX(Recetas!$W$6:$W$115,MATCH($A22,Recetas!$A$6:$A$115,0)),1))=0),"—",IF(D22="",IFERROR(IF(INDEX(Recetas!$M$6:$M$115,MATCH($A22,Recetas!$A$6:$A$115,0))&amp;""="",G22,INDEX(Recetas!$M$6:$M$115,MATCH($A22,Recetas!$A$6:$A$115,0))&amp;""),""),D22)))</f>
        <v/>
      </c>
      <c r="J22" s="9" t="str">
        <f aca="false">IF($A22="","",IFERROR(INDEX(Recetas!$Q$6:$Q$115,MATCH($A22,Recetas!$A$6:$A$115,0)),""))</f>
        <v/>
      </c>
      <c r="K22" s="10" t="str">
        <f aca="false">IF($A22="","",IFERROR(INDEX(Telas!$I$6:$I$105,MATCH(G22,Telas!$A$6:$A$105,0)),""))</f>
        <v/>
      </c>
      <c r="L22" s="10" t="str">
        <f aca="false">IF($A22="","",IFERROR(IF(ISNUMBER(J22),IF(J22=0,0,J22*INDEX(Telas!$I$6:$I$105,MATCH(G22,Telas!$A$6:$A$105,0))),NA())+IF(ISNUMBER(INDEX(Recetas!$T$6:$T$115,MATCH($A22,Recetas!$A$6:$A$115,0))),IF(INDEX(Recetas!$T$6:$T$115,MATCH($A22,Recetas!$A$6:$A$115,0))=0,0,INDEX(Recetas!$T$6:$T$115,MATCH($A22,Recetas!$A$6:$A$115,0))*INDEX(Telas!$I$6:$I$105,MATCH(H22,Telas!$A$6:$A$105,0))),NA())+IF(ISNUMBER(INDEX(Recetas!$W$6:$W$115,MATCH($A22,Recetas!$A$6:$A$115,0))),IF(INDEX(Recetas!$W$6:$W$115,MATCH($A22,Recetas!$A$6:$A$115,0))=0,0,INDEX(Recetas!$W$6:$W$115,MATCH($A22,Recetas!$A$6:$A$115,0))*INDEX(Telas!$I$6:$I$105,MATCH(I22,Telas!$A$6:$A$105,0))),NA()),""))</f>
        <v/>
      </c>
      <c r="M22" s="10" t="str">
        <f aca="false">IF($A22="","",IFERROR(INDEX(Recetas!$AA$6:$AA$115,MATCH($A22,Recetas!$A$6:$A$115,0))*1,""))</f>
        <v/>
      </c>
      <c r="N22" s="10" t="str">
        <f aca="false">IF($A22="","",IFERROR(INDEX(Recetas!$AB$6:$AB$115,MATCH($A22,Recetas!$A$6:$A$115,0))*1,""))</f>
        <v/>
      </c>
      <c r="O22" s="10" t="str">
        <f aca="false">IF($A22="","",IFERROR(INDEX(Recetas!$AC$6:$AC$115,MATCH($A22,Recetas!$A$6:$A$115,0))+N(E22),""))</f>
        <v/>
      </c>
      <c r="P22" s="11" t="str">
        <f aca="false">IF($A22="","",IFERROR(L22+M22+N22+O22,""))</f>
        <v/>
      </c>
      <c r="Q22" s="11" t="str">
        <f aca="false">IF(ISNUMBER(P22),P22*Parametros!$B$12,"")</f>
        <v/>
      </c>
      <c r="R22" s="30" t="str">
        <f aca="false">IF(AND(ISNUMBER(P22),N(F22)&gt;0),(F22-P22-F22*Parametros!$B$8)/F22,"")</f>
        <v/>
      </c>
      <c r="S22" s="10" t="str">
        <f aca="false">IF(AND(ISNUMBER(P22),N(F22)&gt;0),F22-P22-F22*Parametros!$B$8,"")</f>
        <v/>
      </c>
      <c r="T22" s="29" t="str">
        <f aca="false">IF(AND(ISNUMBER(J22),G22&lt;&gt;""),IFERROR(1/(J22*INDEX(Telas!$G$6:$G$105,MATCH(G22,Telas!$A$6:$A$105,0))),""),"")</f>
        <v/>
      </c>
      <c r="U22" s="7" t="str">
        <f aca="false">IF($A22="","",IF(ISNUMBER(P22),"OK",IF(K22="","Precio o peso por metro de "&amp;G22&amp;". ","")&amp;IFERROR(INDEX(Recetas!$AG$6:$AG$115,MATCH($A22,Recetas!$A$6:$A$115,0)),"Molde no existe en Recetas.")))</f>
        <v/>
      </c>
    </row>
    <row r="23" customFormat="false" ht="15" hidden="false" customHeight="false" outlineLevel="0" collapsed="false">
      <c r="A23" s="27"/>
      <c r="B23" s="27"/>
      <c r="C23" s="27"/>
      <c r="D23" s="8"/>
      <c r="E23" s="15"/>
      <c r="F23" s="15"/>
      <c r="G23" s="7" t="str">
        <f aca="false">IF($A23="","",IF(B23="",IFERROR(INDEX(Recetas!$K$6:$K$115,MATCH($A23,Recetas!$A$6:$A$115,0))&amp;"",""),B23))</f>
        <v/>
      </c>
      <c r="H23" s="7" t="str">
        <f aca="false">IF($A23="","",IF(AND(C23="",N(IFERROR(INDEX(Recetas!$T$6:$T$115,MATCH($A23,Recetas!$A$6:$A$115,0)),1))=0),"—",IF(C23="",IFERROR(INDEX(Recetas!$L$6:$L$115,MATCH($A23,Recetas!$A$6:$A$115,0))&amp;"",""),C23)))</f>
        <v/>
      </c>
      <c r="I23" s="7" t="str">
        <f aca="false">IF($A23="","",IF(AND(D23="",N(IFERROR(INDEX(Recetas!$W$6:$W$115,MATCH($A23,Recetas!$A$6:$A$115,0)),1))=0),"—",IF(D23="",IFERROR(IF(INDEX(Recetas!$M$6:$M$115,MATCH($A23,Recetas!$A$6:$A$115,0))&amp;""="",G23,INDEX(Recetas!$M$6:$M$115,MATCH($A23,Recetas!$A$6:$A$115,0))&amp;""),""),D23)))</f>
        <v/>
      </c>
      <c r="J23" s="9" t="str">
        <f aca="false">IF($A23="","",IFERROR(INDEX(Recetas!$Q$6:$Q$115,MATCH($A23,Recetas!$A$6:$A$115,0)),""))</f>
        <v/>
      </c>
      <c r="K23" s="10" t="str">
        <f aca="false">IF($A23="","",IFERROR(INDEX(Telas!$I$6:$I$105,MATCH(G23,Telas!$A$6:$A$105,0)),""))</f>
        <v/>
      </c>
      <c r="L23" s="10" t="str">
        <f aca="false">IF($A23="","",IFERROR(IF(ISNUMBER(J23),IF(J23=0,0,J23*INDEX(Telas!$I$6:$I$105,MATCH(G23,Telas!$A$6:$A$105,0))),NA())+IF(ISNUMBER(INDEX(Recetas!$T$6:$T$115,MATCH($A23,Recetas!$A$6:$A$115,0))),IF(INDEX(Recetas!$T$6:$T$115,MATCH($A23,Recetas!$A$6:$A$115,0))=0,0,INDEX(Recetas!$T$6:$T$115,MATCH($A23,Recetas!$A$6:$A$115,0))*INDEX(Telas!$I$6:$I$105,MATCH(H23,Telas!$A$6:$A$105,0))),NA())+IF(ISNUMBER(INDEX(Recetas!$W$6:$W$115,MATCH($A23,Recetas!$A$6:$A$115,0))),IF(INDEX(Recetas!$W$6:$W$115,MATCH($A23,Recetas!$A$6:$A$115,0))=0,0,INDEX(Recetas!$W$6:$W$115,MATCH($A23,Recetas!$A$6:$A$115,0))*INDEX(Telas!$I$6:$I$105,MATCH(I23,Telas!$A$6:$A$105,0))),NA()),""))</f>
        <v/>
      </c>
      <c r="M23" s="10" t="str">
        <f aca="false">IF($A23="","",IFERROR(INDEX(Recetas!$AA$6:$AA$115,MATCH($A23,Recetas!$A$6:$A$115,0))*1,""))</f>
        <v/>
      </c>
      <c r="N23" s="10" t="str">
        <f aca="false">IF($A23="","",IFERROR(INDEX(Recetas!$AB$6:$AB$115,MATCH($A23,Recetas!$A$6:$A$115,0))*1,""))</f>
        <v/>
      </c>
      <c r="O23" s="10" t="str">
        <f aca="false">IF($A23="","",IFERROR(INDEX(Recetas!$AC$6:$AC$115,MATCH($A23,Recetas!$A$6:$A$115,0))+N(E23),""))</f>
        <v/>
      </c>
      <c r="P23" s="11" t="str">
        <f aca="false">IF($A23="","",IFERROR(L23+M23+N23+O23,""))</f>
        <v/>
      </c>
      <c r="Q23" s="11" t="str">
        <f aca="false">IF(ISNUMBER(P23),P23*Parametros!$B$12,"")</f>
        <v/>
      </c>
      <c r="R23" s="30" t="str">
        <f aca="false">IF(AND(ISNUMBER(P23),N(F23)&gt;0),(F23-P23-F23*Parametros!$B$8)/F23,"")</f>
        <v/>
      </c>
      <c r="S23" s="10" t="str">
        <f aca="false">IF(AND(ISNUMBER(P23),N(F23)&gt;0),F23-P23-F23*Parametros!$B$8,"")</f>
        <v/>
      </c>
      <c r="T23" s="29" t="str">
        <f aca="false">IF(AND(ISNUMBER(J23),G23&lt;&gt;""),IFERROR(1/(J23*INDEX(Telas!$G$6:$G$105,MATCH(G23,Telas!$A$6:$A$105,0))),""),"")</f>
        <v/>
      </c>
      <c r="U23" s="7" t="str">
        <f aca="false">IF($A23="","",IF(ISNUMBER(P23),"OK",IF(K23="","Precio o peso por metro de "&amp;G23&amp;". ","")&amp;IFERROR(INDEX(Recetas!$AG$6:$AG$115,MATCH($A23,Recetas!$A$6:$A$115,0)),"Molde no existe en Recetas.")))</f>
        <v/>
      </c>
    </row>
    <row r="24" customFormat="false" ht="15" hidden="false" customHeight="false" outlineLevel="0" collapsed="false">
      <c r="A24" s="27"/>
      <c r="B24" s="27"/>
      <c r="C24" s="27"/>
      <c r="D24" s="8"/>
      <c r="E24" s="15"/>
      <c r="F24" s="15"/>
      <c r="G24" s="7" t="str">
        <f aca="false">IF($A24="","",IF(B24="",IFERROR(INDEX(Recetas!$K$6:$K$115,MATCH($A24,Recetas!$A$6:$A$115,0))&amp;"",""),B24))</f>
        <v/>
      </c>
      <c r="H24" s="7" t="str">
        <f aca="false">IF($A24="","",IF(AND(C24="",N(IFERROR(INDEX(Recetas!$T$6:$T$115,MATCH($A24,Recetas!$A$6:$A$115,0)),1))=0),"—",IF(C24="",IFERROR(INDEX(Recetas!$L$6:$L$115,MATCH($A24,Recetas!$A$6:$A$115,0))&amp;"",""),C24)))</f>
        <v/>
      </c>
      <c r="I24" s="7" t="str">
        <f aca="false">IF($A24="","",IF(AND(D24="",N(IFERROR(INDEX(Recetas!$W$6:$W$115,MATCH($A24,Recetas!$A$6:$A$115,0)),1))=0),"—",IF(D24="",IFERROR(IF(INDEX(Recetas!$M$6:$M$115,MATCH($A24,Recetas!$A$6:$A$115,0))&amp;""="",G24,INDEX(Recetas!$M$6:$M$115,MATCH($A24,Recetas!$A$6:$A$115,0))&amp;""),""),D24)))</f>
        <v/>
      </c>
      <c r="J24" s="9" t="str">
        <f aca="false">IF($A24="","",IFERROR(INDEX(Recetas!$Q$6:$Q$115,MATCH($A24,Recetas!$A$6:$A$115,0)),""))</f>
        <v/>
      </c>
      <c r="K24" s="10" t="str">
        <f aca="false">IF($A24="","",IFERROR(INDEX(Telas!$I$6:$I$105,MATCH(G24,Telas!$A$6:$A$105,0)),""))</f>
        <v/>
      </c>
      <c r="L24" s="10" t="str">
        <f aca="false">IF($A24="","",IFERROR(IF(ISNUMBER(J24),IF(J24=0,0,J24*INDEX(Telas!$I$6:$I$105,MATCH(G24,Telas!$A$6:$A$105,0))),NA())+IF(ISNUMBER(INDEX(Recetas!$T$6:$T$115,MATCH($A24,Recetas!$A$6:$A$115,0))),IF(INDEX(Recetas!$T$6:$T$115,MATCH($A24,Recetas!$A$6:$A$115,0))=0,0,INDEX(Recetas!$T$6:$T$115,MATCH($A24,Recetas!$A$6:$A$115,0))*INDEX(Telas!$I$6:$I$105,MATCH(H24,Telas!$A$6:$A$105,0))),NA())+IF(ISNUMBER(INDEX(Recetas!$W$6:$W$115,MATCH($A24,Recetas!$A$6:$A$115,0))),IF(INDEX(Recetas!$W$6:$W$115,MATCH($A24,Recetas!$A$6:$A$115,0))=0,0,INDEX(Recetas!$W$6:$W$115,MATCH($A24,Recetas!$A$6:$A$115,0))*INDEX(Telas!$I$6:$I$105,MATCH(I24,Telas!$A$6:$A$105,0))),NA()),""))</f>
        <v/>
      </c>
      <c r="M24" s="10" t="str">
        <f aca="false">IF($A24="","",IFERROR(INDEX(Recetas!$AA$6:$AA$115,MATCH($A24,Recetas!$A$6:$A$115,0))*1,""))</f>
        <v/>
      </c>
      <c r="N24" s="10" t="str">
        <f aca="false">IF($A24="","",IFERROR(INDEX(Recetas!$AB$6:$AB$115,MATCH($A24,Recetas!$A$6:$A$115,0))*1,""))</f>
        <v/>
      </c>
      <c r="O24" s="10" t="str">
        <f aca="false">IF($A24="","",IFERROR(INDEX(Recetas!$AC$6:$AC$115,MATCH($A24,Recetas!$A$6:$A$115,0))+N(E24),""))</f>
        <v/>
      </c>
      <c r="P24" s="11" t="str">
        <f aca="false">IF($A24="","",IFERROR(L24+M24+N24+O24,""))</f>
        <v/>
      </c>
      <c r="Q24" s="11" t="str">
        <f aca="false">IF(ISNUMBER(P24),P24*Parametros!$B$12,"")</f>
        <v/>
      </c>
      <c r="R24" s="30" t="str">
        <f aca="false">IF(AND(ISNUMBER(P24),N(F24)&gt;0),(F24-P24-F24*Parametros!$B$8)/F24,"")</f>
        <v/>
      </c>
      <c r="S24" s="10" t="str">
        <f aca="false">IF(AND(ISNUMBER(P24),N(F24)&gt;0),F24-P24-F24*Parametros!$B$8,"")</f>
        <v/>
      </c>
      <c r="T24" s="29" t="str">
        <f aca="false">IF(AND(ISNUMBER(J24),G24&lt;&gt;""),IFERROR(1/(J24*INDEX(Telas!$G$6:$G$105,MATCH(G24,Telas!$A$6:$A$105,0))),""),"")</f>
        <v/>
      </c>
      <c r="U24" s="7" t="str">
        <f aca="false">IF($A24="","",IF(ISNUMBER(P24),"OK",IF(K24="","Precio o peso por metro de "&amp;G24&amp;". ","")&amp;IFERROR(INDEX(Recetas!$AG$6:$AG$115,MATCH($A24,Recetas!$A$6:$A$115,0)),"Molde no existe en Recetas.")))</f>
        <v/>
      </c>
    </row>
    <row r="25" customFormat="false" ht="15" hidden="false" customHeight="false" outlineLevel="0" collapsed="false">
      <c r="A25" s="27"/>
      <c r="B25" s="27"/>
      <c r="C25" s="27"/>
      <c r="D25" s="8"/>
      <c r="E25" s="15"/>
      <c r="F25" s="15"/>
      <c r="G25" s="7" t="str">
        <f aca="false">IF($A25="","",IF(B25="",IFERROR(INDEX(Recetas!$K$6:$K$115,MATCH($A25,Recetas!$A$6:$A$115,0))&amp;"",""),B25))</f>
        <v/>
      </c>
      <c r="H25" s="7" t="str">
        <f aca="false">IF($A25="","",IF(AND(C25="",N(IFERROR(INDEX(Recetas!$T$6:$T$115,MATCH($A25,Recetas!$A$6:$A$115,0)),1))=0),"—",IF(C25="",IFERROR(INDEX(Recetas!$L$6:$L$115,MATCH($A25,Recetas!$A$6:$A$115,0))&amp;"",""),C25)))</f>
        <v/>
      </c>
      <c r="I25" s="7" t="str">
        <f aca="false">IF($A25="","",IF(AND(D25="",N(IFERROR(INDEX(Recetas!$W$6:$W$115,MATCH($A25,Recetas!$A$6:$A$115,0)),1))=0),"—",IF(D25="",IFERROR(IF(INDEX(Recetas!$M$6:$M$115,MATCH($A25,Recetas!$A$6:$A$115,0))&amp;""="",G25,INDEX(Recetas!$M$6:$M$115,MATCH($A25,Recetas!$A$6:$A$115,0))&amp;""),""),D25)))</f>
        <v/>
      </c>
      <c r="J25" s="9" t="str">
        <f aca="false">IF($A25="","",IFERROR(INDEX(Recetas!$Q$6:$Q$115,MATCH($A25,Recetas!$A$6:$A$115,0)),""))</f>
        <v/>
      </c>
      <c r="K25" s="10" t="str">
        <f aca="false">IF($A25="","",IFERROR(INDEX(Telas!$I$6:$I$105,MATCH(G25,Telas!$A$6:$A$105,0)),""))</f>
        <v/>
      </c>
      <c r="L25" s="10" t="str">
        <f aca="false">IF($A25="","",IFERROR(IF(ISNUMBER(J25),IF(J25=0,0,J25*INDEX(Telas!$I$6:$I$105,MATCH(G25,Telas!$A$6:$A$105,0))),NA())+IF(ISNUMBER(INDEX(Recetas!$T$6:$T$115,MATCH($A25,Recetas!$A$6:$A$115,0))),IF(INDEX(Recetas!$T$6:$T$115,MATCH($A25,Recetas!$A$6:$A$115,0))=0,0,INDEX(Recetas!$T$6:$T$115,MATCH($A25,Recetas!$A$6:$A$115,0))*INDEX(Telas!$I$6:$I$105,MATCH(H25,Telas!$A$6:$A$105,0))),NA())+IF(ISNUMBER(INDEX(Recetas!$W$6:$W$115,MATCH($A25,Recetas!$A$6:$A$115,0))),IF(INDEX(Recetas!$W$6:$W$115,MATCH($A25,Recetas!$A$6:$A$115,0))=0,0,INDEX(Recetas!$W$6:$W$115,MATCH($A25,Recetas!$A$6:$A$115,0))*INDEX(Telas!$I$6:$I$105,MATCH(I25,Telas!$A$6:$A$105,0))),NA()),""))</f>
        <v/>
      </c>
      <c r="M25" s="10" t="str">
        <f aca="false">IF($A25="","",IFERROR(INDEX(Recetas!$AA$6:$AA$115,MATCH($A25,Recetas!$A$6:$A$115,0))*1,""))</f>
        <v/>
      </c>
      <c r="N25" s="10" t="str">
        <f aca="false">IF($A25="","",IFERROR(INDEX(Recetas!$AB$6:$AB$115,MATCH($A25,Recetas!$A$6:$A$115,0))*1,""))</f>
        <v/>
      </c>
      <c r="O25" s="10" t="str">
        <f aca="false">IF($A25="","",IFERROR(INDEX(Recetas!$AC$6:$AC$115,MATCH($A25,Recetas!$A$6:$A$115,0))+N(E25),""))</f>
        <v/>
      </c>
      <c r="P25" s="11" t="str">
        <f aca="false">IF($A25="","",IFERROR(L25+M25+N25+O25,""))</f>
        <v/>
      </c>
      <c r="Q25" s="11" t="str">
        <f aca="false">IF(ISNUMBER(P25),P25*Parametros!$B$12,"")</f>
        <v/>
      </c>
      <c r="R25" s="30" t="str">
        <f aca="false">IF(AND(ISNUMBER(P25),N(F25)&gt;0),(F25-P25-F25*Parametros!$B$8)/F25,"")</f>
        <v/>
      </c>
      <c r="S25" s="10" t="str">
        <f aca="false">IF(AND(ISNUMBER(P25),N(F25)&gt;0),F25-P25-F25*Parametros!$B$8,"")</f>
        <v/>
      </c>
      <c r="T25" s="29" t="str">
        <f aca="false">IF(AND(ISNUMBER(J25),G25&lt;&gt;""),IFERROR(1/(J25*INDEX(Telas!$G$6:$G$105,MATCH(G25,Telas!$A$6:$A$105,0))),""),"")</f>
        <v/>
      </c>
      <c r="U25" s="7" t="str">
        <f aca="false">IF($A25="","",IF(ISNUMBER(P25),"OK",IF(K25="","Precio o peso por metro de "&amp;G25&amp;". ","")&amp;IFERROR(INDEX(Recetas!$AG$6:$AG$115,MATCH($A25,Recetas!$A$6:$A$115,0)),"Molde no existe en Recetas.")))</f>
        <v/>
      </c>
    </row>
    <row r="26" customFormat="false" ht="15" hidden="false" customHeight="false" outlineLevel="0" collapsed="false">
      <c r="A26" s="27"/>
      <c r="B26" s="27"/>
      <c r="C26" s="27"/>
      <c r="D26" s="8"/>
      <c r="E26" s="15"/>
      <c r="F26" s="15"/>
      <c r="G26" s="7" t="str">
        <f aca="false">IF($A26="","",IF(B26="",IFERROR(INDEX(Recetas!$K$6:$K$115,MATCH($A26,Recetas!$A$6:$A$115,0))&amp;"",""),B26))</f>
        <v/>
      </c>
      <c r="H26" s="7" t="str">
        <f aca="false">IF($A26="","",IF(AND(C26="",N(IFERROR(INDEX(Recetas!$T$6:$T$115,MATCH($A26,Recetas!$A$6:$A$115,0)),1))=0),"—",IF(C26="",IFERROR(INDEX(Recetas!$L$6:$L$115,MATCH($A26,Recetas!$A$6:$A$115,0))&amp;"",""),C26)))</f>
        <v/>
      </c>
      <c r="I26" s="7" t="str">
        <f aca="false">IF($A26="","",IF(AND(D26="",N(IFERROR(INDEX(Recetas!$W$6:$W$115,MATCH($A26,Recetas!$A$6:$A$115,0)),1))=0),"—",IF(D26="",IFERROR(IF(INDEX(Recetas!$M$6:$M$115,MATCH($A26,Recetas!$A$6:$A$115,0))&amp;""="",G26,INDEX(Recetas!$M$6:$M$115,MATCH($A26,Recetas!$A$6:$A$115,0))&amp;""),""),D26)))</f>
        <v/>
      </c>
      <c r="J26" s="9" t="str">
        <f aca="false">IF($A26="","",IFERROR(INDEX(Recetas!$Q$6:$Q$115,MATCH($A26,Recetas!$A$6:$A$115,0)),""))</f>
        <v/>
      </c>
      <c r="K26" s="10" t="str">
        <f aca="false">IF($A26="","",IFERROR(INDEX(Telas!$I$6:$I$105,MATCH(G26,Telas!$A$6:$A$105,0)),""))</f>
        <v/>
      </c>
      <c r="L26" s="10" t="str">
        <f aca="false">IF($A26="","",IFERROR(IF(ISNUMBER(J26),IF(J26=0,0,J26*INDEX(Telas!$I$6:$I$105,MATCH(G26,Telas!$A$6:$A$105,0))),NA())+IF(ISNUMBER(INDEX(Recetas!$T$6:$T$115,MATCH($A26,Recetas!$A$6:$A$115,0))),IF(INDEX(Recetas!$T$6:$T$115,MATCH($A26,Recetas!$A$6:$A$115,0))=0,0,INDEX(Recetas!$T$6:$T$115,MATCH($A26,Recetas!$A$6:$A$115,0))*INDEX(Telas!$I$6:$I$105,MATCH(H26,Telas!$A$6:$A$105,0))),NA())+IF(ISNUMBER(INDEX(Recetas!$W$6:$W$115,MATCH($A26,Recetas!$A$6:$A$115,0))),IF(INDEX(Recetas!$W$6:$W$115,MATCH($A26,Recetas!$A$6:$A$115,0))=0,0,INDEX(Recetas!$W$6:$W$115,MATCH($A26,Recetas!$A$6:$A$115,0))*INDEX(Telas!$I$6:$I$105,MATCH(I26,Telas!$A$6:$A$105,0))),NA()),""))</f>
        <v/>
      </c>
      <c r="M26" s="10" t="str">
        <f aca="false">IF($A26="","",IFERROR(INDEX(Recetas!$AA$6:$AA$115,MATCH($A26,Recetas!$A$6:$A$115,0))*1,""))</f>
        <v/>
      </c>
      <c r="N26" s="10" t="str">
        <f aca="false">IF($A26="","",IFERROR(INDEX(Recetas!$AB$6:$AB$115,MATCH($A26,Recetas!$A$6:$A$115,0))*1,""))</f>
        <v/>
      </c>
      <c r="O26" s="10" t="str">
        <f aca="false">IF($A26="","",IFERROR(INDEX(Recetas!$AC$6:$AC$115,MATCH($A26,Recetas!$A$6:$A$115,0))+N(E26),""))</f>
        <v/>
      </c>
      <c r="P26" s="11" t="str">
        <f aca="false">IF($A26="","",IFERROR(L26+M26+N26+O26,""))</f>
        <v/>
      </c>
      <c r="Q26" s="11" t="str">
        <f aca="false">IF(ISNUMBER(P26),P26*Parametros!$B$12,"")</f>
        <v/>
      </c>
      <c r="R26" s="30" t="str">
        <f aca="false">IF(AND(ISNUMBER(P26),N(F26)&gt;0),(F26-P26-F26*Parametros!$B$8)/F26,"")</f>
        <v/>
      </c>
      <c r="S26" s="10" t="str">
        <f aca="false">IF(AND(ISNUMBER(P26),N(F26)&gt;0),F26-P26-F26*Parametros!$B$8,"")</f>
        <v/>
      </c>
      <c r="T26" s="29" t="str">
        <f aca="false">IF(AND(ISNUMBER(J26),G26&lt;&gt;""),IFERROR(1/(J26*INDEX(Telas!$G$6:$G$105,MATCH(G26,Telas!$A$6:$A$105,0))),""),"")</f>
        <v/>
      </c>
      <c r="U26" s="7" t="str">
        <f aca="false">IF($A26="","",IF(ISNUMBER(P26),"OK",IF(K26="","Precio o peso por metro de "&amp;G26&amp;". ","")&amp;IFERROR(INDEX(Recetas!$AG$6:$AG$115,MATCH($A26,Recetas!$A$6:$A$115,0)),"Molde no existe en Recetas.")))</f>
        <v/>
      </c>
    </row>
    <row r="27" customFormat="false" ht="15" hidden="false" customHeight="false" outlineLevel="0" collapsed="false">
      <c r="A27" s="27"/>
      <c r="B27" s="27"/>
      <c r="C27" s="27"/>
      <c r="D27" s="8"/>
      <c r="E27" s="15"/>
      <c r="F27" s="15"/>
      <c r="G27" s="7" t="str">
        <f aca="false">IF($A27="","",IF(B27="",IFERROR(INDEX(Recetas!$K$6:$K$115,MATCH($A27,Recetas!$A$6:$A$115,0))&amp;"",""),B27))</f>
        <v/>
      </c>
      <c r="H27" s="7" t="str">
        <f aca="false">IF($A27="","",IF(AND(C27="",N(IFERROR(INDEX(Recetas!$T$6:$T$115,MATCH($A27,Recetas!$A$6:$A$115,0)),1))=0),"—",IF(C27="",IFERROR(INDEX(Recetas!$L$6:$L$115,MATCH($A27,Recetas!$A$6:$A$115,0))&amp;"",""),C27)))</f>
        <v/>
      </c>
      <c r="I27" s="7" t="str">
        <f aca="false">IF($A27="","",IF(AND(D27="",N(IFERROR(INDEX(Recetas!$W$6:$W$115,MATCH($A27,Recetas!$A$6:$A$115,0)),1))=0),"—",IF(D27="",IFERROR(IF(INDEX(Recetas!$M$6:$M$115,MATCH($A27,Recetas!$A$6:$A$115,0))&amp;""="",G27,INDEX(Recetas!$M$6:$M$115,MATCH($A27,Recetas!$A$6:$A$115,0))&amp;""),""),D27)))</f>
        <v/>
      </c>
      <c r="J27" s="9" t="str">
        <f aca="false">IF($A27="","",IFERROR(INDEX(Recetas!$Q$6:$Q$115,MATCH($A27,Recetas!$A$6:$A$115,0)),""))</f>
        <v/>
      </c>
      <c r="K27" s="10" t="str">
        <f aca="false">IF($A27="","",IFERROR(INDEX(Telas!$I$6:$I$105,MATCH(G27,Telas!$A$6:$A$105,0)),""))</f>
        <v/>
      </c>
      <c r="L27" s="10" t="str">
        <f aca="false">IF($A27="","",IFERROR(IF(ISNUMBER(J27),IF(J27=0,0,J27*INDEX(Telas!$I$6:$I$105,MATCH(G27,Telas!$A$6:$A$105,0))),NA())+IF(ISNUMBER(INDEX(Recetas!$T$6:$T$115,MATCH($A27,Recetas!$A$6:$A$115,0))),IF(INDEX(Recetas!$T$6:$T$115,MATCH($A27,Recetas!$A$6:$A$115,0))=0,0,INDEX(Recetas!$T$6:$T$115,MATCH($A27,Recetas!$A$6:$A$115,0))*INDEX(Telas!$I$6:$I$105,MATCH(H27,Telas!$A$6:$A$105,0))),NA())+IF(ISNUMBER(INDEX(Recetas!$W$6:$W$115,MATCH($A27,Recetas!$A$6:$A$115,0))),IF(INDEX(Recetas!$W$6:$W$115,MATCH($A27,Recetas!$A$6:$A$115,0))=0,0,INDEX(Recetas!$W$6:$W$115,MATCH($A27,Recetas!$A$6:$A$115,0))*INDEX(Telas!$I$6:$I$105,MATCH(I27,Telas!$A$6:$A$105,0))),NA()),""))</f>
        <v/>
      </c>
      <c r="M27" s="10" t="str">
        <f aca="false">IF($A27="","",IFERROR(INDEX(Recetas!$AA$6:$AA$115,MATCH($A27,Recetas!$A$6:$A$115,0))*1,""))</f>
        <v/>
      </c>
      <c r="N27" s="10" t="str">
        <f aca="false">IF($A27="","",IFERROR(INDEX(Recetas!$AB$6:$AB$115,MATCH($A27,Recetas!$A$6:$A$115,0))*1,""))</f>
        <v/>
      </c>
      <c r="O27" s="10" t="str">
        <f aca="false">IF($A27="","",IFERROR(INDEX(Recetas!$AC$6:$AC$115,MATCH($A27,Recetas!$A$6:$A$115,0))+N(E27),""))</f>
        <v/>
      </c>
      <c r="P27" s="11" t="str">
        <f aca="false">IF($A27="","",IFERROR(L27+M27+N27+O27,""))</f>
        <v/>
      </c>
      <c r="Q27" s="11" t="str">
        <f aca="false">IF(ISNUMBER(P27),P27*Parametros!$B$12,"")</f>
        <v/>
      </c>
      <c r="R27" s="30" t="str">
        <f aca="false">IF(AND(ISNUMBER(P27),N(F27)&gt;0),(F27-P27-F27*Parametros!$B$8)/F27,"")</f>
        <v/>
      </c>
      <c r="S27" s="10" t="str">
        <f aca="false">IF(AND(ISNUMBER(P27),N(F27)&gt;0),F27-P27-F27*Parametros!$B$8,"")</f>
        <v/>
      </c>
      <c r="T27" s="29" t="str">
        <f aca="false">IF(AND(ISNUMBER(J27),G27&lt;&gt;""),IFERROR(1/(J27*INDEX(Telas!$G$6:$G$105,MATCH(G27,Telas!$A$6:$A$105,0))),""),"")</f>
        <v/>
      </c>
      <c r="U27" s="7" t="str">
        <f aca="false">IF($A27="","",IF(ISNUMBER(P27),"OK",IF(K27="","Precio o peso por metro de "&amp;G27&amp;". ","")&amp;IFERROR(INDEX(Recetas!$AG$6:$AG$115,MATCH($A27,Recetas!$A$6:$A$115,0)),"Molde no existe en Recetas.")))</f>
        <v/>
      </c>
    </row>
    <row r="28" customFormat="false" ht="15" hidden="false" customHeight="false" outlineLevel="0" collapsed="false">
      <c r="A28" s="27"/>
      <c r="B28" s="27"/>
      <c r="C28" s="27"/>
      <c r="D28" s="8"/>
      <c r="E28" s="15"/>
      <c r="F28" s="15"/>
      <c r="G28" s="7" t="str">
        <f aca="false">IF($A28="","",IF(B28="",IFERROR(INDEX(Recetas!$K$6:$K$115,MATCH($A28,Recetas!$A$6:$A$115,0))&amp;"",""),B28))</f>
        <v/>
      </c>
      <c r="H28" s="7" t="str">
        <f aca="false">IF($A28="","",IF(AND(C28="",N(IFERROR(INDEX(Recetas!$T$6:$T$115,MATCH($A28,Recetas!$A$6:$A$115,0)),1))=0),"—",IF(C28="",IFERROR(INDEX(Recetas!$L$6:$L$115,MATCH($A28,Recetas!$A$6:$A$115,0))&amp;"",""),C28)))</f>
        <v/>
      </c>
      <c r="I28" s="7" t="str">
        <f aca="false">IF($A28="","",IF(AND(D28="",N(IFERROR(INDEX(Recetas!$W$6:$W$115,MATCH($A28,Recetas!$A$6:$A$115,0)),1))=0),"—",IF(D28="",IFERROR(IF(INDEX(Recetas!$M$6:$M$115,MATCH($A28,Recetas!$A$6:$A$115,0))&amp;""="",G28,INDEX(Recetas!$M$6:$M$115,MATCH($A28,Recetas!$A$6:$A$115,0))&amp;""),""),D28)))</f>
        <v/>
      </c>
      <c r="J28" s="9" t="str">
        <f aca="false">IF($A28="","",IFERROR(INDEX(Recetas!$Q$6:$Q$115,MATCH($A28,Recetas!$A$6:$A$115,0)),""))</f>
        <v/>
      </c>
      <c r="K28" s="10" t="str">
        <f aca="false">IF($A28="","",IFERROR(INDEX(Telas!$I$6:$I$105,MATCH(G28,Telas!$A$6:$A$105,0)),""))</f>
        <v/>
      </c>
      <c r="L28" s="10" t="str">
        <f aca="false">IF($A28="","",IFERROR(IF(ISNUMBER(J28),IF(J28=0,0,J28*INDEX(Telas!$I$6:$I$105,MATCH(G28,Telas!$A$6:$A$105,0))),NA())+IF(ISNUMBER(INDEX(Recetas!$T$6:$T$115,MATCH($A28,Recetas!$A$6:$A$115,0))),IF(INDEX(Recetas!$T$6:$T$115,MATCH($A28,Recetas!$A$6:$A$115,0))=0,0,INDEX(Recetas!$T$6:$T$115,MATCH($A28,Recetas!$A$6:$A$115,0))*INDEX(Telas!$I$6:$I$105,MATCH(H28,Telas!$A$6:$A$105,0))),NA())+IF(ISNUMBER(INDEX(Recetas!$W$6:$W$115,MATCH($A28,Recetas!$A$6:$A$115,0))),IF(INDEX(Recetas!$W$6:$W$115,MATCH($A28,Recetas!$A$6:$A$115,0))=0,0,INDEX(Recetas!$W$6:$W$115,MATCH($A28,Recetas!$A$6:$A$115,0))*INDEX(Telas!$I$6:$I$105,MATCH(I28,Telas!$A$6:$A$105,0))),NA()),""))</f>
        <v/>
      </c>
      <c r="M28" s="10" t="str">
        <f aca="false">IF($A28="","",IFERROR(INDEX(Recetas!$AA$6:$AA$115,MATCH($A28,Recetas!$A$6:$A$115,0))*1,""))</f>
        <v/>
      </c>
      <c r="N28" s="10" t="str">
        <f aca="false">IF($A28="","",IFERROR(INDEX(Recetas!$AB$6:$AB$115,MATCH($A28,Recetas!$A$6:$A$115,0))*1,""))</f>
        <v/>
      </c>
      <c r="O28" s="10" t="str">
        <f aca="false">IF($A28="","",IFERROR(INDEX(Recetas!$AC$6:$AC$115,MATCH($A28,Recetas!$A$6:$A$115,0))+N(E28),""))</f>
        <v/>
      </c>
      <c r="P28" s="11" t="str">
        <f aca="false">IF($A28="","",IFERROR(L28+M28+N28+O28,""))</f>
        <v/>
      </c>
      <c r="Q28" s="11" t="str">
        <f aca="false">IF(ISNUMBER(P28),P28*Parametros!$B$12,"")</f>
        <v/>
      </c>
      <c r="R28" s="30" t="str">
        <f aca="false">IF(AND(ISNUMBER(P28),N(F28)&gt;0),(F28-P28-F28*Parametros!$B$8)/F28,"")</f>
        <v/>
      </c>
      <c r="S28" s="10" t="str">
        <f aca="false">IF(AND(ISNUMBER(P28),N(F28)&gt;0),F28-P28-F28*Parametros!$B$8,"")</f>
        <v/>
      </c>
      <c r="T28" s="29" t="str">
        <f aca="false">IF(AND(ISNUMBER(J28),G28&lt;&gt;""),IFERROR(1/(J28*INDEX(Telas!$G$6:$G$105,MATCH(G28,Telas!$A$6:$A$105,0))),""),"")</f>
        <v/>
      </c>
      <c r="U28" s="7" t="str">
        <f aca="false">IF($A28="","",IF(ISNUMBER(P28),"OK",IF(K28="","Precio o peso por metro de "&amp;G28&amp;". ","")&amp;IFERROR(INDEX(Recetas!$AG$6:$AG$115,MATCH($A28,Recetas!$A$6:$A$115,0)),"Molde no existe en Recetas.")))</f>
        <v/>
      </c>
    </row>
    <row r="29" customFormat="false" ht="15" hidden="false" customHeight="false" outlineLevel="0" collapsed="false">
      <c r="A29" s="27"/>
      <c r="B29" s="27"/>
      <c r="C29" s="27"/>
      <c r="D29" s="8"/>
      <c r="E29" s="15"/>
      <c r="F29" s="15"/>
      <c r="G29" s="7" t="str">
        <f aca="false">IF($A29="","",IF(B29="",IFERROR(INDEX(Recetas!$K$6:$K$115,MATCH($A29,Recetas!$A$6:$A$115,0))&amp;"",""),B29))</f>
        <v/>
      </c>
      <c r="H29" s="7" t="str">
        <f aca="false">IF($A29="","",IF(AND(C29="",N(IFERROR(INDEX(Recetas!$T$6:$T$115,MATCH($A29,Recetas!$A$6:$A$115,0)),1))=0),"—",IF(C29="",IFERROR(INDEX(Recetas!$L$6:$L$115,MATCH($A29,Recetas!$A$6:$A$115,0))&amp;"",""),C29)))</f>
        <v/>
      </c>
      <c r="I29" s="7" t="str">
        <f aca="false">IF($A29="","",IF(AND(D29="",N(IFERROR(INDEX(Recetas!$W$6:$W$115,MATCH($A29,Recetas!$A$6:$A$115,0)),1))=0),"—",IF(D29="",IFERROR(IF(INDEX(Recetas!$M$6:$M$115,MATCH($A29,Recetas!$A$6:$A$115,0))&amp;""="",G29,INDEX(Recetas!$M$6:$M$115,MATCH($A29,Recetas!$A$6:$A$115,0))&amp;""),""),D29)))</f>
        <v/>
      </c>
      <c r="J29" s="9" t="str">
        <f aca="false">IF($A29="","",IFERROR(INDEX(Recetas!$Q$6:$Q$115,MATCH($A29,Recetas!$A$6:$A$115,0)),""))</f>
        <v/>
      </c>
      <c r="K29" s="10" t="str">
        <f aca="false">IF($A29="","",IFERROR(INDEX(Telas!$I$6:$I$105,MATCH(G29,Telas!$A$6:$A$105,0)),""))</f>
        <v/>
      </c>
      <c r="L29" s="10" t="str">
        <f aca="false">IF($A29="","",IFERROR(IF(ISNUMBER(J29),IF(J29=0,0,J29*INDEX(Telas!$I$6:$I$105,MATCH(G29,Telas!$A$6:$A$105,0))),NA())+IF(ISNUMBER(INDEX(Recetas!$T$6:$T$115,MATCH($A29,Recetas!$A$6:$A$115,0))),IF(INDEX(Recetas!$T$6:$T$115,MATCH($A29,Recetas!$A$6:$A$115,0))=0,0,INDEX(Recetas!$T$6:$T$115,MATCH($A29,Recetas!$A$6:$A$115,0))*INDEX(Telas!$I$6:$I$105,MATCH(H29,Telas!$A$6:$A$105,0))),NA())+IF(ISNUMBER(INDEX(Recetas!$W$6:$W$115,MATCH($A29,Recetas!$A$6:$A$115,0))),IF(INDEX(Recetas!$W$6:$W$115,MATCH($A29,Recetas!$A$6:$A$115,0))=0,0,INDEX(Recetas!$W$6:$W$115,MATCH($A29,Recetas!$A$6:$A$115,0))*INDEX(Telas!$I$6:$I$105,MATCH(I29,Telas!$A$6:$A$105,0))),NA()),""))</f>
        <v/>
      </c>
      <c r="M29" s="10" t="str">
        <f aca="false">IF($A29="","",IFERROR(INDEX(Recetas!$AA$6:$AA$115,MATCH($A29,Recetas!$A$6:$A$115,0))*1,""))</f>
        <v/>
      </c>
      <c r="N29" s="10" t="str">
        <f aca="false">IF($A29="","",IFERROR(INDEX(Recetas!$AB$6:$AB$115,MATCH($A29,Recetas!$A$6:$A$115,0))*1,""))</f>
        <v/>
      </c>
      <c r="O29" s="10" t="str">
        <f aca="false">IF($A29="","",IFERROR(INDEX(Recetas!$AC$6:$AC$115,MATCH($A29,Recetas!$A$6:$A$115,0))+N(E29),""))</f>
        <v/>
      </c>
      <c r="P29" s="11" t="str">
        <f aca="false">IF($A29="","",IFERROR(L29+M29+N29+O29,""))</f>
        <v/>
      </c>
      <c r="Q29" s="11" t="str">
        <f aca="false">IF(ISNUMBER(P29),P29*Parametros!$B$12,"")</f>
        <v/>
      </c>
      <c r="R29" s="30" t="str">
        <f aca="false">IF(AND(ISNUMBER(P29),N(F29)&gt;0),(F29-P29-F29*Parametros!$B$8)/F29,"")</f>
        <v/>
      </c>
      <c r="S29" s="10" t="str">
        <f aca="false">IF(AND(ISNUMBER(P29),N(F29)&gt;0),F29-P29-F29*Parametros!$B$8,"")</f>
        <v/>
      </c>
      <c r="T29" s="29" t="str">
        <f aca="false">IF(AND(ISNUMBER(J29),G29&lt;&gt;""),IFERROR(1/(J29*INDEX(Telas!$G$6:$G$105,MATCH(G29,Telas!$A$6:$A$105,0))),""),"")</f>
        <v/>
      </c>
      <c r="U29" s="7" t="str">
        <f aca="false">IF($A29="","",IF(ISNUMBER(P29),"OK",IF(K29="","Precio o peso por metro de "&amp;G29&amp;". ","")&amp;IFERROR(INDEX(Recetas!$AG$6:$AG$115,MATCH($A29,Recetas!$A$6:$A$115,0)),"Molde no existe en Recetas.")))</f>
        <v/>
      </c>
    </row>
    <row r="30" customFormat="false" ht="15" hidden="false" customHeight="false" outlineLevel="0" collapsed="false">
      <c r="A30" s="27"/>
      <c r="B30" s="27"/>
      <c r="C30" s="27"/>
      <c r="D30" s="8"/>
      <c r="E30" s="15"/>
      <c r="F30" s="15"/>
      <c r="G30" s="7" t="str">
        <f aca="false">IF($A30="","",IF(B30="",IFERROR(INDEX(Recetas!$K$6:$K$115,MATCH($A30,Recetas!$A$6:$A$115,0))&amp;"",""),B30))</f>
        <v/>
      </c>
      <c r="H30" s="7" t="str">
        <f aca="false">IF($A30="","",IF(AND(C30="",N(IFERROR(INDEX(Recetas!$T$6:$T$115,MATCH($A30,Recetas!$A$6:$A$115,0)),1))=0),"—",IF(C30="",IFERROR(INDEX(Recetas!$L$6:$L$115,MATCH($A30,Recetas!$A$6:$A$115,0))&amp;"",""),C30)))</f>
        <v/>
      </c>
      <c r="I30" s="7" t="str">
        <f aca="false">IF($A30="","",IF(AND(D30="",N(IFERROR(INDEX(Recetas!$W$6:$W$115,MATCH($A30,Recetas!$A$6:$A$115,0)),1))=0),"—",IF(D30="",IFERROR(IF(INDEX(Recetas!$M$6:$M$115,MATCH($A30,Recetas!$A$6:$A$115,0))&amp;""="",G30,INDEX(Recetas!$M$6:$M$115,MATCH($A30,Recetas!$A$6:$A$115,0))&amp;""),""),D30)))</f>
        <v/>
      </c>
      <c r="J30" s="9" t="str">
        <f aca="false">IF($A30="","",IFERROR(INDEX(Recetas!$Q$6:$Q$115,MATCH($A30,Recetas!$A$6:$A$115,0)),""))</f>
        <v/>
      </c>
      <c r="K30" s="10" t="str">
        <f aca="false">IF($A30="","",IFERROR(INDEX(Telas!$I$6:$I$105,MATCH(G30,Telas!$A$6:$A$105,0)),""))</f>
        <v/>
      </c>
      <c r="L30" s="10" t="str">
        <f aca="false">IF($A30="","",IFERROR(IF(ISNUMBER(J30),IF(J30=0,0,J30*INDEX(Telas!$I$6:$I$105,MATCH(G30,Telas!$A$6:$A$105,0))),NA())+IF(ISNUMBER(INDEX(Recetas!$T$6:$T$115,MATCH($A30,Recetas!$A$6:$A$115,0))),IF(INDEX(Recetas!$T$6:$T$115,MATCH($A30,Recetas!$A$6:$A$115,0))=0,0,INDEX(Recetas!$T$6:$T$115,MATCH($A30,Recetas!$A$6:$A$115,0))*INDEX(Telas!$I$6:$I$105,MATCH(H30,Telas!$A$6:$A$105,0))),NA())+IF(ISNUMBER(INDEX(Recetas!$W$6:$W$115,MATCH($A30,Recetas!$A$6:$A$115,0))),IF(INDEX(Recetas!$W$6:$W$115,MATCH($A30,Recetas!$A$6:$A$115,0))=0,0,INDEX(Recetas!$W$6:$W$115,MATCH($A30,Recetas!$A$6:$A$115,0))*INDEX(Telas!$I$6:$I$105,MATCH(I30,Telas!$A$6:$A$105,0))),NA()),""))</f>
        <v/>
      </c>
      <c r="M30" s="10" t="str">
        <f aca="false">IF($A30="","",IFERROR(INDEX(Recetas!$AA$6:$AA$115,MATCH($A30,Recetas!$A$6:$A$115,0))*1,""))</f>
        <v/>
      </c>
      <c r="N30" s="10" t="str">
        <f aca="false">IF($A30="","",IFERROR(INDEX(Recetas!$AB$6:$AB$115,MATCH($A30,Recetas!$A$6:$A$115,0))*1,""))</f>
        <v/>
      </c>
      <c r="O30" s="10" t="str">
        <f aca="false">IF($A30="","",IFERROR(INDEX(Recetas!$AC$6:$AC$115,MATCH($A30,Recetas!$A$6:$A$115,0))+N(E30),""))</f>
        <v/>
      </c>
      <c r="P30" s="11" t="str">
        <f aca="false">IF($A30="","",IFERROR(L30+M30+N30+O30,""))</f>
        <v/>
      </c>
      <c r="Q30" s="11" t="str">
        <f aca="false">IF(ISNUMBER(P30),P30*Parametros!$B$12,"")</f>
        <v/>
      </c>
      <c r="R30" s="30" t="str">
        <f aca="false">IF(AND(ISNUMBER(P30),N(F30)&gt;0),(F30-P30-F30*Parametros!$B$8)/F30,"")</f>
        <v/>
      </c>
      <c r="S30" s="10" t="str">
        <f aca="false">IF(AND(ISNUMBER(P30),N(F30)&gt;0),F30-P30-F30*Parametros!$B$8,"")</f>
        <v/>
      </c>
      <c r="T30" s="29" t="str">
        <f aca="false">IF(AND(ISNUMBER(J30),G30&lt;&gt;""),IFERROR(1/(J30*INDEX(Telas!$G$6:$G$105,MATCH(G30,Telas!$A$6:$A$105,0))),""),"")</f>
        <v/>
      </c>
      <c r="U30" s="7" t="str">
        <f aca="false">IF($A30="","",IF(ISNUMBER(P30),"OK",IF(K30="","Precio o peso por metro de "&amp;G30&amp;". ","")&amp;IFERROR(INDEX(Recetas!$AG$6:$AG$115,MATCH($A30,Recetas!$A$6:$A$115,0)),"Molde no existe en Recetas.")))</f>
        <v/>
      </c>
    </row>
    <row r="31" customFormat="false" ht="15" hidden="false" customHeight="false" outlineLevel="0" collapsed="false">
      <c r="A31" s="27"/>
      <c r="B31" s="27"/>
      <c r="C31" s="27"/>
      <c r="D31" s="8"/>
      <c r="E31" s="15"/>
      <c r="F31" s="15"/>
      <c r="G31" s="7" t="str">
        <f aca="false">IF($A31="","",IF(B31="",IFERROR(INDEX(Recetas!$K$6:$K$115,MATCH($A31,Recetas!$A$6:$A$115,0))&amp;"",""),B31))</f>
        <v/>
      </c>
      <c r="H31" s="7" t="str">
        <f aca="false">IF($A31="","",IF(AND(C31="",N(IFERROR(INDEX(Recetas!$T$6:$T$115,MATCH($A31,Recetas!$A$6:$A$115,0)),1))=0),"—",IF(C31="",IFERROR(INDEX(Recetas!$L$6:$L$115,MATCH($A31,Recetas!$A$6:$A$115,0))&amp;"",""),C31)))</f>
        <v/>
      </c>
      <c r="I31" s="7" t="str">
        <f aca="false">IF($A31="","",IF(AND(D31="",N(IFERROR(INDEX(Recetas!$W$6:$W$115,MATCH($A31,Recetas!$A$6:$A$115,0)),1))=0),"—",IF(D31="",IFERROR(IF(INDEX(Recetas!$M$6:$M$115,MATCH($A31,Recetas!$A$6:$A$115,0))&amp;""="",G31,INDEX(Recetas!$M$6:$M$115,MATCH($A31,Recetas!$A$6:$A$115,0))&amp;""),""),D31)))</f>
        <v/>
      </c>
      <c r="J31" s="9" t="str">
        <f aca="false">IF($A31="","",IFERROR(INDEX(Recetas!$Q$6:$Q$115,MATCH($A31,Recetas!$A$6:$A$115,0)),""))</f>
        <v/>
      </c>
      <c r="K31" s="10" t="str">
        <f aca="false">IF($A31="","",IFERROR(INDEX(Telas!$I$6:$I$105,MATCH(G31,Telas!$A$6:$A$105,0)),""))</f>
        <v/>
      </c>
      <c r="L31" s="10" t="str">
        <f aca="false">IF($A31="","",IFERROR(IF(ISNUMBER(J31),IF(J31=0,0,J31*INDEX(Telas!$I$6:$I$105,MATCH(G31,Telas!$A$6:$A$105,0))),NA())+IF(ISNUMBER(INDEX(Recetas!$T$6:$T$115,MATCH($A31,Recetas!$A$6:$A$115,0))),IF(INDEX(Recetas!$T$6:$T$115,MATCH($A31,Recetas!$A$6:$A$115,0))=0,0,INDEX(Recetas!$T$6:$T$115,MATCH($A31,Recetas!$A$6:$A$115,0))*INDEX(Telas!$I$6:$I$105,MATCH(H31,Telas!$A$6:$A$105,0))),NA())+IF(ISNUMBER(INDEX(Recetas!$W$6:$W$115,MATCH($A31,Recetas!$A$6:$A$115,0))),IF(INDEX(Recetas!$W$6:$W$115,MATCH($A31,Recetas!$A$6:$A$115,0))=0,0,INDEX(Recetas!$W$6:$W$115,MATCH($A31,Recetas!$A$6:$A$115,0))*INDEX(Telas!$I$6:$I$105,MATCH(I31,Telas!$A$6:$A$105,0))),NA()),""))</f>
        <v/>
      </c>
      <c r="M31" s="10" t="str">
        <f aca="false">IF($A31="","",IFERROR(INDEX(Recetas!$AA$6:$AA$115,MATCH($A31,Recetas!$A$6:$A$115,0))*1,""))</f>
        <v/>
      </c>
      <c r="N31" s="10" t="str">
        <f aca="false">IF($A31="","",IFERROR(INDEX(Recetas!$AB$6:$AB$115,MATCH($A31,Recetas!$A$6:$A$115,0))*1,""))</f>
        <v/>
      </c>
      <c r="O31" s="10" t="str">
        <f aca="false">IF($A31="","",IFERROR(INDEX(Recetas!$AC$6:$AC$115,MATCH($A31,Recetas!$A$6:$A$115,0))+N(E31),""))</f>
        <v/>
      </c>
      <c r="P31" s="11" t="str">
        <f aca="false">IF($A31="","",IFERROR(L31+M31+N31+O31,""))</f>
        <v/>
      </c>
      <c r="Q31" s="11" t="str">
        <f aca="false">IF(ISNUMBER(P31),P31*Parametros!$B$12,"")</f>
        <v/>
      </c>
      <c r="R31" s="30" t="str">
        <f aca="false">IF(AND(ISNUMBER(P31),N(F31)&gt;0),(F31-P31-F31*Parametros!$B$8)/F31,"")</f>
        <v/>
      </c>
      <c r="S31" s="10" t="str">
        <f aca="false">IF(AND(ISNUMBER(P31),N(F31)&gt;0),F31-P31-F31*Parametros!$B$8,"")</f>
        <v/>
      </c>
      <c r="T31" s="29" t="str">
        <f aca="false">IF(AND(ISNUMBER(J31),G31&lt;&gt;""),IFERROR(1/(J31*INDEX(Telas!$G$6:$G$105,MATCH(G31,Telas!$A$6:$A$105,0))),""),"")</f>
        <v/>
      </c>
      <c r="U31" s="7" t="str">
        <f aca="false">IF($A31="","",IF(ISNUMBER(P31),"OK",IF(K31="","Precio o peso por metro de "&amp;G31&amp;". ","")&amp;IFERROR(INDEX(Recetas!$AG$6:$AG$115,MATCH($A31,Recetas!$A$6:$A$115,0)),"Molde no existe en Recetas.")))</f>
        <v/>
      </c>
    </row>
    <row r="32" customFormat="false" ht="15" hidden="false" customHeight="false" outlineLevel="0" collapsed="false">
      <c r="A32" s="27"/>
      <c r="B32" s="27"/>
      <c r="C32" s="27"/>
      <c r="D32" s="8"/>
      <c r="E32" s="15"/>
      <c r="F32" s="15"/>
      <c r="G32" s="7" t="str">
        <f aca="false">IF($A32="","",IF(B32="",IFERROR(INDEX(Recetas!$K$6:$K$115,MATCH($A32,Recetas!$A$6:$A$115,0))&amp;"",""),B32))</f>
        <v/>
      </c>
      <c r="H32" s="7" t="str">
        <f aca="false">IF($A32="","",IF(AND(C32="",N(IFERROR(INDEX(Recetas!$T$6:$T$115,MATCH($A32,Recetas!$A$6:$A$115,0)),1))=0),"—",IF(C32="",IFERROR(INDEX(Recetas!$L$6:$L$115,MATCH($A32,Recetas!$A$6:$A$115,0))&amp;"",""),C32)))</f>
        <v/>
      </c>
      <c r="I32" s="7" t="str">
        <f aca="false">IF($A32="","",IF(AND(D32="",N(IFERROR(INDEX(Recetas!$W$6:$W$115,MATCH($A32,Recetas!$A$6:$A$115,0)),1))=0),"—",IF(D32="",IFERROR(IF(INDEX(Recetas!$M$6:$M$115,MATCH($A32,Recetas!$A$6:$A$115,0))&amp;""="",G32,INDEX(Recetas!$M$6:$M$115,MATCH($A32,Recetas!$A$6:$A$115,0))&amp;""),""),D32)))</f>
        <v/>
      </c>
      <c r="J32" s="9" t="str">
        <f aca="false">IF($A32="","",IFERROR(INDEX(Recetas!$Q$6:$Q$115,MATCH($A32,Recetas!$A$6:$A$115,0)),""))</f>
        <v/>
      </c>
      <c r="K32" s="10" t="str">
        <f aca="false">IF($A32="","",IFERROR(INDEX(Telas!$I$6:$I$105,MATCH(G32,Telas!$A$6:$A$105,0)),""))</f>
        <v/>
      </c>
      <c r="L32" s="10" t="str">
        <f aca="false">IF($A32="","",IFERROR(IF(ISNUMBER(J32),IF(J32=0,0,J32*INDEX(Telas!$I$6:$I$105,MATCH(G32,Telas!$A$6:$A$105,0))),NA())+IF(ISNUMBER(INDEX(Recetas!$T$6:$T$115,MATCH($A32,Recetas!$A$6:$A$115,0))),IF(INDEX(Recetas!$T$6:$T$115,MATCH($A32,Recetas!$A$6:$A$115,0))=0,0,INDEX(Recetas!$T$6:$T$115,MATCH($A32,Recetas!$A$6:$A$115,0))*INDEX(Telas!$I$6:$I$105,MATCH(H32,Telas!$A$6:$A$105,0))),NA())+IF(ISNUMBER(INDEX(Recetas!$W$6:$W$115,MATCH($A32,Recetas!$A$6:$A$115,0))),IF(INDEX(Recetas!$W$6:$W$115,MATCH($A32,Recetas!$A$6:$A$115,0))=0,0,INDEX(Recetas!$W$6:$W$115,MATCH($A32,Recetas!$A$6:$A$115,0))*INDEX(Telas!$I$6:$I$105,MATCH(I32,Telas!$A$6:$A$105,0))),NA()),""))</f>
        <v/>
      </c>
      <c r="M32" s="10" t="str">
        <f aca="false">IF($A32="","",IFERROR(INDEX(Recetas!$AA$6:$AA$115,MATCH($A32,Recetas!$A$6:$A$115,0))*1,""))</f>
        <v/>
      </c>
      <c r="N32" s="10" t="str">
        <f aca="false">IF($A32="","",IFERROR(INDEX(Recetas!$AB$6:$AB$115,MATCH($A32,Recetas!$A$6:$A$115,0))*1,""))</f>
        <v/>
      </c>
      <c r="O32" s="10" t="str">
        <f aca="false">IF($A32="","",IFERROR(INDEX(Recetas!$AC$6:$AC$115,MATCH($A32,Recetas!$A$6:$A$115,0))+N(E32),""))</f>
        <v/>
      </c>
      <c r="P32" s="11" t="str">
        <f aca="false">IF($A32="","",IFERROR(L32+M32+N32+O32,""))</f>
        <v/>
      </c>
      <c r="Q32" s="11" t="str">
        <f aca="false">IF(ISNUMBER(P32),P32*Parametros!$B$12,"")</f>
        <v/>
      </c>
      <c r="R32" s="30" t="str">
        <f aca="false">IF(AND(ISNUMBER(P32),N(F32)&gt;0),(F32-P32-F32*Parametros!$B$8)/F32,"")</f>
        <v/>
      </c>
      <c r="S32" s="10" t="str">
        <f aca="false">IF(AND(ISNUMBER(P32),N(F32)&gt;0),F32-P32-F32*Parametros!$B$8,"")</f>
        <v/>
      </c>
      <c r="T32" s="29" t="str">
        <f aca="false">IF(AND(ISNUMBER(J32),G32&lt;&gt;""),IFERROR(1/(J32*INDEX(Telas!$G$6:$G$105,MATCH(G32,Telas!$A$6:$A$105,0))),""),"")</f>
        <v/>
      </c>
      <c r="U32" s="7" t="str">
        <f aca="false">IF($A32="","",IF(ISNUMBER(P32),"OK",IF(K32="","Precio o peso por metro de "&amp;G32&amp;". ","")&amp;IFERROR(INDEX(Recetas!$AG$6:$AG$115,MATCH($A32,Recetas!$A$6:$A$115,0)),"Molde no existe en Recetas.")))</f>
        <v/>
      </c>
    </row>
    <row r="33" customFormat="false" ht="15" hidden="false" customHeight="false" outlineLevel="0" collapsed="false">
      <c r="A33" s="27"/>
      <c r="B33" s="27"/>
      <c r="C33" s="27"/>
      <c r="D33" s="8"/>
      <c r="E33" s="15"/>
      <c r="F33" s="15"/>
      <c r="G33" s="7" t="str">
        <f aca="false">IF($A33="","",IF(B33="",IFERROR(INDEX(Recetas!$K$6:$K$115,MATCH($A33,Recetas!$A$6:$A$115,0))&amp;"",""),B33))</f>
        <v/>
      </c>
      <c r="H33" s="7" t="str">
        <f aca="false">IF($A33="","",IF(AND(C33="",N(IFERROR(INDEX(Recetas!$T$6:$T$115,MATCH($A33,Recetas!$A$6:$A$115,0)),1))=0),"—",IF(C33="",IFERROR(INDEX(Recetas!$L$6:$L$115,MATCH($A33,Recetas!$A$6:$A$115,0))&amp;"",""),C33)))</f>
        <v/>
      </c>
      <c r="I33" s="7" t="str">
        <f aca="false">IF($A33="","",IF(AND(D33="",N(IFERROR(INDEX(Recetas!$W$6:$W$115,MATCH($A33,Recetas!$A$6:$A$115,0)),1))=0),"—",IF(D33="",IFERROR(IF(INDEX(Recetas!$M$6:$M$115,MATCH($A33,Recetas!$A$6:$A$115,0))&amp;""="",G33,INDEX(Recetas!$M$6:$M$115,MATCH($A33,Recetas!$A$6:$A$115,0))&amp;""),""),D33)))</f>
        <v/>
      </c>
      <c r="J33" s="9" t="str">
        <f aca="false">IF($A33="","",IFERROR(INDEX(Recetas!$Q$6:$Q$115,MATCH($A33,Recetas!$A$6:$A$115,0)),""))</f>
        <v/>
      </c>
      <c r="K33" s="10" t="str">
        <f aca="false">IF($A33="","",IFERROR(INDEX(Telas!$I$6:$I$105,MATCH(G33,Telas!$A$6:$A$105,0)),""))</f>
        <v/>
      </c>
      <c r="L33" s="10" t="str">
        <f aca="false">IF($A33="","",IFERROR(IF(ISNUMBER(J33),IF(J33=0,0,J33*INDEX(Telas!$I$6:$I$105,MATCH(G33,Telas!$A$6:$A$105,0))),NA())+IF(ISNUMBER(INDEX(Recetas!$T$6:$T$115,MATCH($A33,Recetas!$A$6:$A$115,0))),IF(INDEX(Recetas!$T$6:$T$115,MATCH($A33,Recetas!$A$6:$A$115,0))=0,0,INDEX(Recetas!$T$6:$T$115,MATCH($A33,Recetas!$A$6:$A$115,0))*INDEX(Telas!$I$6:$I$105,MATCH(H33,Telas!$A$6:$A$105,0))),NA())+IF(ISNUMBER(INDEX(Recetas!$W$6:$W$115,MATCH($A33,Recetas!$A$6:$A$115,0))),IF(INDEX(Recetas!$W$6:$W$115,MATCH($A33,Recetas!$A$6:$A$115,0))=0,0,INDEX(Recetas!$W$6:$W$115,MATCH($A33,Recetas!$A$6:$A$115,0))*INDEX(Telas!$I$6:$I$105,MATCH(I33,Telas!$A$6:$A$105,0))),NA()),""))</f>
        <v/>
      </c>
      <c r="M33" s="10" t="str">
        <f aca="false">IF($A33="","",IFERROR(INDEX(Recetas!$AA$6:$AA$115,MATCH($A33,Recetas!$A$6:$A$115,0))*1,""))</f>
        <v/>
      </c>
      <c r="N33" s="10" t="str">
        <f aca="false">IF($A33="","",IFERROR(INDEX(Recetas!$AB$6:$AB$115,MATCH($A33,Recetas!$A$6:$A$115,0))*1,""))</f>
        <v/>
      </c>
      <c r="O33" s="10" t="str">
        <f aca="false">IF($A33="","",IFERROR(INDEX(Recetas!$AC$6:$AC$115,MATCH($A33,Recetas!$A$6:$A$115,0))+N(E33),""))</f>
        <v/>
      </c>
      <c r="P33" s="11" t="str">
        <f aca="false">IF($A33="","",IFERROR(L33+M33+N33+O33,""))</f>
        <v/>
      </c>
      <c r="Q33" s="11" t="str">
        <f aca="false">IF(ISNUMBER(P33),P33*Parametros!$B$12,"")</f>
        <v/>
      </c>
      <c r="R33" s="30" t="str">
        <f aca="false">IF(AND(ISNUMBER(P33),N(F33)&gt;0),(F33-P33-F33*Parametros!$B$8)/F33,"")</f>
        <v/>
      </c>
      <c r="S33" s="10" t="str">
        <f aca="false">IF(AND(ISNUMBER(P33),N(F33)&gt;0),F33-P33-F33*Parametros!$B$8,"")</f>
        <v/>
      </c>
      <c r="T33" s="29" t="str">
        <f aca="false">IF(AND(ISNUMBER(J33),G33&lt;&gt;""),IFERROR(1/(J33*INDEX(Telas!$G$6:$G$105,MATCH(G33,Telas!$A$6:$A$105,0))),""),"")</f>
        <v/>
      </c>
      <c r="U33" s="7" t="str">
        <f aca="false">IF($A33="","",IF(ISNUMBER(P33),"OK",IF(K33="","Precio o peso por metro de "&amp;G33&amp;". ","")&amp;IFERROR(INDEX(Recetas!$AG$6:$AG$115,MATCH($A33,Recetas!$A$6:$A$115,0)),"Molde no existe en Recetas.")))</f>
        <v/>
      </c>
    </row>
    <row r="34" customFormat="false" ht="15" hidden="false" customHeight="false" outlineLevel="0" collapsed="false">
      <c r="A34" s="27"/>
      <c r="B34" s="27"/>
      <c r="C34" s="27"/>
      <c r="D34" s="8"/>
      <c r="E34" s="15"/>
      <c r="F34" s="15"/>
      <c r="G34" s="7" t="str">
        <f aca="false">IF($A34="","",IF(B34="",IFERROR(INDEX(Recetas!$K$6:$K$115,MATCH($A34,Recetas!$A$6:$A$115,0))&amp;"",""),B34))</f>
        <v/>
      </c>
      <c r="H34" s="7" t="str">
        <f aca="false">IF($A34="","",IF(AND(C34="",N(IFERROR(INDEX(Recetas!$T$6:$T$115,MATCH($A34,Recetas!$A$6:$A$115,0)),1))=0),"—",IF(C34="",IFERROR(INDEX(Recetas!$L$6:$L$115,MATCH($A34,Recetas!$A$6:$A$115,0))&amp;"",""),C34)))</f>
        <v/>
      </c>
      <c r="I34" s="7" t="str">
        <f aca="false">IF($A34="","",IF(AND(D34="",N(IFERROR(INDEX(Recetas!$W$6:$W$115,MATCH($A34,Recetas!$A$6:$A$115,0)),1))=0),"—",IF(D34="",IFERROR(IF(INDEX(Recetas!$M$6:$M$115,MATCH($A34,Recetas!$A$6:$A$115,0))&amp;""="",G34,INDEX(Recetas!$M$6:$M$115,MATCH($A34,Recetas!$A$6:$A$115,0))&amp;""),""),D34)))</f>
        <v/>
      </c>
      <c r="J34" s="9" t="str">
        <f aca="false">IF($A34="","",IFERROR(INDEX(Recetas!$Q$6:$Q$115,MATCH($A34,Recetas!$A$6:$A$115,0)),""))</f>
        <v/>
      </c>
      <c r="K34" s="10" t="str">
        <f aca="false">IF($A34="","",IFERROR(INDEX(Telas!$I$6:$I$105,MATCH(G34,Telas!$A$6:$A$105,0)),""))</f>
        <v/>
      </c>
      <c r="L34" s="10" t="str">
        <f aca="false">IF($A34="","",IFERROR(IF(ISNUMBER(J34),IF(J34=0,0,J34*INDEX(Telas!$I$6:$I$105,MATCH(G34,Telas!$A$6:$A$105,0))),NA())+IF(ISNUMBER(INDEX(Recetas!$T$6:$T$115,MATCH($A34,Recetas!$A$6:$A$115,0))),IF(INDEX(Recetas!$T$6:$T$115,MATCH($A34,Recetas!$A$6:$A$115,0))=0,0,INDEX(Recetas!$T$6:$T$115,MATCH($A34,Recetas!$A$6:$A$115,0))*INDEX(Telas!$I$6:$I$105,MATCH(H34,Telas!$A$6:$A$105,0))),NA())+IF(ISNUMBER(INDEX(Recetas!$W$6:$W$115,MATCH($A34,Recetas!$A$6:$A$115,0))),IF(INDEX(Recetas!$W$6:$W$115,MATCH($A34,Recetas!$A$6:$A$115,0))=0,0,INDEX(Recetas!$W$6:$W$115,MATCH($A34,Recetas!$A$6:$A$115,0))*INDEX(Telas!$I$6:$I$105,MATCH(I34,Telas!$A$6:$A$105,0))),NA()),""))</f>
        <v/>
      </c>
      <c r="M34" s="10" t="str">
        <f aca="false">IF($A34="","",IFERROR(INDEX(Recetas!$AA$6:$AA$115,MATCH($A34,Recetas!$A$6:$A$115,0))*1,""))</f>
        <v/>
      </c>
      <c r="N34" s="10" t="str">
        <f aca="false">IF($A34="","",IFERROR(INDEX(Recetas!$AB$6:$AB$115,MATCH($A34,Recetas!$A$6:$A$115,0))*1,""))</f>
        <v/>
      </c>
      <c r="O34" s="10" t="str">
        <f aca="false">IF($A34="","",IFERROR(INDEX(Recetas!$AC$6:$AC$115,MATCH($A34,Recetas!$A$6:$A$115,0))+N(E34),""))</f>
        <v/>
      </c>
      <c r="P34" s="11" t="str">
        <f aca="false">IF($A34="","",IFERROR(L34+M34+N34+O34,""))</f>
        <v/>
      </c>
      <c r="Q34" s="11" t="str">
        <f aca="false">IF(ISNUMBER(P34),P34*Parametros!$B$12,"")</f>
        <v/>
      </c>
      <c r="R34" s="30" t="str">
        <f aca="false">IF(AND(ISNUMBER(P34),N(F34)&gt;0),(F34-P34-F34*Parametros!$B$8)/F34,"")</f>
        <v/>
      </c>
      <c r="S34" s="10" t="str">
        <f aca="false">IF(AND(ISNUMBER(P34),N(F34)&gt;0),F34-P34-F34*Parametros!$B$8,"")</f>
        <v/>
      </c>
      <c r="T34" s="29" t="str">
        <f aca="false">IF(AND(ISNUMBER(J34),G34&lt;&gt;""),IFERROR(1/(J34*INDEX(Telas!$G$6:$G$105,MATCH(G34,Telas!$A$6:$A$105,0))),""),"")</f>
        <v/>
      </c>
      <c r="U34" s="7" t="str">
        <f aca="false">IF($A34="","",IF(ISNUMBER(P34),"OK",IF(K34="","Precio o peso por metro de "&amp;G34&amp;". ","")&amp;IFERROR(INDEX(Recetas!$AG$6:$AG$115,MATCH($A34,Recetas!$A$6:$A$115,0)),"Molde no existe en Recetas.")))</f>
        <v/>
      </c>
    </row>
    <row r="35" customFormat="false" ht="15" hidden="false" customHeight="false" outlineLevel="0" collapsed="false">
      <c r="A35" s="27"/>
      <c r="B35" s="27"/>
      <c r="C35" s="27"/>
      <c r="D35" s="8"/>
      <c r="E35" s="15"/>
      <c r="F35" s="15"/>
      <c r="G35" s="7" t="str">
        <f aca="false">IF($A35="","",IF(B35="",IFERROR(INDEX(Recetas!$K$6:$K$115,MATCH($A35,Recetas!$A$6:$A$115,0))&amp;"",""),B35))</f>
        <v/>
      </c>
      <c r="H35" s="7" t="str">
        <f aca="false">IF($A35="","",IF(AND(C35="",N(IFERROR(INDEX(Recetas!$T$6:$T$115,MATCH($A35,Recetas!$A$6:$A$115,0)),1))=0),"—",IF(C35="",IFERROR(INDEX(Recetas!$L$6:$L$115,MATCH($A35,Recetas!$A$6:$A$115,0))&amp;"",""),C35)))</f>
        <v/>
      </c>
      <c r="I35" s="7" t="str">
        <f aca="false">IF($A35="","",IF(AND(D35="",N(IFERROR(INDEX(Recetas!$W$6:$W$115,MATCH($A35,Recetas!$A$6:$A$115,0)),1))=0),"—",IF(D35="",IFERROR(IF(INDEX(Recetas!$M$6:$M$115,MATCH($A35,Recetas!$A$6:$A$115,0))&amp;""="",G35,INDEX(Recetas!$M$6:$M$115,MATCH($A35,Recetas!$A$6:$A$115,0))&amp;""),""),D35)))</f>
        <v/>
      </c>
      <c r="J35" s="9" t="str">
        <f aca="false">IF($A35="","",IFERROR(INDEX(Recetas!$Q$6:$Q$115,MATCH($A35,Recetas!$A$6:$A$115,0)),""))</f>
        <v/>
      </c>
      <c r="K35" s="10" t="str">
        <f aca="false">IF($A35="","",IFERROR(INDEX(Telas!$I$6:$I$105,MATCH(G35,Telas!$A$6:$A$105,0)),""))</f>
        <v/>
      </c>
      <c r="L35" s="10" t="str">
        <f aca="false">IF($A35="","",IFERROR(IF(ISNUMBER(J35),IF(J35=0,0,J35*INDEX(Telas!$I$6:$I$105,MATCH(G35,Telas!$A$6:$A$105,0))),NA())+IF(ISNUMBER(INDEX(Recetas!$T$6:$T$115,MATCH($A35,Recetas!$A$6:$A$115,0))),IF(INDEX(Recetas!$T$6:$T$115,MATCH($A35,Recetas!$A$6:$A$115,0))=0,0,INDEX(Recetas!$T$6:$T$115,MATCH($A35,Recetas!$A$6:$A$115,0))*INDEX(Telas!$I$6:$I$105,MATCH(H35,Telas!$A$6:$A$105,0))),NA())+IF(ISNUMBER(INDEX(Recetas!$W$6:$W$115,MATCH($A35,Recetas!$A$6:$A$115,0))),IF(INDEX(Recetas!$W$6:$W$115,MATCH($A35,Recetas!$A$6:$A$115,0))=0,0,INDEX(Recetas!$W$6:$W$115,MATCH($A35,Recetas!$A$6:$A$115,0))*INDEX(Telas!$I$6:$I$105,MATCH(I35,Telas!$A$6:$A$105,0))),NA()),""))</f>
        <v/>
      </c>
      <c r="M35" s="10" t="str">
        <f aca="false">IF($A35="","",IFERROR(INDEX(Recetas!$AA$6:$AA$115,MATCH($A35,Recetas!$A$6:$A$115,0))*1,""))</f>
        <v/>
      </c>
      <c r="N35" s="10" t="str">
        <f aca="false">IF($A35="","",IFERROR(INDEX(Recetas!$AB$6:$AB$115,MATCH($A35,Recetas!$A$6:$A$115,0))*1,""))</f>
        <v/>
      </c>
      <c r="O35" s="10" t="str">
        <f aca="false">IF($A35="","",IFERROR(INDEX(Recetas!$AC$6:$AC$115,MATCH($A35,Recetas!$A$6:$A$115,0))+N(E35),""))</f>
        <v/>
      </c>
      <c r="P35" s="11" t="str">
        <f aca="false">IF($A35="","",IFERROR(L35+M35+N35+O35,""))</f>
        <v/>
      </c>
      <c r="Q35" s="11" t="str">
        <f aca="false">IF(ISNUMBER(P35),P35*Parametros!$B$12,"")</f>
        <v/>
      </c>
      <c r="R35" s="30" t="str">
        <f aca="false">IF(AND(ISNUMBER(P35),N(F35)&gt;0),(F35-P35-F35*Parametros!$B$8)/F35,"")</f>
        <v/>
      </c>
      <c r="S35" s="10" t="str">
        <f aca="false">IF(AND(ISNUMBER(P35),N(F35)&gt;0),F35-P35-F35*Parametros!$B$8,"")</f>
        <v/>
      </c>
      <c r="T35" s="29" t="str">
        <f aca="false">IF(AND(ISNUMBER(J35),G35&lt;&gt;""),IFERROR(1/(J35*INDEX(Telas!$G$6:$G$105,MATCH(G35,Telas!$A$6:$A$105,0))),""),"")</f>
        <v/>
      </c>
      <c r="U35" s="7" t="str">
        <f aca="false">IF($A35="","",IF(ISNUMBER(P35),"OK",IF(K35="","Precio o peso por metro de "&amp;G35&amp;". ","")&amp;IFERROR(INDEX(Recetas!$AG$6:$AG$115,MATCH($A35,Recetas!$A$6:$A$115,0)),"Molde no existe en Recetas.")))</f>
        <v/>
      </c>
    </row>
    <row r="36" customFormat="false" ht="15" hidden="false" customHeight="false" outlineLevel="0" collapsed="false">
      <c r="A36" s="27"/>
      <c r="B36" s="27"/>
      <c r="C36" s="27"/>
      <c r="D36" s="8"/>
      <c r="E36" s="15"/>
      <c r="F36" s="15"/>
      <c r="G36" s="7" t="str">
        <f aca="false">IF($A36="","",IF(B36="",IFERROR(INDEX(Recetas!$K$6:$K$115,MATCH($A36,Recetas!$A$6:$A$115,0))&amp;"",""),B36))</f>
        <v/>
      </c>
      <c r="H36" s="7" t="str">
        <f aca="false">IF($A36="","",IF(AND(C36="",N(IFERROR(INDEX(Recetas!$T$6:$T$115,MATCH($A36,Recetas!$A$6:$A$115,0)),1))=0),"—",IF(C36="",IFERROR(INDEX(Recetas!$L$6:$L$115,MATCH($A36,Recetas!$A$6:$A$115,0))&amp;"",""),C36)))</f>
        <v/>
      </c>
      <c r="I36" s="7" t="str">
        <f aca="false">IF($A36="","",IF(AND(D36="",N(IFERROR(INDEX(Recetas!$W$6:$W$115,MATCH($A36,Recetas!$A$6:$A$115,0)),1))=0),"—",IF(D36="",IFERROR(IF(INDEX(Recetas!$M$6:$M$115,MATCH($A36,Recetas!$A$6:$A$115,0))&amp;""="",G36,INDEX(Recetas!$M$6:$M$115,MATCH($A36,Recetas!$A$6:$A$115,0))&amp;""),""),D36)))</f>
        <v/>
      </c>
      <c r="J36" s="9" t="str">
        <f aca="false">IF($A36="","",IFERROR(INDEX(Recetas!$Q$6:$Q$115,MATCH($A36,Recetas!$A$6:$A$115,0)),""))</f>
        <v/>
      </c>
      <c r="K36" s="10" t="str">
        <f aca="false">IF($A36="","",IFERROR(INDEX(Telas!$I$6:$I$105,MATCH(G36,Telas!$A$6:$A$105,0)),""))</f>
        <v/>
      </c>
      <c r="L36" s="10" t="str">
        <f aca="false">IF($A36="","",IFERROR(IF(ISNUMBER(J36),IF(J36=0,0,J36*INDEX(Telas!$I$6:$I$105,MATCH(G36,Telas!$A$6:$A$105,0))),NA())+IF(ISNUMBER(INDEX(Recetas!$T$6:$T$115,MATCH($A36,Recetas!$A$6:$A$115,0))),IF(INDEX(Recetas!$T$6:$T$115,MATCH($A36,Recetas!$A$6:$A$115,0))=0,0,INDEX(Recetas!$T$6:$T$115,MATCH($A36,Recetas!$A$6:$A$115,0))*INDEX(Telas!$I$6:$I$105,MATCH(H36,Telas!$A$6:$A$105,0))),NA())+IF(ISNUMBER(INDEX(Recetas!$W$6:$W$115,MATCH($A36,Recetas!$A$6:$A$115,0))),IF(INDEX(Recetas!$W$6:$W$115,MATCH($A36,Recetas!$A$6:$A$115,0))=0,0,INDEX(Recetas!$W$6:$W$115,MATCH($A36,Recetas!$A$6:$A$115,0))*INDEX(Telas!$I$6:$I$105,MATCH(I36,Telas!$A$6:$A$105,0))),NA()),""))</f>
        <v/>
      </c>
      <c r="M36" s="10" t="str">
        <f aca="false">IF($A36="","",IFERROR(INDEX(Recetas!$AA$6:$AA$115,MATCH($A36,Recetas!$A$6:$A$115,0))*1,""))</f>
        <v/>
      </c>
      <c r="N36" s="10" t="str">
        <f aca="false">IF($A36="","",IFERROR(INDEX(Recetas!$AB$6:$AB$115,MATCH($A36,Recetas!$A$6:$A$115,0))*1,""))</f>
        <v/>
      </c>
      <c r="O36" s="10" t="str">
        <f aca="false">IF($A36="","",IFERROR(INDEX(Recetas!$AC$6:$AC$115,MATCH($A36,Recetas!$A$6:$A$115,0))+N(E36),""))</f>
        <v/>
      </c>
      <c r="P36" s="11" t="str">
        <f aca="false">IF($A36="","",IFERROR(L36+M36+N36+O36,""))</f>
        <v/>
      </c>
      <c r="Q36" s="11" t="str">
        <f aca="false">IF(ISNUMBER(P36),P36*Parametros!$B$12,"")</f>
        <v/>
      </c>
      <c r="R36" s="30" t="str">
        <f aca="false">IF(AND(ISNUMBER(P36),N(F36)&gt;0),(F36-P36-F36*Parametros!$B$8)/F36,"")</f>
        <v/>
      </c>
      <c r="S36" s="10" t="str">
        <f aca="false">IF(AND(ISNUMBER(P36),N(F36)&gt;0),F36-P36-F36*Parametros!$B$8,"")</f>
        <v/>
      </c>
      <c r="T36" s="29" t="str">
        <f aca="false">IF(AND(ISNUMBER(J36),G36&lt;&gt;""),IFERROR(1/(J36*INDEX(Telas!$G$6:$G$105,MATCH(G36,Telas!$A$6:$A$105,0))),""),"")</f>
        <v/>
      </c>
      <c r="U36" s="7" t="str">
        <f aca="false">IF($A36="","",IF(ISNUMBER(P36),"OK",IF(K36="","Precio o peso por metro de "&amp;G36&amp;". ","")&amp;IFERROR(INDEX(Recetas!$AG$6:$AG$115,MATCH($A36,Recetas!$A$6:$A$115,0)),"Molde no existe en Recetas.")))</f>
        <v/>
      </c>
    </row>
    <row r="37" customFormat="false" ht="15" hidden="false" customHeight="false" outlineLevel="0" collapsed="false">
      <c r="A37" s="27"/>
      <c r="B37" s="27"/>
      <c r="C37" s="27"/>
      <c r="D37" s="8"/>
      <c r="E37" s="15"/>
      <c r="F37" s="15"/>
      <c r="G37" s="7" t="str">
        <f aca="false">IF($A37="","",IF(B37="",IFERROR(INDEX(Recetas!$K$6:$K$115,MATCH($A37,Recetas!$A$6:$A$115,0))&amp;"",""),B37))</f>
        <v/>
      </c>
      <c r="H37" s="7" t="str">
        <f aca="false">IF($A37="","",IF(AND(C37="",N(IFERROR(INDEX(Recetas!$T$6:$T$115,MATCH($A37,Recetas!$A$6:$A$115,0)),1))=0),"—",IF(C37="",IFERROR(INDEX(Recetas!$L$6:$L$115,MATCH($A37,Recetas!$A$6:$A$115,0))&amp;"",""),C37)))</f>
        <v/>
      </c>
      <c r="I37" s="7" t="str">
        <f aca="false">IF($A37="","",IF(AND(D37="",N(IFERROR(INDEX(Recetas!$W$6:$W$115,MATCH($A37,Recetas!$A$6:$A$115,0)),1))=0),"—",IF(D37="",IFERROR(IF(INDEX(Recetas!$M$6:$M$115,MATCH($A37,Recetas!$A$6:$A$115,0))&amp;""="",G37,INDEX(Recetas!$M$6:$M$115,MATCH($A37,Recetas!$A$6:$A$115,0))&amp;""),""),D37)))</f>
        <v/>
      </c>
      <c r="J37" s="9" t="str">
        <f aca="false">IF($A37="","",IFERROR(INDEX(Recetas!$Q$6:$Q$115,MATCH($A37,Recetas!$A$6:$A$115,0)),""))</f>
        <v/>
      </c>
      <c r="K37" s="10" t="str">
        <f aca="false">IF($A37="","",IFERROR(INDEX(Telas!$I$6:$I$105,MATCH(G37,Telas!$A$6:$A$105,0)),""))</f>
        <v/>
      </c>
      <c r="L37" s="10" t="str">
        <f aca="false">IF($A37="","",IFERROR(IF(ISNUMBER(J37),IF(J37=0,0,J37*INDEX(Telas!$I$6:$I$105,MATCH(G37,Telas!$A$6:$A$105,0))),NA())+IF(ISNUMBER(INDEX(Recetas!$T$6:$T$115,MATCH($A37,Recetas!$A$6:$A$115,0))),IF(INDEX(Recetas!$T$6:$T$115,MATCH($A37,Recetas!$A$6:$A$115,0))=0,0,INDEX(Recetas!$T$6:$T$115,MATCH($A37,Recetas!$A$6:$A$115,0))*INDEX(Telas!$I$6:$I$105,MATCH(H37,Telas!$A$6:$A$105,0))),NA())+IF(ISNUMBER(INDEX(Recetas!$W$6:$W$115,MATCH($A37,Recetas!$A$6:$A$115,0))),IF(INDEX(Recetas!$W$6:$W$115,MATCH($A37,Recetas!$A$6:$A$115,0))=0,0,INDEX(Recetas!$W$6:$W$115,MATCH($A37,Recetas!$A$6:$A$115,0))*INDEX(Telas!$I$6:$I$105,MATCH(I37,Telas!$A$6:$A$105,0))),NA()),""))</f>
        <v/>
      </c>
      <c r="M37" s="10" t="str">
        <f aca="false">IF($A37="","",IFERROR(INDEX(Recetas!$AA$6:$AA$115,MATCH($A37,Recetas!$A$6:$A$115,0))*1,""))</f>
        <v/>
      </c>
      <c r="N37" s="10" t="str">
        <f aca="false">IF($A37="","",IFERROR(INDEX(Recetas!$AB$6:$AB$115,MATCH($A37,Recetas!$A$6:$A$115,0))*1,""))</f>
        <v/>
      </c>
      <c r="O37" s="10" t="str">
        <f aca="false">IF($A37="","",IFERROR(INDEX(Recetas!$AC$6:$AC$115,MATCH($A37,Recetas!$A$6:$A$115,0))+N(E37),""))</f>
        <v/>
      </c>
      <c r="P37" s="11" t="str">
        <f aca="false">IF($A37="","",IFERROR(L37+M37+N37+O37,""))</f>
        <v/>
      </c>
      <c r="Q37" s="11" t="str">
        <f aca="false">IF(ISNUMBER(P37),P37*Parametros!$B$12,"")</f>
        <v/>
      </c>
      <c r="R37" s="30" t="str">
        <f aca="false">IF(AND(ISNUMBER(P37),N(F37)&gt;0),(F37-P37-F37*Parametros!$B$8)/F37,"")</f>
        <v/>
      </c>
      <c r="S37" s="10" t="str">
        <f aca="false">IF(AND(ISNUMBER(P37),N(F37)&gt;0),F37-P37-F37*Parametros!$B$8,"")</f>
        <v/>
      </c>
      <c r="T37" s="29" t="str">
        <f aca="false">IF(AND(ISNUMBER(J37),G37&lt;&gt;""),IFERROR(1/(J37*INDEX(Telas!$G$6:$G$105,MATCH(G37,Telas!$A$6:$A$105,0))),""),"")</f>
        <v/>
      </c>
      <c r="U37" s="7" t="str">
        <f aca="false">IF($A37="","",IF(ISNUMBER(P37),"OK",IF(K37="","Precio o peso por metro de "&amp;G37&amp;". ","")&amp;IFERROR(INDEX(Recetas!$AG$6:$AG$115,MATCH($A37,Recetas!$A$6:$A$115,0)),"Molde no existe en Recetas.")))</f>
        <v/>
      </c>
    </row>
    <row r="38" customFormat="false" ht="15" hidden="false" customHeight="false" outlineLevel="0" collapsed="false">
      <c r="A38" s="27"/>
      <c r="B38" s="27"/>
      <c r="C38" s="27"/>
      <c r="D38" s="8"/>
      <c r="E38" s="15"/>
      <c r="F38" s="15"/>
      <c r="G38" s="7" t="str">
        <f aca="false">IF($A38="","",IF(B38="",IFERROR(INDEX(Recetas!$K$6:$K$115,MATCH($A38,Recetas!$A$6:$A$115,0))&amp;"",""),B38))</f>
        <v/>
      </c>
      <c r="H38" s="7" t="str">
        <f aca="false">IF($A38="","",IF(AND(C38="",N(IFERROR(INDEX(Recetas!$T$6:$T$115,MATCH($A38,Recetas!$A$6:$A$115,0)),1))=0),"—",IF(C38="",IFERROR(INDEX(Recetas!$L$6:$L$115,MATCH($A38,Recetas!$A$6:$A$115,0))&amp;"",""),C38)))</f>
        <v/>
      </c>
      <c r="I38" s="7" t="str">
        <f aca="false">IF($A38="","",IF(AND(D38="",N(IFERROR(INDEX(Recetas!$W$6:$W$115,MATCH($A38,Recetas!$A$6:$A$115,0)),1))=0),"—",IF(D38="",IFERROR(IF(INDEX(Recetas!$M$6:$M$115,MATCH($A38,Recetas!$A$6:$A$115,0))&amp;""="",G38,INDEX(Recetas!$M$6:$M$115,MATCH($A38,Recetas!$A$6:$A$115,0))&amp;""),""),D38)))</f>
        <v/>
      </c>
      <c r="J38" s="9" t="str">
        <f aca="false">IF($A38="","",IFERROR(INDEX(Recetas!$Q$6:$Q$115,MATCH($A38,Recetas!$A$6:$A$115,0)),""))</f>
        <v/>
      </c>
      <c r="K38" s="10" t="str">
        <f aca="false">IF($A38="","",IFERROR(INDEX(Telas!$I$6:$I$105,MATCH(G38,Telas!$A$6:$A$105,0)),""))</f>
        <v/>
      </c>
      <c r="L38" s="10" t="str">
        <f aca="false">IF($A38="","",IFERROR(IF(ISNUMBER(J38),IF(J38=0,0,J38*INDEX(Telas!$I$6:$I$105,MATCH(G38,Telas!$A$6:$A$105,0))),NA())+IF(ISNUMBER(INDEX(Recetas!$T$6:$T$115,MATCH($A38,Recetas!$A$6:$A$115,0))),IF(INDEX(Recetas!$T$6:$T$115,MATCH($A38,Recetas!$A$6:$A$115,0))=0,0,INDEX(Recetas!$T$6:$T$115,MATCH($A38,Recetas!$A$6:$A$115,0))*INDEX(Telas!$I$6:$I$105,MATCH(H38,Telas!$A$6:$A$105,0))),NA())+IF(ISNUMBER(INDEX(Recetas!$W$6:$W$115,MATCH($A38,Recetas!$A$6:$A$115,0))),IF(INDEX(Recetas!$W$6:$W$115,MATCH($A38,Recetas!$A$6:$A$115,0))=0,0,INDEX(Recetas!$W$6:$W$115,MATCH($A38,Recetas!$A$6:$A$115,0))*INDEX(Telas!$I$6:$I$105,MATCH(I38,Telas!$A$6:$A$105,0))),NA()),""))</f>
        <v/>
      </c>
      <c r="M38" s="10" t="str">
        <f aca="false">IF($A38="","",IFERROR(INDEX(Recetas!$AA$6:$AA$115,MATCH($A38,Recetas!$A$6:$A$115,0))*1,""))</f>
        <v/>
      </c>
      <c r="N38" s="10" t="str">
        <f aca="false">IF($A38="","",IFERROR(INDEX(Recetas!$AB$6:$AB$115,MATCH($A38,Recetas!$A$6:$A$115,0))*1,""))</f>
        <v/>
      </c>
      <c r="O38" s="10" t="str">
        <f aca="false">IF($A38="","",IFERROR(INDEX(Recetas!$AC$6:$AC$115,MATCH($A38,Recetas!$A$6:$A$115,0))+N(E38),""))</f>
        <v/>
      </c>
      <c r="P38" s="11" t="str">
        <f aca="false">IF($A38="","",IFERROR(L38+M38+N38+O38,""))</f>
        <v/>
      </c>
      <c r="Q38" s="11" t="str">
        <f aca="false">IF(ISNUMBER(P38),P38*Parametros!$B$12,"")</f>
        <v/>
      </c>
      <c r="R38" s="30" t="str">
        <f aca="false">IF(AND(ISNUMBER(P38),N(F38)&gt;0),(F38-P38-F38*Parametros!$B$8)/F38,"")</f>
        <v/>
      </c>
      <c r="S38" s="10" t="str">
        <f aca="false">IF(AND(ISNUMBER(P38),N(F38)&gt;0),F38-P38-F38*Parametros!$B$8,"")</f>
        <v/>
      </c>
      <c r="T38" s="29" t="str">
        <f aca="false">IF(AND(ISNUMBER(J38),G38&lt;&gt;""),IFERROR(1/(J38*INDEX(Telas!$G$6:$G$105,MATCH(G38,Telas!$A$6:$A$105,0))),""),"")</f>
        <v/>
      </c>
      <c r="U38" s="7" t="str">
        <f aca="false">IF($A38="","",IF(ISNUMBER(P38),"OK",IF(K38="","Precio o peso por metro de "&amp;G38&amp;". ","")&amp;IFERROR(INDEX(Recetas!$AG$6:$AG$115,MATCH($A38,Recetas!$A$6:$A$115,0)),"Molde no existe en Recetas.")))</f>
        <v/>
      </c>
    </row>
    <row r="39" customFormat="false" ht="15" hidden="false" customHeight="false" outlineLevel="0" collapsed="false">
      <c r="A39" s="27"/>
      <c r="B39" s="27"/>
      <c r="C39" s="27"/>
      <c r="D39" s="8"/>
      <c r="E39" s="15"/>
      <c r="F39" s="15"/>
      <c r="G39" s="7" t="str">
        <f aca="false">IF($A39="","",IF(B39="",IFERROR(INDEX(Recetas!$K$6:$K$115,MATCH($A39,Recetas!$A$6:$A$115,0))&amp;"",""),B39))</f>
        <v/>
      </c>
      <c r="H39" s="7" t="str">
        <f aca="false">IF($A39="","",IF(AND(C39="",N(IFERROR(INDEX(Recetas!$T$6:$T$115,MATCH($A39,Recetas!$A$6:$A$115,0)),1))=0),"—",IF(C39="",IFERROR(INDEX(Recetas!$L$6:$L$115,MATCH($A39,Recetas!$A$6:$A$115,0))&amp;"",""),C39)))</f>
        <v/>
      </c>
      <c r="I39" s="7" t="str">
        <f aca="false">IF($A39="","",IF(AND(D39="",N(IFERROR(INDEX(Recetas!$W$6:$W$115,MATCH($A39,Recetas!$A$6:$A$115,0)),1))=0),"—",IF(D39="",IFERROR(IF(INDEX(Recetas!$M$6:$M$115,MATCH($A39,Recetas!$A$6:$A$115,0))&amp;""="",G39,INDEX(Recetas!$M$6:$M$115,MATCH($A39,Recetas!$A$6:$A$115,0))&amp;""),""),D39)))</f>
        <v/>
      </c>
      <c r="J39" s="9" t="str">
        <f aca="false">IF($A39="","",IFERROR(INDEX(Recetas!$Q$6:$Q$115,MATCH($A39,Recetas!$A$6:$A$115,0)),""))</f>
        <v/>
      </c>
      <c r="K39" s="10" t="str">
        <f aca="false">IF($A39="","",IFERROR(INDEX(Telas!$I$6:$I$105,MATCH(G39,Telas!$A$6:$A$105,0)),""))</f>
        <v/>
      </c>
      <c r="L39" s="10" t="str">
        <f aca="false">IF($A39="","",IFERROR(IF(ISNUMBER(J39),IF(J39=0,0,J39*INDEX(Telas!$I$6:$I$105,MATCH(G39,Telas!$A$6:$A$105,0))),NA())+IF(ISNUMBER(INDEX(Recetas!$T$6:$T$115,MATCH($A39,Recetas!$A$6:$A$115,0))),IF(INDEX(Recetas!$T$6:$T$115,MATCH($A39,Recetas!$A$6:$A$115,0))=0,0,INDEX(Recetas!$T$6:$T$115,MATCH($A39,Recetas!$A$6:$A$115,0))*INDEX(Telas!$I$6:$I$105,MATCH(H39,Telas!$A$6:$A$105,0))),NA())+IF(ISNUMBER(INDEX(Recetas!$W$6:$W$115,MATCH($A39,Recetas!$A$6:$A$115,0))),IF(INDEX(Recetas!$W$6:$W$115,MATCH($A39,Recetas!$A$6:$A$115,0))=0,0,INDEX(Recetas!$W$6:$W$115,MATCH($A39,Recetas!$A$6:$A$115,0))*INDEX(Telas!$I$6:$I$105,MATCH(I39,Telas!$A$6:$A$105,0))),NA()),""))</f>
        <v/>
      </c>
      <c r="M39" s="10" t="str">
        <f aca="false">IF($A39="","",IFERROR(INDEX(Recetas!$AA$6:$AA$115,MATCH($A39,Recetas!$A$6:$A$115,0))*1,""))</f>
        <v/>
      </c>
      <c r="N39" s="10" t="str">
        <f aca="false">IF($A39="","",IFERROR(INDEX(Recetas!$AB$6:$AB$115,MATCH($A39,Recetas!$A$6:$A$115,0))*1,""))</f>
        <v/>
      </c>
      <c r="O39" s="10" t="str">
        <f aca="false">IF($A39="","",IFERROR(INDEX(Recetas!$AC$6:$AC$115,MATCH($A39,Recetas!$A$6:$A$115,0))+N(E39),""))</f>
        <v/>
      </c>
      <c r="P39" s="11" t="str">
        <f aca="false">IF($A39="","",IFERROR(L39+M39+N39+O39,""))</f>
        <v/>
      </c>
      <c r="Q39" s="11" t="str">
        <f aca="false">IF(ISNUMBER(P39),P39*Parametros!$B$12,"")</f>
        <v/>
      </c>
      <c r="R39" s="30" t="str">
        <f aca="false">IF(AND(ISNUMBER(P39),N(F39)&gt;0),(F39-P39-F39*Parametros!$B$8)/F39,"")</f>
        <v/>
      </c>
      <c r="S39" s="10" t="str">
        <f aca="false">IF(AND(ISNUMBER(P39),N(F39)&gt;0),F39-P39-F39*Parametros!$B$8,"")</f>
        <v/>
      </c>
      <c r="T39" s="29" t="str">
        <f aca="false">IF(AND(ISNUMBER(J39),G39&lt;&gt;""),IFERROR(1/(J39*INDEX(Telas!$G$6:$G$105,MATCH(G39,Telas!$A$6:$A$105,0))),""),"")</f>
        <v/>
      </c>
      <c r="U39" s="7" t="str">
        <f aca="false">IF($A39="","",IF(ISNUMBER(P39),"OK",IF(K39="","Precio o peso por metro de "&amp;G39&amp;". ","")&amp;IFERROR(INDEX(Recetas!$AG$6:$AG$115,MATCH($A39,Recetas!$A$6:$A$115,0)),"Molde no existe en Recetas.")))</f>
        <v/>
      </c>
    </row>
    <row r="40" customFormat="false" ht="15" hidden="false" customHeight="false" outlineLevel="0" collapsed="false">
      <c r="A40" s="27"/>
      <c r="B40" s="27"/>
      <c r="C40" s="27"/>
      <c r="D40" s="8"/>
      <c r="E40" s="15"/>
      <c r="F40" s="15"/>
      <c r="G40" s="7" t="str">
        <f aca="false">IF($A40="","",IF(B40="",IFERROR(INDEX(Recetas!$K$6:$K$115,MATCH($A40,Recetas!$A$6:$A$115,0))&amp;"",""),B40))</f>
        <v/>
      </c>
      <c r="H40" s="7" t="str">
        <f aca="false">IF($A40="","",IF(AND(C40="",N(IFERROR(INDEX(Recetas!$T$6:$T$115,MATCH($A40,Recetas!$A$6:$A$115,0)),1))=0),"—",IF(C40="",IFERROR(INDEX(Recetas!$L$6:$L$115,MATCH($A40,Recetas!$A$6:$A$115,0))&amp;"",""),C40)))</f>
        <v/>
      </c>
      <c r="I40" s="7" t="str">
        <f aca="false">IF($A40="","",IF(AND(D40="",N(IFERROR(INDEX(Recetas!$W$6:$W$115,MATCH($A40,Recetas!$A$6:$A$115,0)),1))=0),"—",IF(D40="",IFERROR(IF(INDEX(Recetas!$M$6:$M$115,MATCH($A40,Recetas!$A$6:$A$115,0))&amp;""="",G40,INDEX(Recetas!$M$6:$M$115,MATCH($A40,Recetas!$A$6:$A$115,0))&amp;""),""),D40)))</f>
        <v/>
      </c>
      <c r="J40" s="9" t="str">
        <f aca="false">IF($A40="","",IFERROR(INDEX(Recetas!$Q$6:$Q$115,MATCH($A40,Recetas!$A$6:$A$115,0)),""))</f>
        <v/>
      </c>
      <c r="K40" s="10" t="str">
        <f aca="false">IF($A40="","",IFERROR(INDEX(Telas!$I$6:$I$105,MATCH(G40,Telas!$A$6:$A$105,0)),""))</f>
        <v/>
      </c>
      <c r="L40" s="10" t="str">
        <f aca="false">IF($A40="","",IFERROR(IF(ISNUMBER(J40),IF(J40=0,0,J40*INDEX(Telas!$I$6:$I$105,MATCH(G40,Telas!$A$6:$A$105,0))),NA())+IF(ISNUMBER(INDEX(Recetas!$T$6:$T$115,MATCH($A40,Recetas!$A$6:$A$115,0))),IF(INDEX(Recetas!$T$6:$T$115,MATCH($A40,Recetas!$A$6:$A$115,0))=0,0,INDEX(Recetas!$T$6:$T$115,MATCH($A40,Recetas!$A$6:$A$115,0))*INDEX(Telas!$I$6:$I$105,MATCH(H40,Telas!$A$6:$A$105,0))),NA())+IF(ISNUMBER(INDEX(Recetas!$W$6:$W$115,MATCH($A40,Recetas!$A$6:$A$115,0))),IF(INDEX(Recetas!$W$6:$W$115,MATCH($A40,Recetas!$A$6:$A$115,0))=0,0,INDEX(Recetas!$W$6:$W$115,MATCH($A40,Recetas!$A$6:$A$115,0))*INDEX(Telas!$I$6:$I$105,MATCH(I40,Telas!$A$6:$A$105,0))),NA()),""))</f>
        <v/>
      </c>
      <c r="M40" s="10" t="str">
        <f aca="false">IF($A40="","",IFERROR(INDEX(Recetas!$AA$6:$AA$115,MATCH($A40,Recetas!$A$6:$A$115,0))*1,""))</f>
        <v/>
      </c>
      <c r="N40" s="10" t="str">
        <f aca="false">IF($A40="","",IFERROR(INDEX(Recetas!$AB$6:$AB$115,MATCH($A40,Recetas!$A$6:$A$115,0))*1,""))</f>
        <v/>
      </c>
      <c r="O40" s="10" t="str">
        <f aca="false">IF($A40="","",IFERROR(INDEX(Recetas!$AC$6:$AC$115,MATCH($A40,Recetas!$A$6:$A$115,0))+N(E40),""))</f>
        <v/>
      </c>
      <c r="P40" s="11" t="str">
        <f aca="false">IF($A40="","",IFERROR(L40+M40+N40+O40,""))</f>
        <v/>
      </c>
      <c r="Q40" s="11" t="str">
        <f aca="false">IF(ISNUMBER(P40),P40*Parametros!$B$12,"")</f>
        <v/>
      </c>
      <c r="R40" s="30" t="str">
        <f aca="false">IF(AND(ISNUMBER(P40),N(F40)&gt;0),(F40-P40-F40*Parametros!$B$8)/F40,"")</f>
        <v/>
      </c>
      <c r="S40" s="10" t="str">
        <f aca="false">IF(AND(ISNUMBER(P40),N(F40)&gt;0),F40-P40-F40*Parametros!$B$8,"")</f>
        <v/>
      </c>
      <c r="T40" s="29" t="str">
        <f aca="false">IF(AND(ISNUMBER(J40),G40&lt;&gt;""),IFERROR(1/(J40*INDEX(Telas!$G$6:$G$105,MATCH(G40,Telas!$A$6:$A$105,0))),""),"")</f>
        <v/>
      </c>
      <c r="U40" s="7" t="str">
        <f aca="false">IF($A40="","",IF(ISNUMBER(P40),"OK",IF(K40="","Precio o peso por metro de "&amp;G40&amp;". ","")&amp;IFERROR(INDEX(Recetas!$AG$6:$AG$115,MATCH($A40,Recetas!$A$6:$A$115,0)),"Molde no existe en Recetas.")))</f>
        <v/>
      </c>
    </row>
    <row r="41" customFormat="false" ht="15" hidden="false" customHeight="false" outlineLevel="0" collapsed="false">
      <c r="A41" s="27"/>
      <c r="B41" s="27"/>
      <c r="C41" s="27"/>
      <c r="D41" s="8"/>
      <c r="E41" s="15"/>
      <c r="F41" s="15"/>
      <c r="G41" s="7" t="str">
        <f aca="false">IF($A41="","",IF(B41="",IFERROR(INDEX(Recetas!$K$6:$K$115,MATCH($A41,Recetas!$A$6:$A$115,0))&amp;"",""),B41))</f>
        <v/>
      </c>
      <c r="H41" s="7" t="str">
        <f aca="false">IF($A41="","",IF(AND(C41="",N(IFERROR(INDEX(Recetas!$T$6:$T$115,MATCH($A41,Recetas!$A$6:$A$115,0)),1))=0),"—",IF(C41="",IFERROR(INDEX(Recetas!$L$6:$L$115,MATCH($A41,Recetas!$A$6:$A$115,0))&amp;"",""),C41)))</f>
        <v/>
      </c>
      <c r="I41" s="7" t="str">
        <f aca="false">IF($A41="","",IF(AND(D41="",N(IFERROR(INDEX(Recetas!$W$6:$W$115,MATCH($A41,Recetas!$A$6:$A$115,0)),1))=0),"—",IF(D41="",IFERROR(IF(INDEX(Recetas!$M$6:$M$115,MATCH($A41,Recetas!$A$6:$A$115,0))&amp;""="",G41,INDEX(Recetas!$M$6:$M$115,MATCH($A41,Recetas!$A$6:$A$115,0))&amp;""),""),D41)))</f>
        <v/>
      </c>
      <c r="J41" s="9" t="str">
        <f aca="false">IF($A41="","",IFERROR(INDEX(Recetas!$Q$6:$Q$115,MATCH($A41,Recetas!$A$6:$A$115,0)),""))</f>
        <v/>
      </c>
      <c r="K41" s="10" t="str">
        <f aca="false">IF($A41="","",IFERROR(INDEX(Telas!$I$6:$I$105,MATCH(G41,Telas!$A$6:$A$105,0)),""))</f>
        <v/>
      </c>
      <c r="L41" s="10" t="str">
        <f aca="false">IF($A41="","",IFERROR(IF(ISNUMBER(J41),IF(J41=0,0,J41*INDEX(Telas!$I$6:$I$105,MATCH(G41,Telas!$A$6:$A$105,0))),NA())+IF(ISNUMBER(INDEX(Recetas!$T$6:$T$115,MATCH($A41,Recetas!$A$6:$A$115,0))),IF(INDEX(Recetas!$T$6:$T$115,MATCH($A41,Recetas!$A$6:$A$115,0))=0,0,INDEX(Recetas!$T$6:$T$115,MATCH($A41,Recetas!$A$6:$A$115,0))*INDEX(Telas!$I$6:$I$105,MATCH(H41,Telas!$A$6:$A$105,0))),NA())+IF(ISNUMBER(INDEX(Recetas!$W$6:$W$115,MATCH($A41,Recetas!$A$6:$A$115,0))),IF(INDEX(Recetas!$W$6:$W$115,MATCH($A41,Recetas!$A$6:$A$115,0))=0,0,INDEX(Recetas!$W$6:$W$115,MATCH($A41,Recetas!$A$6:$A$115,0))*INDEX(Telas!$I$6:$I$105,MATCH(I41,Telas!$A$6:$A$105,0))),NA()),""))</f>
        <v/>
      </c>
      <c r="M41" s="10" t="str">
        <f aca="false">IF($A41="","",IFERROR(INDEX(Recetas!$AA$6:$AA$115,MATCH($A41,Recetas!$A$6:$A$115,0))*1,""))</f>
        <v/>
      </c>
      <c r="N41" s="10" t="str">
        <f aca="false">IF($A41="","",IFERROR(INDEX(Recetas!$AB$6:$AB$115,MATCH($A41,Recetas!$A$6:$A$115,0))*1,""))</f>
        <v/>
      </c>
      <c r="O41" s="10" t="str">
        <f aca="false">IF($A41="","",IFERROR(INDEX(Recetas!$AC$6:$AC$115,MATCH($A41,Recetas!$A$6:$A$115,0))+N(E41),""))</f>
        <v/>
      </c>
      <c r="P41" s="11" t="str">
        <f aca="false">IF($A41="","",IFERROR(L41+M41+N41+O41,""))</f>
        <v/>
      </c>
      <c r="Q41" s="11" t="str">
        <f aca="false">IF(ISNUMBER(P41),P41*Parametros!$B$12,"")</f>
        <v/>
      </c>
      <c r="R41" s="30" t="str">
        <f aca="false">IF(AND(ISNUMBER(P41),N(F41)&gt;0),(F41-P41-F41*Parametros!$B$8)/F41,"")</f>
        <v/>
      </c>
      <c r="S41" s="10" t="str">
        <f aca="false">IF(AND(ISNUMBER(P41),N(F41)&gt;0),F41-P41-F41*Parametros!$B$8,"")</f>
        <v/>
      </c>
      <c r="T41" s="29" t="str">
        <f aca="false">IF(AND(ISNUMBER(J41),G41&lt;&gt;""),IFERROR(1/(J41*INDEX(Telas!$G$6:$G$105,MATCH(G41,Telas!$A$6:$A$105,0))),""),"")</f>
        <v/>
      </c>
      <c r="U41" s="7" t="str">
        <f aca="false">IF($A41="","",IF(ISNUMBER(P41),"OK",IF(K41="","Precio o peso por metro de "&amp;G41&amp;". ","")&amp;IFERROR(INDEX(Recetas!$AG$6:$AG$115,MATCH($A41,Recetas!$A$6:$A$115,0)),"Molde no existe en Recetas.")))</f>
        <v/>
      </c>
    </row>
    <row r="42" customFormat="false" ht="15" hidden="false" customHeight="false" outlineLevel="0" collapsed="false">
      <c r="A42" s="27"/>
      <c r="B42" s="27"/>
      <c r="C42" s="27"/>
      <c r="D42" s="8"/>
      <c r="E42" s="15"/>
      <c r="F42" s="15"/>
      <c r="G42" s="7" t="str">
        <f aca="false">IF($A42="","",IF(B42="",IFERROR(INDEX(Recetas!$K$6:$K$115,MATCH($A42,Recetas!$A$6:$A$115,0))&amp;"",""),B42))</f>
        <v/>
      </c>
      <c r="H42" s="7" t="str">
        <f aca="false">IF($A42="","",IF(AND(C42="",N(IFERROR(INDEX(Recetas!$T$6:$T$115,MATCH($A42,Recetas!$A$6:$A$115,0)),1))=0),"—",IF(C42="",IFERROR(INDEX(Recetas!$L$6:$L$115,MATCH($A42,Recetas!$A$6:$A$115,0))&amp;"",""),C42)))</f>
        <v/>
      </c>
      <c r="I42" s="7" t="str">
        <f aca="false">IF($A42="","",IF(AND(D42="",N(IFERROR(INDEX(Recetas!$W$6:$W$115,MATCH($A42,Recetas!$A$6:$A$115,0)),1))=0),"—",IF(D42="",IFERROR(IF(INDEX(Recetas!$M$6:$M$115,MATCH($A42,Recetas!$A$6:$A$115,0))&amp;""="",G42,INDEX(Recetas!$M$6:$M$115,MATCH($A42,Recetas!$A$6:$A$115,0))&amp;""),""),D42)))</f>
        <v/>
      </c>
      <c r="J42" s="9" t="str">
        <f aca="false">IF($A42="","",IFERROR(INDEX(Recetas!$Q$6:$Q$115,MATCH($A42,Recetas!$A$6:$A$115,0)),""))</f>
        <v/>
      </c>
      <c r="K42" s="10" t="str">
        <f aca="false">IF($A42="","",IFERROR(INDEX(Telas!$I$6:$I$105,MATCH(G42,Telas!$A$6:$A$105,0)),""))</f>
        <v/>
      </c>
      <c r="L42" s="10" t="str">
        <f aca="false">IF($A42="","",IFERROR(IF(ISNUMBER(J42),IF(J42=0,0,J42*INDEX(Telas!$I$6:$I$105,MATCH(G42,Telas!$A$6:$A$105,0))),NA())+IF(ISNUMBER(INDEX(Recetas!$T$6:$T$115,MATCH($A42,Recetas!$A$6:$A$115,0))),IF(INDEX(Recetas!$T$6:$T$115,MATCH($A42,Recetas!$A$6:$A$115,0))=0,0,INDEX(Recetas!$T$6:$T$115,MATCH($A42,Recetas!$A$6:$A$115,0))*INDEX(Telas!$I$6:$I$105,MATCH(H42,Telas!$A$6:$A$105,0))),NA())+IF(ISNUMBER(INDEX(Recetas!$W$6:$W$115,MATCH($A42,Recetas!$A$6:$A$115,0))),IF(INDEX(Recetas!$W$6:$W$115,MATCH($A42,Recetas!$A$6:$A$115,0))=0,0,INDEX(Recetas!$W$6:$W$115,MATCH($A42,Recetas!$A$6:$A$115,0))*INDEX(Telas!$I$6:$I$105,MATCH(I42,Telas!$A$6:$A$105,0))),NA()),""))</f>
        <v/>
      </c>
      <c r="M42" s="10" t="str">
        <f aca="false">IF($A42="","",IFERROR(INDEX(Recetas!$AA$6:$AA$115,MATCH($A42,Recetas!$A$6:$A$115,0))*1,""))</f>
        <v/>
      </c>
      <c r="N42" s="10" t="str">
        <f aca="false">IF($A42="","",IFERROR(INDEX(Recetas!$AB$6:$AB$115,MATCH($A42,Recetas!$A$6:$A$115,0))*1,""))</f>
        <v/>
      </c>
      <c r="O42" s="10" t="str">
        <f aca="false">IF($A42="","",IFERROR(INDEX(Recetas!$AC$6:$AC$115,MATCH($A42,Recetas!$A$6:$A$115,0))+N(E42),""))</f>
        <v/>
      </c>
      <c r="P42" s="11" t="str">
        <f aca="false">IF($A42="","",IFERROR(L42+M42+N42+O42,""))</f>
        <v/>
      </c>
      <c r="Q42" s="11" t="str">
        <f aca="false">IF(ISNUMBER(P42),P42*Parametros!$B$12,"")</f>
        <v/>
      </c>
      <c r="R42" s="30" t="str">
        <f aca="false">IF(AND(ISNUMBER(P42),N(F42)&gt;0),(F42-P42-F42*Parametros!$B$8)/F42,"")</f>
        <v/>
      </c>
      <c r="S42" s="10" t="str">
        <f aca="false">IF(AND(ISNUMBER(P42),N(F42)&gt;0),F42-P42-F42*Parametros!$B$8,"")</f>
        <v/>
      </c>
      <c r="T42" s="29" t="str">
        <f aca="false">IF(AND(ISNUMBER(J42),G42&lt;&gt;""),IFERROR(1/(J42*INDEX(Telas!$G$6:$G$105,MATCH(G42,Telas!$A$6:$A$105,0))),""),"")</f>
        <v/>
      </c>
      <c r="U42" s="7" t="str">
        <f aca="false">IF($A42="","",IF(ISNUMBER(P42),"OK",IF(K42="","Precio o peso por metro de "&amp;G42&amp;". ","")&amp;IFERROR(INDEX(Recetas!$AG$6:$AG$115,MATCH($A42,Recetas!$A$6:$A$115,0)),"Molde no existe en Recetas.")))</f>
        <v/>
      </c>
    </row>
    <row r="43" customFormat="false" ht="15" hidden="false" customHeight="false" outlineLevel="0" collapsed="false">
      <c r="A43" s="27"/>
      <c r="B43" s="27"/>
      <c r="C43" s="27"/>
      <c r="D43" s="8"/>
      <c r="E43" s="15"/>
      <c r="F43" s="15"/>
      <c r="G43" s="7" t="str">
        <f aca="false">IF($A43="","",IF(B43="",IFERROR(INDEX(Recetas!$K$6:$K$115,MATCH($A43,Recetas!$A$6:$A$115,0))&amp;"",""),B43))</f>
        <v/>
      </c>
      <c r="H43" s="7" t="str">
        <f aca="false">IF($A43="","",IF(AND(C43="",N(IFERROR(INDEX(Recetas!$T$6:$T$115,MATCH($A43,Recetas!$A$6:$A$115,0)),1))=0),"—",IF(C43="",IFERROR(INDEX(Recetas!$L$6:$L$115,MATCH($A43,Recetas!$A$6:$A$115,0))&amp;"",""),C43)))</f>
        <v/>
      </c>
      <c r="I43" s="7" t="str">
        <f aca="false">IF($A43="","",IF(AND(D43="",N(IFERROR(INDEX(Recetas!$W$6:$W$115,MATCH($A43,Recetas!$A$6:$A$115,0)),1))=0),"—",IF(D43="",IFERROR(IF(INDEX(Recetas!$M$6:$M$115,MATCH($A43,Recetas!$A$6:$A$115,0))&amp;""="",G43,INDEX(Recetas!$M$6:$M$115,MATCH($A43,Recetas!$A$6:$A$115,0))&amp;""),""),D43)))</f>
        <v/>
      </c>
      <c r="J43" s="9" t="str">
        <f aca="false">IF($A43="","",IFERROR(INDEX(Recetas!$Q$6:$Q$115,MATCH($A43,Recetas!$A$6:$A$115,0)),""))</f>
        <v/>
      </c>
      <c r="K43" s="10" t="str">
        <f aca="false">IF($A43="","",IFERROR(INDEX(Telas!$I$6:$I$105,MATCH(G43,Telas!$A$6:$A$105,0)),""))</f>
        <v/>
      </c>
      <c r="L43" s="10" t="str">
        <f aca="false">IF($A43="","",IFERROR(IF(ISNUMBER(J43),IF(J43=0,0,J43*INDEX(Telas!$I$6:$I$105,MATCH(G43,Telas!$A$6:$A$105,0))),NA())+IF(ISNUMBER(INDEX(Recetas!$T$6:$T$115,MATCH($A43,Recetas!$A$6:$A$115,0))),IF(INDEX(Recetas!$T$6:$T$115,MATCH($A43,Recetas!$A$6:$A$115,0))=0,0,INDEX(Recetas!$T$6:$T$115,MATCH($A43,Recetas!$A$6:$A$115,0))*INDEX(Telas!$I$6:$I$105,MATCH(H43,Telas!$A$6:$A$105,0))),NA())+IF(ISNUMBER(INDEX(Recetas!$W$6:$W$115,MATCH($A43,Recetas!$A$6:$A$115,0))),IF(INDEX(Recetas!$W$6:$W$115,MATCH($A43,Recetas!$A$6:$A$115,0))=0,0,INDEX(Recetas!$W$6:$W$115,MATCH($A43,Recetas!$A$6:$A$115,0))*INDEX(Telas!$I$6:$I$105,MATCH(I43,Telas!$A$6:$A$105,0))),NA()),""))</f>
        <v/>
      </c>
      <c r="M43" s="10" t="str">
        <f aca="false">IF($A43="","",IFERROR(INDEX(Recetas!$AA$6:$AA$115,MATCH($A43,Recetas!$A$6:$A$115,0))*1,""))</f>
        <v/>
      </c>
      <c r="N43" s="10" t="str">
        <f aca="false">IF($A43="","",IFERROR(INDEX(Recetas!$AB$6:$AB$115,MATCH($A43,Recetas!$A$6:$A$115,0))*1,""))</f>
        <v/>
      </c>
      <c r="O43" s="10" t="str">
        <f aca="false">IF($A43="","",IFERROR(INDEX(Recetas!$AC$6:$AC$115,MATCH($A43,Recetas!$A$6:$A$115,0))+N(E43),""))</f>
        <v/>
      </c>
      <c r="P43" s="11" t="str">
        <f aca="false">IF($A43="","",IFERROR(L43+M43+N43+O43,""))</f>
        <v/>
      </c>
      <c r="Q43" s="11" t="str">
        <f aca="false">IF(ISNUMBER(P43),P43*Parametros!$B$12,"")</f>
        <v/>
      </c>
      <c r="R43" s="30" t="str">
        <f aca="false">IF(AND(ISNUMBER(P43),N(F43)&gt;0),(F43-P43-F43*Parametros!$B$8)/F43,"")</f>
        <v/>
      </c>
      <c r="S43" s="10" t="str">
        <f aca="false">IF(AND(ISNUMBER(P43),N(F43)&gt;0),F43-P43-F43*Parametros!$B$8,"")</f>
        <v/>
      </c>
      <c r="T43" s="29" t="str">
        <f aca="false">IF(AND(ISNUMBER(J43),G43&lt;&gt;""),IFERROR(1/(J43*INDEX(Telas!$G$6:$G$105,MATCH(G43,Telas!$A$6:$A$105,0))),""),"")</f>
        <v/>
      </c>
      <c r="U43" s="7" t="str">
        <f aca="false">IF($A43="","",IF(ISNUMBER(P43),"OK",IF(K43="","Precio o peso por metro de "&amp;G43&amp;". ","")&amp;IFERROR(INDEX(Recetas!$AG$6:$AG$115,MATCH($A43,Recetas!$A$6:$A$115,0)),"Molde no existe en Recetas.")))</f>
        <v/>
      </c>
    </row>
    <row r="44" customFormat="false" ht="15" hidden="false" customHeight="false" outlineLevel="0" collapsed="false">
      <c r="A44" s="27"/>
      <c r="B44" s="27"/>
      <c r="C44" s="27"/>
      <c r="D44" s="8"/>
      <c r="E44" s="15"/>
      <c r="F44" s="15"/>
      <c r="G44" s="7" t="str">
        <f aca="false">IF($A44="","",IF(B44="",IFERROR(INDEX(Recetas!$K$6:$K$115,MATCH($A44,Recetas!$A$6:$A$115,0))&amp;"",""),B44))</f>
        <v/>
      </c>
      <c r="H44" s="7" t="str">
        <f aca="false">IF($A44="","",IF(AND(C44="",N(IFERROR(INDEX(Recetas!$T$6:$T$115,MATCH($A44,Recetas!$A$6:$A$115,0)),1))=0),"—",IF(C44="",IFERROR(INDEX(Recetas!$L$6:$L$115,MATCH($A44,Recetas!$A$6:$A$115,0))&amp;"",""),C44)))</f>
        <v/>
      </c>
      <c r="I44" s="7" t="str">
        <f aca="false">IF($A44="","",IF(AND(D44="",N(IFERROR(INDEX(Recetas!$W$6:$W$115,MATCH($A44,Recetas!$A$6:$A$115,0)),1))=0),"—",IF(D44="",IFERROR(IF(INDEX(Recetas!$M$6:$M$115,MATCH($A44,Recetas!$A$6:$A$115,0))&amp;""="",G44,INDEX(Recetas!$M$6:$M$115,MATCH($A44,Recetas!$A$6:$A$115,0))&amp;""),""),D44)))</f>
        <v/>
      </c>
      <c r="J44" s="9" t="str">
        <f aca="false">IF($A44="","",IFERROR(INDEX(Recetas!$Q$6:$Q$115,MATCH($A44,Recetas!$A$6:$A$115,0)),""))</f>
        <v/>
      </c>
      <c r="K44" s="10" t="str">
        <f aca="false">IF($A44="","",IFERROR(INDEX(Telas!$I$6:$I$105,MATCH(G44,Telas!$A$6:$A$105,0)),""))</f>
        <v/>
      </c>
      <c r="L44" s="10" t="str">
        <f aca="false">IF($A44="","",IFERROR(IF(ISNUMBER(J44),IF(J44=0,0,J44*INDEX(Telas!$I$6:$I$105,MATCH(G44,Telas!$A$6:$A$105,0))),NA())+IF(ISNUMBER(INDEX(Recetas!$T$6:$T$115,MATCH($A44,Recetas!$A$6:$A$115,0))),IF(INDEX(Recetas!$T$6:$T$115,MATCH($A44,Recetas!$A$6:$A$115,0))=0,0,INDEX(Recetas!$T$6:$T$115,MATCH($A44,Recetas!$A$6:$A$115,0))*INDEX(Telas!$I$6:$I$105,MATCH(H44,Telas!$A$6:$A$105,0))),NA())+IF(ISNUMBER(INDEX(Recetas!$W$6:$W$115,MATCH($A44,Recetas!$A$6:$A$115,0))),IF(INDEX(Recetas!$W$6:$W$115,MATCH($A44,Recetas!$A$6:$A$115,0))=0,0,INDEX(Recetas!$W$6:$W$115,MATCH($A44,Recetas!$A$6:$A$115,0))*INDEX(Telas!$I$6:$I$105,MATCH(I44,Telas!$A$6:$A$105,0))),NA()),""))</f>
        <v/>
      </c>
      <c r="M44" s="10" t="str">
        <f aca="false">IF($A44="","",IFERROR(INDEX(Recetas!$AA$6:$AA$115,MATCH($A44,Recetas!$A$6:$A$115,0))*1,""))</f>
        <v/>
      </c>
      <c r="N44" s="10" t="str">
        <f aca="false">IF($A44="","",IFERROR(INDEX(Recetas!$AB$6:$AB$115,MATCH($A44,Recetas!$A$6:$A$115,0))*1,""))</f>
        <v/>
      </c>
      <c r="O44" s="10" t="str">
        <f aca="false">IF($A44="","",IFERROR(INDEX(Recetas!$AC$6:$AC$115,MATCH($A44,Recetas!$A$6:$A$115,0))+N(E44),""))</f>
        <v/>
      </c>
      <c r="P44" s="11" t="str">
        <f aca="false">IF($A44="","",IFERROR(L44+M44+N44+O44,""))</f>
        <v/>
      </c>
      <c r="Q44" s="11" t="str">
        <f aca="false">IF(ISNUMBER(P44),P44*Parametros!$B$12,"")</f>
        <v/>
      </c>
      <c r="R44" s="30" t="str">
        <f aca="false">IF(AND(ISNUMBER(P44),N(F44)&gt;0),(F44-P44-F44*Parametros!$B$8)/F44,"")</f>
        <v/>
      </c>
      <c r="S44" s="10" t="str">
        <f aca="false">IF(AND(ISNUMBER(P44),N(F44)&gt;0),F44-P44-F44*Parametros!$B$8,"")</f>
        <v/>
      </c>
      <c r="T44" s="29" t="str">
        <f aca="false">IF(AND(ISNUMBER(J44),G44&lt;&gt;""),IFERROR(1/(J44*INDEX(Telas!$G$6:$G$105,MATCH(G44,Telas!$A$6:$A$105,0))),""),"")</f>
        <v/>
      </c>
      <c r="U44" s="7" t="str">
        <f aca="false">IF($A44="","",IF(ISNUMBER(P44),"OK",IF(K44="","Precio o peso por metro de "&amp;G44&amp;". ","")&amp;IFERROR(INDEX(Recetas!$AG$6:$AG$115,MATCH($A44,Recetas!$A$6:$A$115,0)),"Molde no existe en Recetas.")))</f>
        <v/>
      </c>
    </row>
    <row r="45" customFormat="false" ht="15" hidden="false" customHeight="false" outlineLevel="0" collapsed="false">
      <c r="A45" s="27"/>
      <c r="B45" s="27"/>
      <c r="C45" s="27"/>
      <c r="D45" s="8"/>
      <c r="E45" s="15"/>
      <c r="F45" s="15"/>
      <c r="G45" s="7" t="str">
        <f aca="false">IF($A45="","",IF(B45="",IFERROR(INDEX(Recetas!$K$6:$K$115,MATCH($A45,Recetas!$A$6:$A$115,0))&amp;"",""),B45))</f>
        <v/>
      </c>
      <c r="H45" s="7" t="str">
        <f aca="false">IF($A45="","",IF(AND(C45="",N(IFERROR(INDEX(Recetas!$T$6:$T$115,MATCH($A45,Recetas!$A$6:$A$115,0)),1))=0),"—",IF(C45="",IFERROR(INDEX(Recetas!$L$6:$L$115,MATCH($A45,Recetas!$A$6:$A$115,0))&amp;"",""),C45)))</f>
        <v/>
      </c>
      <c r="I45" s="7" t="str">
        <f aca="false">IF($A45="","",IF(AND(D45="",N(IFERROR(INDEX(Recetas!$W$6:$W$115,MATCH($A45,Recetas!$A$6:$A$115,0)),1))=0),"—",IF(D45="",IFERROR(IF(INDEX(Recetas!$M$6:$M$115,MATCH($A45,Recetas!$A$6:$A$115,0))&amp;""="",G45,INDEX(Recetas!$M$6:$M$115,MATCH($A45,Recetas!$A$6:$A$115,0))&amp;""),""),D45)))</f>
        <v/>
      </c>
      <c r="J45" s="9" t="str">
        <f aca="false">IF($A45="","",IFERROR(INDEX(Recetas!$Q$6:$Q$115,MATCH($A45,Recetas!$A$6:$A$115,0)),""))</f>
        <v/>
      </c>
      <c r="K45" s="10" t="str">
        <f aca="false">IF($A45="","",IFERROR(INDEX(Telas!$I$6:$I$105,MATCH(G45,Telas!$A$6:$A$105,0)),""))</f>
        <v/>
      </c>
      <c r="L45" s="10" t="str">
        <f aca="false">IF($A45="","",IFERROR(IF(ISNUMBER(J45),IF(J45=0,0,J45*INDEX(Telas!$I$6:$I$105,MATCH(G45,Telas!$A$6:$A$105,0))),NA())+IF(ISNUMBER(INDEX(Recetas!$T$6:$T$115,MATCH($A45,Recetas!$A$6:$A$115,0))),IF(INDEX(Recetas!$T$6:$T$115,MATCH($A45,Recetas!$A$6:$A$115,0))=0,0,INDEX(Recetas!$T$6:$T$115,MATCH($A45,Recetas!$A$6:$A$115,0))*INDEX(Telas!$I$6:$I$105,MATCH(H45,Telas!$A$6:$A$105,0))),NA())+IF(ISNUMBER(INDEX(Recetas!$W$6:$W$115,MATCH($A45,Recetas!$A$6:$A$115,0))),IF(INDEX(Recetas!$W$6:$W$115,MATCH($A45,Recetas!$A$6:$A$115,0))=0,0,INDEX(Recetas!$W$6:$W$115,MATCH($A45,Recetas!$A$6:$A$115,0))*INDEX(Telas!$I$6:$I$105,MATCH(I45,Telas!$A$6:$A$105,0))),NA()),""))</f>
        <v/>
      </c>
      <c r="M45" s="10" t="str">
        <f aca="false">IF($A45="","",IFERROR(INDEX(Recetas!$AA$6:$AA$115,MATCH($A45,Recetas!$A$6:$A$115,0))*1,""))</f>
        <v/>
      </c>
      <c r="N45" s="10" t="str">
        <f aca="false">IF($A45="","",IFERROR(INDEX(Recetas!$AB$6:$AB$115,MATCH($A45,Recetas!$A$6:$A$115,0))*1,""))</f>
        <v/>
      </c>
      <c r="O45" s="10" t="str">
        <f aca="false">IF($A45="","",IFERROR(INDEX(Recetas!$AC$6:$AC$115,MATCH($A45,Recetas!$A$6:$A$115,0))+N(E45),""))</f>
        <v/>
      </c>
      <c r="P45" s="11" t="str">
        <f aca="false">IF($A45="","",IFERROR(L45+M45+N45+O45,""))</f>
        <v/>
      </c>
      <c r="Q45" s="11" t="str">
        <f aca="false">IF(ISNUMBER(P45),P45*Parametros!$B$12,"")</f>
        <v/>
      </c>
      <c r="R45" s="30" t="str">
        <f aca="false">IF(AND(ISNUMBER(P45),N(F45)&gt;0),(F45-P45-F45*Parametros!$B$8)/F45,"")</f>
        <v/>
      </c>
      <c r="S45" s="10" t="str">
        <f aca="false">IF(AND(ISNUMBER(P45),N(F45)&gt;0),F45-P45-F45*Parametros!$B$8,"")</f>
        <v/>
      </c>
      <c r="T45" s="29" t="str">
        <f aca="false">IF(AND(ISNUMBER(J45),G45&lt;&gt;""),IFERROR(1/(J45*INDEX(Telas!$G$6:$G$105,MATCH(G45,Telas!$A$6:$A$105,0))),""),"")</f>
        <v/>
      </c>
      <c r="U45" s="7" t="str">
        <f aca="false">IF($A45="","",IF(ISNUMBER(P45),"OK",IF(K45="","Precio o peso por metro de "&amp;G45&amp;". ","")&amp;IFERROR(INDEX(Recetas!$AG$6:$AG$115,MATCH($A45,Recetas!$A$6:$A$115,0)),"Molde no existe en Recetas.")))</f>
        <v/>
      </c>
    </row>
  </sheetData>
  <dataValidations count="4">
    <dataValidation allowBlank="true" errorStyle="stop" operator="between" showDropDown="false" showErrorMessage="false" showInputMessage="false" sqref="A6:A45" type="list">
      <formula1>Recetas!$A$6:$A$115</formula1>
      <formula2>0</formula2>
    </dataValidation>
    <dataValidation allowBlank="true" errorStyle="stop" operator="between" showDropDown="false" showErrorMessage="false" showInputMessage="false" sqref="B6:B45" type="list">
      <formula1>Telas!$A$6:$A$105</formula1>
      <formula2>0</formula2>
    </dataValidation>
    <dataValidation allowBlank="true" errorStyle="stop" operator="between" showDropDown="false" showErrorMessage="false" showInputMessage="false" sqref="C6:C45" type="list">
      <formula1>Telas!$A$6:$A$105</formula1>
      <formula2>0</formula2>
    </dataValidation>
    <dataValidation allowBlank="true" errorStyle="stop" operator="between" showDropDown="false" showErrorMessage="false" showInputMessage="false" sqref="D6:D45" type="list">
      <formula1>Telas!$A$6:$A$105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6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24"/>
    <col collapsed="false" customWidth="true" hidden="false" outlineLevel="0" max="6" min="6" style="0" width="26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40"/>
    <col collapsed="false" customWidth="true" hidden="false" outlineLevel="0" max="13" min="13" style="0" width="24"/>
    <col collapsed="false" customWidth="true" hidden="false" outlineLevel="0" max="15" min="14" style="0" width="14"/>
    <col collapsed="false" customWidth="true" hidden="false" outlineLevel="0" max="16" min="16" style="0" width="10"/>
    <col collapsed="false" customWidth="true" hidden="false" outlineLevel="0" max="17" min="17" style="0" width="12"/>
    <col collapsed="false" customWidth="true" hidden="false" outlineLevel="0" max="18" min="18" style="0" width="11"/>
    <col collapsed="false" customWidth="true" hidden="false" outlineLevel="0" max="19" min="19" style="0" width="10"/>
    <col collapsed="false" customWidth="true" hidden="false" outlineLevel="0" max="20" min="20" style="0" width="11"/>
    <col collapsed="false" customWidth="true" hidden="false" outlineLevel="0" max="21" min="21" style="0" width="10"/>
    <col collapsed="false" customWidth="true" hidden="false" outlineLevel="0" max="23" min="22" style="0" width="12"/>
    <col collapsed="false" customWidth="true" hidden="false" outlineLevel="0" max="24" min="24" style="0" width="10"/>
    <col collapsed="false" customWidth="true" hidden="false" outlineLevel="0" max="26" min="25" style="0" width="11"/>
    <col collapsed="false" customWidth="true" hidden="false" outlineLevel="0" max="27" min="27" style="0" width="44"/>
  </cols>
  <sheetData>
    <row r="1" customFormat="false" ht="17.35" hidden="false" customHeight="false" outlineLevel="0" collapsed="false">
      <c r="A1" s="1" t="s">
        <v>237</v>
      </c>
    </row>
    <row r="2" customFormat="false" ht="15" hidden="false" customHeight="false" outlineLevel="0" collapsed="false">
      <c r="A2" s="2" t="s">
        <v>238</v>
      </c>
    </row>
    <row r="4" customFormat="false" ht="15" hidden="false" customHeight="false" outlineLevel="0" collapsed="false">
      <c r="A4" s="23" t="s">
        <v>239</v>
      </c>
      <c r="E4" s="24" t="s">
        <v>219</v>
      </c>
      <c r="M4" s="26" t="s">
        <v>220</v>
      </c>
    </row>
    <row r="5" customFormat="false" ht="45" hidden="false" customHeight="true" outlineLevel="0" collapsed="false">
      <c r="A5" s="6" t="s">
        <v>240</v>
      </c>
      <c r="B5" s="6" t="s">
        <v>241</v>
      </c>
      <c r="C5" s="6" t="s">
        <v>242</v>
      </c>
      <c r="D5" s="6" t="s">
        <v>243</v>
      </c>
      <c r="E5" s="6" t="s">
        <v>63</v>
      </c>
      <c r="F5" s="6" t="s">
        <v>244</v>
      </c>
      <c r="G5" s="6" t="s">
        <v>72</v>
      </c>
      <c r="H5" s="6" t="s">
        <v>73</v>
      </c>
      <c r="I5" s="6" t="s">
        <v>224</v>
      </c>
      <c r="J5" s="6" t="s">
        <v>225</v>
      </c>
      <c r="K5" s="6" t="s">
        <v>245</v>
      </c>
      <c r="L5" s="6" t="s">
        <v>88</v>
      </c>
      <c r="M5" s="6" t="s">
        <v>226</v>
      </c>
      <c r="N5" s="6" t="s">
        <v>227</v>
      </c>
      <c r="O5" s="6" t="s">
        <v>228</v>
      </c>
      <c r="P5" s="6" t="s">
        <v>229</v>
      </c>
      <c r="Q5" s="6" t="s">
        <v>230</v>
      </c>
      <c r="R5" s="6" t="s">
        <v>80</v>
      </c>
      <c r="S5" s="6" t="s">
        <v>81</v>
      </c>
      <c r="T5" s="6" t="s">
        <v>82</v>
      </c>
      <c r="U5" s="6" t="s">
        <v>231</v>
      </c>
      <c r="V5" s="6" t="s">
        <v>84</v>
      </c>
      <c r="W5" s="6" t="s">
        <v>232</v>
      </c>
      <c r="X5" s="6" t="s">
        <v>233</v>
      </c>
      <c r="Y5" s="6" t="s">
        <v>234</v>
      </c>
      <c r="Z5" s="6" t="s">
        <v>86</v>
      </c>
      <c r="AA5" s="6" t="s">
        <v>87</v>
      </c>
    </row>
    <row r="6" customFormat="false" ht="15" hidden="false" customHeight="false" outlineLevel="0" collapsed="false">
      <c r="A6" s="27" t="s">
        <v>246</v>
      </c>
      <c r="B6" s="27" t="s">
        <v>247</v>
      </c>
      <c r="C6" s="27" t="s">
        <v>248</v>
      </c>
      <c r="D6" s="27" t="n">
        <v>198</v>
      </c>
      <c r="E6" s="27" t="s">
        <v>96</v>
      </c>
      <c r="F6" s="8"/>
      <c r="G6" s="8"/>
      <c r="H6" s="8"/>
      <c r="I6" s="15"/>
      <c r="J6" s="15" t="n">
        <v>15994</v>
      </c>
      <c r="K6" s="27" t="s">
        <v>249</v>
      </c>
      <c r="L6" s="27" t="s">
        <v>250</v>
      </c>
      <c r="M6" s="7" t="str">
        <f aca="false">IF($E6="","",IF(F6="",IFERROR(INDEX(Recetas!$K$6:$K$115,MATCH($E6,Recetas!$A$6:$A$115,0))&amp;"",""),F6))</f>
        <v/>
      </c>
      <c r="N6" s="7" t="str">
        <f aca="false">IF($E6="","",IF(AND(G6="",N(IFERROR(INDEX(Recetas!$T$6:$T$115,MATCH($E6,Recetas!$A$6:$A$115,0)),1))=0),"—",IF(G6="",IFERROR(INDEX(Recetas!$L$6:$L$115,MATCH($E6,Recetas!$A$6:$A$115,0))&amp;"",""),G6)))</f>
        <v>—</v>
      </c>
      <c r="O6" s="7" t="str">
        <f aca="false">IF($E6="","",IF(AND(H6="",N(IFERROR(INDEX(Recetas!$W$6:$W$115,MATCH($E6,Recetas!$A$6:$A$115,0)),1))=0),"—",IF(H6="",IFERROR(IF(INDEX(Recetas!$M$6:$M$115,MATCH($E6,Recetas!$A$6:$A$115,0))&amp;""="",M6,INDEX(Recetas!$M$6:$M$115,MATCH($E6,Recetas!$A$6:$A$115,0))&amp;""),""),H6)))</f>
        <v>—</v>
      </c>
      <c r="P6" s="9" t="str">
        <f aca="false">IF($E6="","",IFERROR(INDEX(Recetas!$Q$6:$Q$115,MATCH($E6,Recetas!$A$6:$A$115,0)),""))</f>
        <v/>
      </c>
      <c r="Q6" s="10" t="str">
        <f aca="false">IF($E6="","",IFERROR(INDEX(Telas!$I$6:$I$105,MATCH(M6,Telas!$A$6:$A$105,0)),""))</f>
        <v/>
      </c>
      <c r="R6" s="10" t="str">
        <f aca="false">IF($E6="","",IFERROR(IF(ISNUMBER(P6),IF(P6=0,0,P6*INDEX(Telas!$I$6:$I$105,MATCH(M6,Telas!$A$6:$A$105,0))),NA())+IF(ISNUMBER(INDEX(Recetas!$T$6:$T$115,MATCH($E6,Recetas!$A$6:$A$115,0))),IF(INDEX(Recetas!$T$6:$T$115,MATCH($E6,Recetas!$A$6:$A$115,0))=0,0,INDEX(Recetas!$T$6:$T$115,MATCH($E6,Recetas!$A$6:$A$115,0))*INDEX(Telas!$I$6:$I$105,MATCH(N6,Telas!$A$6:$A$105,0))),NA())+IF(ISNUMBER(INDEX(Recetas!$W$6:$W$115,MATCH($E6,Recetas!$A$6:$A$115,0))),IF(INDEX(Recetas!$W$6:$W$115,MATCH($E6,Recetas!$A$6:$A$115,0))=0,0,INDEX(Recetas!$W$6:$W$115,MATCH($E6,Recetas!$A$6:$A$115,0))*INDEX(Telas!$I$6:$I$105,MATCH(O6,Telas!$A$6:$A$105,0))),NA()),""))</f>
        <v/>
      </c>
      <c r="S6" s="10" t="str">
        <f aca="false">IF($E6="","",IFERROR(INDEX(Recetas!$AA$6:$AA$115,MATCH($E6,Recetas!$A$6:$A$115,0))*1,""))</f>
        <v/>
      </c>
      <c r="T6" s="10" t="n">
        <f aca="false">IF($E6="","",IFERROR(INDEX(Recetas!$AB$6:$AB$115,MATCH($E6,Recetas!$A$6:$A$115,0))*1,""))</f>
        <v>2000</v>
      </c>
      <c r="U6" s="10" t="n">
        <f aca="false">IF($E6="","",IFERROR(INDEX(Recetas!$AC$6:$AC$115,MATCH($E6,Recetas!$A$6:$A$115,0))+N(I6),""))</f>
        <v>0</v>
      </c>
      <c r="V6" s="11" t="str">
        <f aca="false">IF($E6="","",IFERROR(R6+S6+T6+U6,""))</f>
        <v/>
      </c>
      <c r="W6" s="11" t="str">
        <f aca="false">IF(ISNUMBER(V6),V6*Parametros!$B$12,"")</f>
        <v/>
      </c>
      <c r="X6" s="30" t="str">
        <f aca="false">IF(AND(ISNUMBER(V6),N(J6)&gt;0),(J6-V6-J6*Parametros!$B$8)/J6,"")</f>
        <v/>
      </c>
      <c r="Y6" s="10" t="str">
        <f aca="false">IF(AND(ISNUMBER(V6),N(J6)&gt;0),J6-V6-J6*Parametros!$B$8,"")</f>
        <v/>
      </c>
      <c r="Z6" s="29" t="str">
        <f aca="false">IF(AND(ISNUMBER(P6),M6&lt;&gt;""),IFERROR(1/(P6*INDEX(Telas!$G$6:$G$105,MATCH(M6,Telas!$A$6:$A$105,0))),""),"")</f>
        <v/>
      </c>
      <c r="AA6" s="7" t="str">
        <f aca="false">IF($E6="","",IF(ISNUMBER(V6),"OK",IF(Q6="","Precio o peso por metro de "&amp;M6&amp;". ","")&amp;IFERROR(INDEX(Recetas!$AG$6:$AG$115,MATCH($E6,Recetas!$A$6:$A$115,0)),"Molde no existe en Recetas.")))</f>
        <v>Precio o peso por metro de . Consumo tela principal (Despiece o Mediciones). Elegir tela principal. Metros impresos. </v>
      </c>
    </row>
    <row r="7" customFormat="false" ht="15" hidden="false" customHeight="false" outlineLevel="0" collapsed="false">
      <c r="A7" s="27" t="s">
        <v>251</v>
      </c>
      <c r="B7" s="27" t="s">
        <v>252</v>
      </c>
      <c r="C7" s="27" t="s">
        <v>248</v>
      </c>
      <c r="D7" s="27" t="n">
        <v>190</v>
      </c>
      <c r="E7" s="27" t="s">
        <v>96</v>
      </c>
      <c r="F7" s="8"/>
      <c r="G7" s="8"/>
      <c r="H7" s="8"/>
      <c r="I7" s="15"/>
      <c r="J7" s="15" t="n">
        <v>16073</v>
      </c>
      <c r="K7" s="27" t="s">
        <v>249</v>
      </c>
      <c r="L7" s="27" t="s">
        <v>253</v>
      </c>
      <c r="M7" s="7" t="str">
        <f aca="false">IF($E7="","",IF(F7="",IFERROR(INDEX(Recetas!$K$6:$K$115,MATCH($E7,Recetas!$A$6:$A$115,0))&amp;"",""),F7))</f>
        <v/>
      </c>
      <c r="N7" s="7" t="str">
        <f aca="false">IF($E7="","",IF(AND(G7="",N(IFERROR(INDEX(Recetas!$T$6:$T$115,MATCH($E7,Recetas!$A$6:$A$115,0)),1))=0),"—",IF(G7="",IFERROR(INDEX(Recetas!$L$6:$L$115,MATCH($E7,Recetas!$A$6:$A$115,0))&amp;"",""),G7)))</f>
        <v>—</v>
      </c>
      <c r="O7" s="7" t="str">
        <f aca="false">IF($E7="","",IF(AND(H7="",N(IFERROR(INDEX(Recetas!$W$6:$W$115,MATCH($E7,Recetas!$A$6:$A$115,0)),1))=0),"—",IF(H7="",IFERROR(IF(INDEX(Recetas!$M$6:$M$115,MATCH($E7,Recetas!$A$6:$A$115,0))&amp;""="",M7,INDEX(Recetas!$M$6:$M$115,MATCH($E7,Recetas!$A$6:$A$115,0))&amp;""),""),H7)))</f>
        <v>—</v>
      </c>
      <c r="P7" s="9" t="str">
        <f aca="false">IF($E7="","",IFERROR(INDEX(Recetas!$Q$6:$Q$115,MATCH($E7,Recetas!$A$6:$A$115,0)),""))</f>
        <v/>
      </c>
      <c r="Q7" s="10" t="str">
        <f aca="false">IF($E7="","",IFERROR(INDEX(Telas!$I$6:$I$105,MATCH(M7,Telas!$A$6:$A$105,0)),""))</f>
        <v/>
      </c>
      <c r="R7" s="10" t="str">
        <f aca="false">IF($E7="","",IFERROR(IF(ISNUMBER(P7),IF(P7=0,0,P7*INDEX(Telas!$I$6:$I$105,MATCH(M7,Telas!$A$6:$A$105,0))),NA())+IF(ISNUMBER(INDEX(Recetas!$T$6:$T$115,MATCH($E7,Recetas!$A$6:$A$115,0))),IF(INDEX(Recetas!$T$6:$T$115,MATCH($E7,Recetas!$A$6:$A$115,0))=0,0,INDEX(Recetas!$T$6:$T$115,MATCH($E7,Recetas!$A$6:$A$115,0))*INDEX(Telas!$I$6:$I$105,MATCH(N7,Telas!$A$6:$A$105,0))),NA())+IF(ISNUMBER(INDEX(Recetas!$W$6:$W$115,MATCH($E7,Recetas!$A$6:$A$115,0))),IF(INDEX(Recetas!$W$6:$W$115,MATCH($E7,Recetas!$A$6:$A$115,0))=0,0,INDEX(Recetas!$W$6:$W$115,MATCH($E7,Recetas!$A$6:$A$115,0))*INDEX(Telas!$I$6:$I$105,MATCH(O7,Telas!$A$6:$A$105,0))),NA()),""))</f>
        <v/>
      </c>
      <c r="S7" s="10" t="str">
        <f aca="false">IF($E7="","",IFERROR(INDEX(Recetas!$AA$6:$AA$115,MATCH($E7,Recetas!$A$6:$A$115,0))*1,""))</f>
        <v/>
      </c>
      <c r="T7" s="10" t="n">
        <f aca="false">IF($E7="","",IFERROR(INDEX(Recetas!$AB$6:$AB$115,MATCH($E7,Recetas!$A$6:$A$115,0))*1,""))</f>
        <v>2000</v>
      </c>
      <c r="U7" s="10" t="n">
        <f aca="false">IF($E7="","",IFERROR(INDEX(Recetas!$AC$6:$AC$115,MATCH($E7,Recetas!$A$6:$A$115,0))+N(I7),""))</f>
        <v>0</v>
      </c>
      <c r="V7" s="11" t="str">
        <f aca="false">IF($E7="","",IFERROR(R7+S7+T7+U7,""))</f>
        <v/>
      </c>
      <c r="W7" s="11" t="str">
        <f aca="false">IF(ISNUMBER(V7),V7*Parametros!$B$12,"")</f>
        <v/>
      </c>
      <c r="X7" s="30" t="str">
        <f aca="false">IF(AND(ISNUMBER(V7),N(J7)&gt;0),(J7-V7-J7*Parametros!$B$8)/J7,"")</f>
        <v/>
      </c>
      <c r="Y7" s="10" t="str">
        <f aca="false">IF(AND(ISNUMBER(V7),N(J7)&gt;0),J7-V7-J7*Parametros!$B$8,"")</f>
        <v/>
      </c>
      <c r="Z7" s="29" t="str">
        <f aca="false">IF(AND(ISNUMBER(P7),M7&lt;&gt;""),IFERROR(1/(P7*INDEX(Telas!$G$6:$G$105,MATCH(M7,Telas!$A$6:$A$105,0))),""),"")</f>
        <v/>
      </c>
      <c r="AA7" s="7" t="str">
        <f aca="false">IF($E7="","",IF(ISNUMBER(V7),"OK",IF(Q7="","Precio o peso por metro de "&amp;M7&amp;". ","")&amp;IFERROR(INDEX(Recetas!$AG$6:$AG$115,MATCH($E7,Recetas!$A$6:$A$115,0)),"Molde no existe en Recetas.")))</f>
        <v>Precio o peso por metro de . Consumo tela principal (Despiece o Mediciones). Elegir tela principal. Metros impresos. </v>
      </c>
    </row>
    <row r="8" customFormat="false" ht="15" hidden="false" customHeight="false" outlineLevel="0" collapsed="false">
      <c r="A8" s="27" t="s">
        <v>254</v>
      </c>
      <c r="B8" s="27" t="s">
        <v>255</v>
      </c>
      <c r="C8" s="27" t="s">
        <v>248</v>
      </c>
      <c r="D8" s="27" t="n">
        <v>160</v>
      </c>
      <c r="E8" s="27" t="s">
        <v>4</v>
      </c>
      <c r="F8" s="8" t="s">
        <v>120</v>
      </c>
      <c r="G8" s="8" t="s">
        <v>104</v>
      </c>
      <c r="H8" s="8"/>
      <c r="I8" s="15"/>
      <c r="J8" s="15" t="n">
        <v>18403</v>
      </c>
      <c r="K8" s="27" t="s">
        <v>249</v>
      </c>
      <c r="L8" s="27" t="s">
        <v>256</v>
      </c>
      <c r="M8" s="7" t="str">
        <f aca="false">IF($E8="","",IF(F8="",IFERROR(INDEX(Recetas!$K$6:$K$115,MATCH($E8,Recetas!$A$6:$A$115,0))&amp;"",""),F8))</f>
        <v>MONTESIMONE TRAINING (fut pro)</v>
      </c>
      <c r="N8" s="7" t="str">
        <f aca="false">IF($E8="","",IF(AND(G8="",N(IFERROR(INDEX(Recetas!$T$6:$T$115,MATCH($E8,Recetas!$A$6:$A$115,0)),1))=0),"—",IF(G8="",IFERROR(INDEX(Recetas!$L$6:$L$115,MATCH($E8,Recetas!$A$6:$A$115,0))&amp;"",""),G8)))</f>
        <v>MESH</v>
      </c>
      <c r="O8" s="7" t="str">
        <f aca="false">IF($E8="","",IF(AND(H8="",N(IFERROR(INDEX(Recetas!$W$6:$W$115,MATCH($E8,Recetas!$A$6:$A$115,0)),1))=0),"—",IF(H8="",IFERROR(IF(INDEX(Recetas!$M$6:$M$115,MATCH($E8,Recetas!$A$6:$A$115,0))&amp;""="",M8,INDEX(Recetas!$M$6:$M$115,MATCH($E8,Recetas!$A$6:$A$115,0))&amp;""),""),H8)))</f>
        <v>—</v>
      </c>
      <c r="P8" s="9" t="n">
        <f aca="false">IF($E8="","",IFERROR(INDEX(Recetas!$Q$6:$Q$115,MATCH($E8,Recetas!$A$6:$A$115,0)),""))</f>
        <v>0.609137055837563</v>
      </c>
      <c r="Q8" s="10" t="n">
        <f aca="false">IF($E8="","",IFERROR(INDEX(Telas!$I$6:$I$105,MATCH(M8,Telas!$A$6:$A$105,0)),""))</f>
        <v>695.607</v>
      </c>
      <c r="R8" s="10" t="str">
        <f aca="false">IF($E8="","",IFERROR(IF(ISNUMBER(P8),IF(P8=0,0,P8*INDEX(Telas!$I$6:$I$105,MATCH(M8,Telas!$A$6:$A$105,0))),NA())+IF(ISNUMBER(INDEX(Recetas!$T$6:$T$115,MATCH($E8,Recetas!$A$6:$A$115,0))),IF(INDEX(Recetas!$T$6:$T$115,MATCH($E8,Recetas!$A$6:$A$115,0))=0,0,INDEX(Recetas!$T$6:$T$115,MATCH($E8,Recetas!$A$6:$A$115,0))*INDEX(Telas!$I$6:$I$105,MATCH(N8,Telas!$A$6:$A$105,0))),NA())+IF(ISNUMBER(INDEX(Recetas!$W$6:$W$115,MATCH($E8,Recetas!$A$6:$A$115,0))),IF(INDEX(Recetas!$W$6:$W$115,MATCH($E8,Recetas!$A$6:$A$115,0))=0,0,INDEX(Recetas!$W$6:$W$115,MATCH($E8,Recetas!$A$6:$A$115,0))*INDEX(Telas!$I$6:$I$105,MATCH(O8,Telas!$A$6:$A$105,0))),NA()),""))</f>
        <v/>
      </c>
      <c r="S8" s="10" t="n">
        <f aca="false">IF($E8="","",IFERROR(INDEX(Recetas!$AA$6:$AA$115,MATCH($E8,Recetas!$A$6:$A$115,0))*1,""))</f>
        <v>0</v>
      </c>
      <c r="T8" s="10" t="n">
        <f aca="false">IF($E8="","",IFERROR(INDEX(Recetas!$AB$6:$AB$115,MATCH($E8,Recetas!$A$6:$A$115,0))*1,""))</f>
        <v>2000</v>
      </c>
      <c r="U8" s="10" t="n">
        <f aca="false">IF($E8="","",IFERROR(INDEX(Recetas!$AC$6:$AC$115,MATCH($E8,Recetas!$A$6:$A$115,0))+N(I8),""))</f>
        <v>0</v>
      </c>
      <c r="V8" s="11" t="str">
        <f aca="false">IF($E8="","",IFERROR(R8+S8+T8+U8,""))</f>
        <v/>
      </c>
      <c r="W8" s="11" t="str">
        <f aca="false">IF(ISNUMBER(V8),V8*Parametros!$B$12,"")</f>
        <v/>
      </c>
      <c r="X8" s="30" t="str">
        <f aca="false">IF(AND(ISNUMBER(V8),N(J8)&gt;0),(J8-V8-J8*Parametros!$B$8)/J8,"")</f>
        <v/>
      </c>
      <c r="Y8" s="10" t="str">
        <f aca="false">IF(AND(ISNUMBER(V8),N(J8)&gt;0),J8-V8-J8*Parametros!$B$8,"")</f>
        <v/>
      </c>
      <c r="Z8" s="29" t="n">
        <f aca="false">IF(AND(ISNUMBER(P8),M8&lt;&gt;""),IFERROR(1/(P8*INDEX(Telas!$G$6:$G$105,MATCH(M8,Telas!$A$6:$A$105,0))),""),"")</f>
        <v>8.33333333333333</v>
      </c>
      <c r="AA8" s="7" t="str">
        <f aca="false">IF($E8="","",IF(ISNUMBER(V8),"OK",IF(Q8="","Precio o peso por metro de "&amp;M8&amp;". ","")&amp;IFERROR(INDEX(Recetas!$AG$6:$AG$115,MATCH($E8,Recetas!$A$6:$A$115,0)),"Molde no existe en Recetas.")))</f>
        <v>Pesar 1 m de la tela medida (Telas, kg por metro). Consumo Tela 2. </v>
      </c>
    </row>
    <row r="9" customFormat="false" ht="15" hidden="false" customHeight="false" outlineLevel="0" collapsed="false">
      <c r="A9" s="27" t="s">
        <v>257</v>
      </c>
      <c r="B9" s="27" t="s">
        <v>258</v>
      </c>
      <c r="C9" s="27" t="s">
        <v>248</v>
      </c>
      <c r="D9" s="27" t="n">
        <v>139</v>
      </c>
      <c r="E9" s="27"/>
      <c r="F9" s="8"/>
      <c r="G9" s="8"/>
      <c r="H9" s="8"/>
      <c r="I9" s="15"/>
      <c r="J9" s="15" t="n">
        <v>17563</v>
      </c>
      <c r="K9" s="27" t="s">
        <v>249</v>
      </c>
      <c r="L9" s="27" t="s">
        <v>259</v>
      </c>
      <c r="M9" s="7" t="str">
        <f aca="false">IF($E9="","",IF(F9="",IFERROR(INDEX(Recetas!$K$6:$K$115,MATCH($E9,Recetas!$A$6:$A$115,0))&amp;"",""),F9))</f>
        <v/>
      </c>
      <c r="N9" s="7" t="str">
        <f aca="false">IF($E9="","",IF(AND(G9="",N(IFERROR(INDEX(Recetas!$T$6:$T$115,MATCH($E9,Recetas!$A$6:$A$115,0)),1))=0),"—",IF(G9="",IFERROR(INDEX(Recetas!$L$6:$L$115,MATCH($E9,Recetas!$A$6:$A$115,0))&amp;"",""),G9)))</f>
        <v/>
      </c>
      <c r="O9" s="7" t="str">
        <f aca="false">IF($E9="","",IF(AND(H9="",N(IFERROR(INDEX(Recetas!$W$6:$W$115,MATCH($E9,Recetas!$A$6:$A$115,0)),1))=0),"—",IF(H9="",IFERROR(IF(INDEX(Recetas!$M$6:$M$115,MATCH($E9,Recetas!$A$6:$A$115,0))&amp;""="",M9,INDEX(Recetas!$M$6:$M$115,MATCH($E9,Recetas!$A$6:$A$115,0))&amp;""),""),H9)))</f>
        <v/>
      </c>
      <c r="P9" s="9" t="str">
        <f aca="false">IF($E9="","",IFERROR(INDEX(Recetas!$Q$6:$Q$115,MATCH($E9,Recetas!$A$6:$A$115,0)),""))</f>
        <v/>
      </c>
      <c r="Q9" s="10" t="str">
        <f aca="false">IF($E9="","",IFERROR(INDEX(Telas!$I$6:$I$105,MATCH(M9,Telas!$A$6:$A$105,0)),""))</f>
        <v/>
      </c>
      <c r="R9" s="10" t="str">
        <f aca="false">IF($E9="","",IFERROR(IF(ISNUMBER(P9),IF(P9=0,0,P9*INDEX(Telas!$I$6:$I$105,MATCH(M9,Telas!$A$6:$A$105,0))),NA())+IF(ISNUMBER(INDEX(Recetas!$T$6:$T$115,MATCH($E9,Recetas!$A$6:$A$115,0))),IF(INDEX(Recetas!$T$6:$T$115,MATCH($E9,Recetas!$A$6:$A$115,0))=0,0,INDEX(Recetas!$T$6:$T$115,MATCH($E9,Recetas!$A$6:$A$115,0))*INDEX(Telas!$I$6:$I$105,MATCH(N9,Telas!$A$6:$A$105,0))),NA())+IF(ISNUMBER(INDEX(Recetas!$W$6:$W$115,MATCH($E9,Recetas!$A$6:$A$115,0))),IF(INDEX(Recetas!$W$6:$W$115,MATCH($E9,Recetas!$A$6:$A$115,0))=0,0,INDEX(Recetas!$W$6:$W$115,MATCH($E9,Recetas!$A$6:$A$115,0))*INDEX(Telas!$I$6:$I$105,MATCH(O9,Telas!$A$6:$A$105,0))),NA()),""))</f>
        <v/>
      </c>
      <c r="S9" s="10" t="str">
        <f aca="false">IF($E9="","",IFERROR(INDEX(Recetas!$AA$6:$AA$115,MATCH($E9,Recetas!$A$6:$A$115,0))*1,""))</f>
        <v/>
      </c>
      <c r="T9" s="10" t="str">
        <f aca="false">IF($E9="","",IFERROR(INDEX(Recetas!$AB$6:$AB$115,MATCH($E9,Recetas!$A$6:$A$115,0))*1,""))</f>
        <v/>
      </c>
      <c r="U9" s="10" t="str">
        <f aca="false">IF($E9="","",IFERROR(INDEX(Recetas!$AC$6:$AC$115,MATCH($E9,Recetas!$A$6:$A$115,0))+N(I9),""))</f>
        <v/>
      </c>
      <c r="V9" s="11" t="str">
        <f aca="false">IF($E9="","",IFERROR(R9+S9+T9+U9,""))</f>
        <v/>
      </c>
      <c r="W9" s="11" t="str">
        <f aca="false">IF(ISNUMBER(V9),V9*Parametros!$B$12,"")</f>
        <v/>
      </c>
      <c r="X9" s="30" t="str">
        <f aca="false">IF(AND(ISNUMBER(V9),N(J9)&gt;0),(J9-V9-J9*Parametros!$B$8)/J9,"")</f>
        <v/>
      </c>
      <c r="Y9" s="10" t="str">
        <f aca="false">IF(AND(ISNUMBER(V9),N(J9)&gt;0),J9-V9-J9*Parametros!$B$8,"")</f>
        <v/>
      </c>
      <c r="Z9" s="29" t="str">
        <f aca="false">IF(AND(ISNUMBER(P9),M9&lt;&gt;""),IFERROR(1/(P9*INDEX(Telas!$G$6:$G$105,MATCH(M9,Telas!$A$6:$A$105,0))),""),"")</f>
        <v/>
      </c>
      <c r="AA9" s="7" t="str">
        <f aca="false">IF($E9="","",IF(ISNUMBER(V9),"OK",IF(Q9="","Precio o peso por metro de "&amp;M9&amp;". ","")&amp;IFERROR(INDEX(Recetas!$AG$6:$AG$115,MATCH($E9,Recetas!$A$6:$A$115,0)),"Molde no existe en Recetas.")))</f>
        <v/>
      </c>
    </row>
    <row r="10" customFormat="false" ht="15" hidden="false" customHeight="false" outlineLevel="0" collapsed="false">
      <c r="A10" s="27" t="s">
        <v>260</v>
      </c>
      <c r="B10" s="27" t="s">
        <v>261</v>
      </c>
      <c r="C10" s="27" t="s">
        <v>248</v>
      </c>
      <c r="D10" s="27" t="n">
        <v>109</v>
      </c>
      <c r="E10" s="27" t="s">
        <v>4</v>
      </c>
      <c r="F10" s="8" t="s">
        <v>120</v>
      </c>
      <c r="G10" s="8" t="s">
        <v>104</v>
      </c>
      <c r="H10" s="8"/>
      <c r="I10" s="15"/>
      <c r="J10" s="15" t="n">
        <v>18403</v>
      </c>
      <c r="K10" s="27" t="s">
        <v>249</v>
      </c>
      <c r="L10" s="27" t="s">
        <v>262</v>
      </c>
      <c r="M10" s="7" t="str">
        <f aca="false">IF($E10="","",IF(F10="",IFERROR(INDEX(Recetas!$K$6:$K$115,MATCH($E10,Recetas!$A$6:$A$115,0))&amp;"",""),F10))</f>
        <v>MONTESIMONE TRAINING (fut pro)</v>
      </c>
      <c r="N10" s="7" t="str">
        <f aca="false">IF($E10="","",IF(AND(G10="",N(IFERROR(INDEX(Recetas!$T$6:$T$115,MATCH($E10,Recetas!$A$6:$A$115,0)),1))=0),"—",IF(G10="",IFERROR(INDEX(Recetas!$L$6:$L$115,MATCH($E10,Recetas!$A$6:$A$115,0))&amp;"",""),G10)))</f>
        <v>MESH</v>
      </c>
      <c r="O10" s="7" t="str">
        <f aca="false">IF($E10="","",IF(AND(H10="",N(IFERROR(INDEX(Recetas!$W$6:$W$115,MATCH($E10,Recetas!$A$6:$A$115,0)),1))=0),"—",IF(H10="",IFERROR(IF(INDEX(Recetas!$M$6:$M$115,MATCH($E10,Recetas!$A$6:$A$115,0))&amp;""="",M10,INDEX(Recetas!$M$6:$M$115,MATCH($E10,Recetas!$A$6:$A$115,0))&amp;""),""),H10)))</f>
        <v>—</v>
      </c>
      <c r="P10" s="9" t="n">
        <f aca="false">IF($E10="","",IFERROR(INDEX(Recetas!$Q$6:$Q$115,MATCH($E10,Recetas!$A$6:$A$115,0)),""))</f>
        <v>0.609137055837563</v>
      </c>
      <c r="Q10" s="10" t="n">
        <f aca="false">IF($E10="","",IFERROR(INDEX(Telas!$I$6:$I$105,MATCH(M10,Telas!$A$6:$A$105,0)),""))</f>
        <v>695.607</v>
      </c>
      <c r="R10" s="10" t="str">
        <f aca="false">IF($E10="","",IFERROR(IF(ISNUMBER(P10),IF(P10=0,0,P10*INDEX(Telas!$I$6:$I$105,MATCH(M10,Telas!$A$6:$A$105,0))),NA())+IF(ISNUMBER(INDEX(Recetas!$T$6:$T$115,MATCH($E10,Recetas!$A$6:$A$115,0))),IF(INDEX(Recetas!$T$6:$T$115,MATCH($E10,Recetas!$A$6:$A$115,0))=0,0,INDEX(Recetas!$T$6:$T$115,MATCH($E10,Recetas!$A$6:$A$115,0))*INDEX(Telas!$I$6:$I$105,MATCH(N10,Telas!$A$6:$A$105,0))),NA())+IF(ISNUMBER(INDEX(Recetas!$W$6:$W$115,MATCH($E10,Recetas!$A$6:$A$115,0))),IF(INDEX(Recetas!$W$6:$W$115,MATCH($E10,Recetas!$A$6:$A$115,0))=0,0,INDEX(Recetas!$W$6:$W$115,MATCH($E10,Recetas!$A$6:$A$115,0))*INDEX(Telas!$I$6:$I$105,MATCH(O10,Telas!$A$6:$A$105,0))),NA()),""))</f>
        <v/>
      </c>
      <c r="S10" s="10" t="n">
        <f aca="false">IF($E10="","",IFERROR(INDEX(Recetas!$AA$6:$AA$115,MATCH($E10,Recetas!$A$6:$A$115,0))*1,""))</f>
        <v>0</v>
      </c>
      <c r="T10" s="10" t="n">
        <f aca="false">IF($E10="","",IFERROR(INDEX(Recetas!$AB$6:$AB$115,MATCH($E10,Recetas!$A$6:$A$115,0))*1,""))</f>
        <v>2000</v>
      </c>
      <c r="U10" s="10" t="n">
        <f aca="false">IF($E10="","",IFERROR(INDEX(Recetas!$AC$6:$AC$115,MATCH($E10,Recetas!$A$6:$A$115,0))+N(I10),""))</f>
        <v>0</v>
      </c>
      <c r="V10" s="11" t="str">
        <f aca="false">IF($E10="","",IFERROR(R10+S10+T10+U10,""))</f>
        <v/>
      </c>
      <c r="W10" s="11" t="str">
        <f aca="false">IF(ISNUMBER(V10),V10*Parametros!$B$12,"")</f>
        <v/>
      </c>
      <c r="X10" s="30" t="str">
        <f aca="false">IF(AND(ISNUMBER(V10),N(J10)&gt;0),(J10-V10-J10*Parametros!$B$8)/J10,"")</f>
        <v/>
      </c>
      <c r="Y10" s="10" t="str">
        <f aca="false">IF(AND(ISNUMBER(V10),N(J10)&gt;0),J10-V10-J10*Parametros!$B$8,"")</f>
        <v/>
      </c>
      <c r="Z10" s="29" t="n">
        <f aca="false">IF(AND(ISNUMBER(P10),M10&lt;&gt;""),IFERROR(1/(P10*INDEX(Telas!$G$6:$G$105,MATCH(M10,Telas!$A$6:$A$105,0))),""),"")</f>
        <v>8.33333333333333</v>
      </c>
      <c r="AA10" s="7" t="str">
        <f aca="false">IF($E10="","",IF(ISNUMBER(V10),"OK",IF(Q10="","Precio o peso por metro de "&amp;M10&amp;". ","")&amp;IFERROR(INDEX(Recetas!$AG$6:$AG$115,MATCH($E10,Recetas!$A$6:$A$115,0)),"Molde no existe en Recetas.")))</f>
        <v>Pesar 1 m de la tela medida (Telas, kg por metro). Consumo Tela 2. </v>
      </c>
    </row>
    <row r="11" customFormat="false" ht="15" hidden="false" customHeight="false" outlineLevel="0" collapsed="false">
      <c r="A11" s="27" t="s">
        <v>263</v>
      </c>
      <c r="B11" s="27" t="s">
        <v>264</v>
      </c>
      <c r="C11" s="27" t="s">
        <v>248</v>
      </c>
      <c r="D11" s="27" t="n">
        <v>109</v>
      </c>
      <c r="E11" s="27" t="s">
        <v>108</v>
      </c>
      <c r="F11" s="8"/>
      <c r="G11" s="8"/>
      <c r="H11" s="8"/>
      <c r="I11" s="15"/>
      <c r="J11" s="15" t="n">
        <v>16589</v>
      </c>
      <c r="K11" s="27" t="s">
        <v>249</v>
      </c>
      <c r="L11" s="27" t="s">
        <v>265</v>
      </c>
      <c r="M11" s="7" t="str">
        <f aca="false">IF($E11="","",IF(F11="",IFERROR(INDEX(Recetas!$K$6:$K$115,MATCH($E11,Recetas!$A$6:$A$115,0))&amp;"",""),F11))</f>
        <v/>
      </c>
      <c r="N11" s="7" t="str">
        <f aca="false">IF($E11="","",IF(AND(G11="",N(IFERROR(INDEX(Recetas!$T$6:$T$115,MATCH($E11,Recetas!$A$6:$A$115,0)),1))=0),"—",IF(G11="",IFERROR(INDEX(Recetas!$L$6:$L$115,MATCH($E11,Recetas!$A$6:$A$115,0))&amp;"",""),G11)))</f>
        <v>—</v>
      </c>
      <c r="O11" s="7" t="str">
        <f aca="false">IF($E11="","",IF(AND(H11="",N(IFERROR(INDEX(Recetas!$W$6:$W$115,MATCH($E11,Recetas!$A$6:$A$115,0)),1))=0),"—",IF(H11="",IFERROR(IF(INDEX(Recetas!$M$6:$M$115,MATCH($E11,Recetas!$A$6:$A$115,0))&amp;""="",M11,INDEX(Recetas!$M$6:$M$115,MATCH($E11,Recetas!$A$6:$A$115,0))&amp;""),""),H11)))</f>
        <v>—</v>
      </c>
      <c r="P11" s="9" t="str">
        <f aca="false">IF($E11="","",IFERROR(INDEX(Recetas!$Q$6:$Q$115,MATCH($E11,Recetas!$A$6:$A$115,0)),""))</f>
        <v/>
      </c>
      <c r="Q11" s="10" t="str">
        <f aca="false">IF($E11="","",IFERROR(INDEX(Telas!$I$6:$I$105,MATCH(M11,Telas!$A$6:$A$105,0)),""))</f>
        <v/>
      </c>
      <c r="R11" s="10" t="str">
        <f aca="false">IF($E11="","",IFERROR(IF(ISNUMBER(P11),IF(P11=0,0,P11*INDEX(Telas!$I$6:$I$105,MATCH(M11,Telas!$A$6:$A$105,0))),NA())+IF(ISNUMBER(INDEX(Recetas!$T$6:$T$115,MATCH($E11,Recetas!$A$6:$A$115,0))),IF(INDEX(Recetas!$T$6:$T$115,MATCH($E11,Recetas!$A$6:$A$115,0))=0,0,INDEX(Recetas!$T$6:$T$115,MATCH($E11,Recetas!$A$6:$A$115,0))*INDEX(Telas!$I$6:$I$105,MATCH(N11,Telas!$A$6:$A$105,0))),NA())+IF(ISNUMBER(INDEX(Recetas!$W$6:$W$115,MATCH($E11,Recetas!$A$6:$A$115,0))),IF(INDEX(Recetas!$W$6:$W$115,MATCH($E11,Recetas!$A$6:$A$115,0))=0,0,INDEX(Recetas!$W$6:$W$115,MATCH($E11,Recetas!$A$6:$A$115,0))*INDEX(Telas!$I$6:$I$105,MATCH(O11,Telas!$A$6:$A$105,0))),NA()),""))</f>
        <v/>
      </c>
      <c r="S11" s="10" t="str">
        <f aca="false">IF($E11="","",IFERROR(INDEX(Recetas!$AA$6:$AA$115,MATCH($E11,Recetas!$A$6:$A$115,0))*1,""))</f>
        <v/>
      </c>
      <c r="T11" s="10" t="n">
        <f aca="false">IF($E11="","",IFERROR(INDEX(Recetas!$AB$6:$AB$115,MATCH($E11,Recetas!$A$6:$A$115,0))*1,""))</f>
        <v>2000</v>
      </c>
      <c r="U11" s="10" t="n">
        <f aca="false">IF($E11="","",IFERROR(INDEX(Recetas!$AC$6:$AC$115,MATCH($E11,Recetas!$A$6:$A$115,0))+N(I11),""))</f>
        <v>0</v>
      </c>
      <c r="V11" s="11" t="str">
        <f aca="false">IF($E11="","",IFERROR(R11+S11+T11+U11,""))</f>
        <v/>
      </c>
      <c r="W11" s="11" t="str">
        <f aca="false">IF(ISNUMBER(V11),V11*Parametros!$B$12,"")</f>
        <v/>
      </c>
      <c r="X11" s="30" t="str">
        <f aca="false">IF(AND(ISNUMBER(V11),N(J11)&gt;0),(J11-V11-J11*Parametros!$B$8)/J11,"")</f>
        <v/>
      </c>
      <c r="Y11" s="10" t="str">
        <f aca="false">IF(AND(ISNUMBER(V11),N(J11)&gt;0),J11-V11-J11*Parametros!$B$8,"")</f>
        <v/>
      </c>
      <c r="Z11" s="29" t="str">
        <f aca="false">IF(AND(ISNUMBER(P11),M11&lt;&gt;""),IFERROR(1/(P11*INDEX(Telas!$G$6:$G$105,MATCH(M11,Telas!$A$6:$A$105,0))),""),"")</f>
        <v/>
      </c>
      <c r="AA11" s="7" t="str">
        <f aca="false">IF($E11="","",IF(ISNUMBER(V11),"OK",IF(Q11="","Precio o peso por metro de "&amp;M11&amp;". ","")&amp;IFERROR(INDEX(Recetas!$AG$6:$AG$115,MATCH($E11,Recetas!$A$6:$A$115,0)),"Molde no existe en Recetas.")))</f>
        <v>Precio o peso por metro de . Consumo tela principal (Despiece o Mediciones). Elegir tela principal. Metros impresos. </v>
      </c>
    </row>
    <row r="12" customFormat="false" ht="15" hidden="false" customHeight="false" outlineLevel="0" collapsed="false">
      <c r="A12" s="27" t="s">
        <v>266</v>
      </c>
      <c r="B12" s="27" t="s">
        <v>267</v>
      </c>
      <c r="C12" s="27" t="s">
        <v>268</v>
      </c>
      <c r="D12" s="27" t="n">
        <v>109</v>
      </c>
      <c r="E12" s="27"/>
      <c r="F12" s="8"/>
      <c r="G12" s="8"/>
      <c r="H12" s="8"/>
      <c r="I12" s="15"/>
      <c r="J12" s="15" t="n">
        <v>17004</v>
      </c>
      <c r="K12" s="27" t="s">
        <v>249</v>
      </c>
      <c r="L12" s="27" t="s">
        <v>259</v>
      </c>
      <c r="M12" s="7" t="str">
        <f aca="false">IF($E12="","",IF(F12="",IFERROR(INDEX(Recetas!$K$6:$K$115,MATCH($E12,Recetas!$A$6:$A$115,0))&amp;"",""),F12))</f>
        <v/>
      </c>
      <c r="N12" s="7" t="str">
        <f aca="false">IF($E12="","",IF(AND(G12="",N(IFERROR(INDEX(Recetas!$T$6:$T$115,MATCH($E12,Recetas!$A$6:$A$115,0)),1))=0),"—",IF(G12="",IFERROR(INDEX(Recetas!$L$6:$L$115,MATCH($E12,Recetas!$A$6:$A$115,0))&amp;"",""),G12)))</f>
        <v/>
      </c>
      <c r="O12" s="7" t="str">
        <f aca="false">IF($E12="","",IF(AND(H12="",N(IFERROR(INDEX(Recetas!$W$6:$W$115,MATCH($E12,Recetas!$A$6:$A$115,0)),1))=0),"—",IF(H12="",IFERROR(IF(INDEX(Recetas!$M$6:$M$115,MATCH($E12,Recetas!$A$6:$A$115,0))&amp;""="",M12,INDEX(Recetas!$M$6:$M$115,MATCH($E12,Recetas!$A$6:$A$115,0))&amp;""),""),H12)))</f>
        <v/>
      </c>
      <c r="P12" s="9" t="str">
        <f aca="false">IF($E12="","",IFERROR(INDEX(Recetas!$Q$6:$Q$115,MATCH($E12,Recetas!$A$6:$A$115,0)),""))</f>
        <v/>
      </c>
      <c r="Q12" s="10" t="str">
        <f aca="false">IF($E12="","",IFERROR(INDEX(Telas!$I$6:$I$105,MATCH(M12,Telas!$A$6:$A$105,0)),""))</f>
        <v/>
      </c>
      <c r="R12" s="10" t="str">
        <f aca="false">IF($E12="","",IFERROR(IF(ISNUMBER(P12),IF(P12=0,0,P12*INDEX(Telas!$I$6:$I$105,MATCH(M12,Telas!$A$6:$A$105,0))),NA())+IF(ISNUMBER(INDEX(Recetas!$T$6:$T$115,MATCH($E12,Recetas!$A$6:$A$115,0))),IF(INDEX(Recetas!$T$6:$T$115,MATCH($E12,Recetas!$A$6:$A$115,0))=0,0,INDEX(Recetas!$T$6:$T$115,MATCH($E12,Recetas!$A$6:$A$115,0))*INDEX(Telas!$I$6:$I$105,MATCH(N12,Telas!$A$6:$A$105,0))),NA())+IF(ISNUMBER(INDEX(Recetas!$W$6:$W$115,MATCH($E12,Recetas!$A$6:$A$115,0))),IF(INDEX(Recetas!$W$6:$W$115,MATCH($E12,Recetas!$A$6:$A$115,0))=0,0,INDEX(Recetas!$W$6:$W$115,MATCH($E12,Recetas!$A$6:$A$115,0))*INDEX(Telas!$I$6:$I$105,MATCH(O12,Telas!$A$6:$A$105,0))),NA()),""))</f>
        <v/>
      </c>
      <c r="S12" s="10" t="str">
        <f aca="false">IF($E12="","",IFERROR(INDEX(Recetas!$AA$6:$AA$115,MATCH($E12,Recetas!$A$6:$A$115,0))*1,""))</f>
        <v/>
      </c>
      <c r="T12" s="10" t="str">
        <f aca="false">IF($E12="","",IFERROR(INDEX(Recetas!$AB$6:$AB$115,MATCH($E12,Recetas!$A$6:$A$115,0))*1,""))</f>
        <v/>
      </c>
      <c r="U12" s="10" t="str">
        <f aca="false">IF($E12="","",IFERROR(INDEX(Recetas!$AC$6:$AC$115,MATCH($E12,Recetas!$A$6:$A$115,0))+N(I12),""))</f>
        <v/>
      </c>
      <c r="V12" s="11" t="str">
        <f aca="false">IF($E12="","",IFERROR(R12+S12+T12+U12,""))</f>
        <v/>
      </c>
      <c r="W12" s="11" t="str">
        <f aca="false">IF(ISNUMBER(V12),V12*Parametros!$B$12,"")</f>
        <v/>
      </c>
      <c r="X12" s="30" t="str">
        <f aca="false">IF(AND(ISNUMBER(V12),N(J12)&gt;0),(J12-V12-J12*Parametros!$B$8)/J12,"")</f>
        <v/>
      </c>
      <c r="Y12" s="10" t="str">
        <f aca="false">IF(AND(ISNUMBER(V12),N(J12)&gt;0),J12-V12-J12*Parametros!$B$8,"")</f>
        <v/>
      </c>
      <c r="Z12" s="29" t="str">
        <f aca="false">IF(AND(ISNUMBER(P12),M12&lt;&gt;""),IFERROR(1/(P12*INDEX(Telas!$G$6:$G$105,MATCH(M12,Telas!$A$6:$A$105,0))),""),"")</f>
        <v/>
      </c>
      <c r="AA12" s="7" t="str">
        <f aca="false">IF($E12="","",IF(ISNUMBER(V12),"OK",IF(Q12="","Precio o peso por metro de "&amp;M12&amp;". ","")&amp;IFERROR(INDEX(Recetas!$AG$6:$AG$115,MATCH($E12,Recetas!$A$6:$A$115,0)),"Molde no existe en Recetas.")))</f>
        <v/>
      </c>
    </row>
    <row r="13" customFormat="false" ht="15" hidden="false" customHeight="false" outlineLevel="0" collapsed="false">
      <c r="A13" s="27" t="s">
        <v>269</v>
      </c>
      <c r="B13" s="27" t="s">
        <v>270</v>
      </c>
      <c r="C13" s="27" t="s">
        <v>248</v>
      </c>
      <c r="D13" s="27" t="n">
        <v>100</v>
      </c>
      <c r="E13" s="27"/>
      <c r="F13" s="8"/>
      <c r="G13" s="8"/>
      <c r="H13" s="8"/>
      <c r="I13" s="15"/>
      <c r="J13" s="15" t="n">
        <v>25714</v>
      </c>
      <c r="K13" s="27" t="s">
        <v>249</v>
      </c>
      <c r="L13" s="27" t="s">
        <v>259</v>
      </c>
      <c r="M13" s="7" t="str">
        <f aca="false">IF($E13="","",IF(F13="",IFERROR(INDEX(Recetas!$K$6:$K$115,MATCH($E13,Recetas!$A$6:$A$115,0))&amp;"",""),F13))</f>
        <v/>
      </c>
      <c r="N13" s="7" t="str">
        <f aca="false">IF($E13="","",IF(AND(G13="",N(IFERROR(INDEX(Recetas!$T$6:$T$115,MATCH($E13,Recetas!$A$6:$A$115,0)),1))=0),"—",IF(G13="",IFERROR(INDEX(Recetas!$L$6:$L$115,MATCH($E13,Recetas!$A$6:$A$115,0))&amp;"",""),G13)))</f>
        <v/>
      </c>
      <c r="O13" s="7" t="str">
        <f aca="false">IF($E13="","",IF(AND(H13="",N(IFERROR(INDEX(Recetas!$W$6:$W$115,MATCH($E13,Recetas!$A$6:$A$115,0)),1))=0),"—",IF(H13="",IFERROR(IF(INDEX(Recetas!$M$6:$M$115,MATCH($E13,Recetas!$A$6:$A$115,0))&amp;""="",M13,INDEX(Recetas!$M$6:$M$115,MATCH($E13,Recetas!$A$6:$A$115,0))&amp;""),""),H13)))</f>
        <v/>
      </c>
      <c r="P13" s="9" t="str">
        <f aca="false">IF($E13="","",IFERROR(INDEX(Recetas!$Q$6:$Q$115,MATCH($E13,Recetas!$A$6:$A$115,0)),""))</f>
        <v/>
      </c>
      <c r="Q13" s="10" t="str">
        <f aca="false">IF($E13="","",IFERROR(INDEX(Telas!$I$6:$I$105,MATCH(M13,Telas!$A$6:$A$105,0)),""))</f>
        <v/>
      </c>
      <c r="R13" s="10" t="str">
        <f aca="false">IF($E13="","",IFERROR(IF(ISNUMBER(P13),IF(P13=0,0,P13*INDEX(Telas!$I$6:$I$105,MATCH(M13,Telas!$A$6:$A$105,0))),NA())+IF(ISNUMBER(INDEX(Recetas!$T$6:$T$115,MATCH($E13,Recetas!$A$6:$A$115,0))),IF(INDEX(Recetas!$T$6:$T$115,MATCH($E13,Recetas!$A$6:$A$115,0))=0,0,INDEX(Recetas!$T$6:$T$115,MATCH($E13,Recetas!$A$6:$A$115,0))*INDEX(Telas!$I$6:$I$105,MATCH(N13,Telas!$A$6:$A$105,0))),NA())+IF(ISNUMBER(INDEX(Recetas!$W$6:$W$115,MATCH($E13,Recetas!$A$6:$A$115,0))),IF(INDEX(Recetas!$W$6:$W$115,MATCH($E13,Recetas!$A$6:$A$115,0))=0,0,INDEX(Recetas!$W$6:$W$115,MATCH($E13,Recetas!$A$6:$A$115,0))*INDEX(Telas!$I$6:$I$105,MATCH(O13,Telas!$A$6:$A$105,0))),NA()),""))</f>
        <v/>
      </c>
      <c r="S13" s="10" t="str">
        <f aca="false">IF($E13="","",IFERROR(INDEX(Recetas!$AA$6:$AA$115,MATCH($E13,Recetas!$A$6:$A$115,0))*1,""))</f>
        <v/>
      </c>
      <c r="T13" s="10" t="str">
        <f aca="false">IF($E13="","",IFERROR(INDEX(Recetas!$AB$6:$AB$115,MATCH($E13,Recetas!$A$6:$A$115,0))*1,""))</f>
        <v/>
      </c>
      <c r="U13" s="10" t="str">
        <f aca="false">IF($E13="","",IFERROR(INDEX(Recetas!$AC$6:$AC$115,MATCH($E13,Recetas!$A$6:$A$115,0))+N(I13),""))</f>
        <v/>
      </c>
      <c r="V13" s="11" t="str">
        <f aca="false">IF($E13="","",IFERROR(R13+S13+T13+U13,""))</f>
        <v/>
      </c>
      <c r="W13" s="11" t="str">
        <f aca="false">IF(ISNUMBER(V13),V13*Parametros!$B$12,"")</f>
        <v/>
      </c>
      <c r="X13" s="30" t="str">
        <f aca="false">IF(AND(ISNUMBER(V13),N(J13)&gt;0),(J13-V13-J13*Parametros!$B$8)/J13,"")</f>
        <v/>
      </c>
      <c r="Y13" s="10" t="str">
        <f aca="false">IF(AND(ISNUMBER(V13),N(J13)&gt;0),J13-V13-J13*Parametros!$B$8,"")</f>
        <v/>
      </c>
      <c r="Z13" s="29" t="str">
        <f aca="false">IF(AND(ISNUMBER(P13),M13&lt;&gt;""),IFERROR(1/(P13*INDEX(Telas!$G$6:$G$105,MATCH(M13,Telas!$A$6:$A$105,0))),""),"")</f>
        <v/>
      </c>
      <c r="AA13" s="7" t="str">
        <f aca="false">IF($E13="","",IF(ISNUMBER(V13),"OK",IF(Q13="","Precio o peso por metro de "&amp;M13&amp;". ","")&amp;IFERROR(INDEX(Recetas!$AG$6:$AG$115,MATCH($E13,Recetas!$A$6:$A$115,0)),"Molde no existe en Recetas.")))</f>
        <v/>
      </c>
    </row>
    <row r="14" customFormat="false" ht="15" hidden="false" customHeight="false" outlineLevel="0" collapsed="false">
      <c r="A14" s="27" t="s">
        <v>271</v>
      </c>
      <c r="B14" s="27" t="s">
        <v>272</v>
      </c>
      <c r="C14" s="27" t="s">
        <v>268</v>
      </c>
      <c r="D14" s="27" t="n">
        <v>99</v>
      </c>
      <c r="E14" s="27"/>
      <c r="F14" s="8"/>
      <c r="G14" s="8"/>
      <c r="H14" s="8"/>
      <c r="I14" s="15"/>
      <c r="J14" s="15" t="n">
        <v>18729</v>
      </c>
      <c r="K14" s="27" t="s">
        <v>249</v>
      </c>
      <c r="L14" s="27" t="s">
        <v>259</v>
      </c>
      <c r="M14" s="7" t="str">
        <f aca="false">IF($E14="","",IF(F14="",IFERROR(INDEX(Recetas!$K$6:$K$115,MATCH($E14,Recetas!$A$6:$A$115,0))&amp;"",""),F14))</f>
        <v/>
      </c>
      <c r="N14" s="7" t="str">
        <f aca="false">IF($E14="","",IF(AND(G14="",N(IFERROR(INDEX(Recetas!$T$6:$T$115,MATCH($E14,Recetas!$A$6:$A$115,0)),1))=0),"—",IF(G14="",IFERROR(INDEX(Recetas!$L$6:$L$115,MATCH($E14,Recetas!$A$6:$A$115,0))&amp;"",""),G14)))</f>
        <v/>
      </c>
      <c r="O14" s="7" t="str">
        <f aca="false">IF($E14="","",IF(AND(H14="",N(IFERROR(INDEX(Recetas!$W$6:$W$115,MATCH($E14,Recetas!$A$6:$A$115,0)),1))=0),"—",IF(H14="",IFERROR(IF(INDEX(Recetas!$M$6:$M$115,MATCH($E14,Recetas!$A$6:$A$115,0))&amp;""="",M14,INDEX(Recetas!$M$6:$M$115,MATCH($E14,Recetas!$A$6:$A$115,0))&amp;""),""),H14)))</f>
        <v/>
      </c>
      <c r="P14" s="9" t="str">
        <f aca="false">IF($E14="","",IFERROR(INDEX(Recetas!$Q$6:$Q$115,MATCH($E14,Recetas!$A$6:$A$115,0)),""))</f>
        <v/>
      </c>
      <c r="Q14" s="10" t="str">
        <f aca="false">IF($E14="","",IFERROR(INDEX(Telas!$I$6:$I$105,MATCH(M14,Telas!$A$6:$A$105,0)),""))</f>
        <v/>
      </c>
      <c r="R14" s="10" t="str">
        <f aca="false">IF($E14="","",IFERROR(IF(ISNUMBER(P14),IF(P14=0,0,P14*INDEX(Telas!$I$6:$I$105,MATCH(M14,Telas!$A$6:$A$105,0))),NA())+IF(ISNUMBER(INDEX(Recetas!$T$6:$T$115,MATCH($E14,Recetas!$A$6:$A$115,0))),IF(INDEX(Recetas!$T$6:$T$115,MATCH($E14,Recetas!$A$6:$A$115,0))=0,0,INDEX(Recetas!$T$6:$T$115,MATCH($E14,Recetas!$A$6:$A$115,0))*INDEX(Telas!$I$6:$I$105,MATCH(N14,Telas!$A$6:$A$105,0))),NA())+IF(ISNUMBER(INDEX(Recetas!$W$6:$W$115,MATCH($E14,Recetas!$A$6:$A$115,0))),IF(INDEX(Recetas!$W$6:$W$115,MATCH($E14,Recetas!$A$6:$A$115,0))=0,0,INDEX(Recetas!$W$6:$W$115,MATCH($E14,Recetas!$A$6:$A$115,0))*INDEX(Telas!$I$6:$I$105,MATCH(O14,Telas!$A$6:$A$105,0))),NA()),""))</f>
        <v/>
      </c>
      <c r="S14" s="10" t="str">
        <f aca="false">IF($E14="","",IFERROR(INDEX(Recetas!$AA$6:$AA$115,MATCH($E14,Recetas!$A$6:$A$115,0))*1,""))</f>
        <v/>
      </c>
      <c r="T14" s="10" t="str">
        <f aca="false">IF($E14="","",IFERROR(INDEX(Recetas!$AB$6:$AB$115,MATCH($E14,Recetas!$A$6:$A$115,0))*1,""))</f>
        <v/>
      </c>
      <c r="U14" s="10" t="str">
        <f aca="false">IF($E14="","",IFERROR(INDEX(Recetas!$AC$6:$AC$115,MATCH($E14,Recetas!$A$6:$A$115,0))+N(I14),""))</f>
        <v/>
      </c>
      <c r="V14" s="11" t="str">
        <f aca="false">IF($E14="","",IFERROR(R14+S14+T14+U14,""))</f>
        <v/>
      </c>
      <c r="W14" s="11" t="str">
        <f aca="false">IF(ISNUMBER(V14),V14*Parametros!$B$12,"")</f>
        <v/>
      </c>
      <c r="X14" s="30" t="str">
        <f aca="false">IF(AND(ISNUMBER(V14),N(J14)&gt;0),(J14-V14-J14*Parametros!$B$8)/J14,"")</f>
        <v/>
      </c>
      <c r="Y14" s="10" t="str">
        <f aca="false">IF(AND(ISNUMBER(V14),N(J14)&gt;0),J14-V14-J14*Parametros!$B$8,"")</f>
        <v/>
      </c>
      <c r="Z14" s="29" t="str">
        <f aca="false">IF(AND(ISNUMBER(P14),M14&lt;&gt;""),IFERROR(1/(P14*INDEX(Telas!$G$6:$G$105,MATCH(M14,Telas!$A$6:$A$105,0))),""),"")</f>
        <v/>
      </c>
      <c r="AA14" s="7" t="str">
        <f aca="false">IF($E14="","",IF(ISNUMBER(V14),"OK",IF(Q14="","Precio o peso por metro de "&amp;M14&amp;". ","")&amp;IFERROR(INDEX(Recetas!$AG$6:$AG$115,MATCH($E14,Recetas!$A$6:$A$115,0)),"Molde no existe en Recetas.")))</f>
        <v/>
      </c>
    </row>
    <row r="15" customFormat="false" ht="15" hidden="false" customHeight="false" outlineLevel="0" collapsed="false">
      <c r="A15" s="27" t="s">
        <v>273</v>
      </c>
      <c r="B15" s="27" t="s">
        <v>274</v>
      </c>
      <c r="C15" s="27" t="s">
        <v>248</v>
      </c>
      <c r="D15" s="27" t="n">
        <v>96</v>
      </c>
      <c r="E15" s="27"/>
      <c r="F15" s="8"/>
      <c r="G15" s="8"/>
      <c r="H15" s="8"/>
      <c r="I15" s="15"/>
      <c r="J15" s="15" t="n">
        <v>15588</v>
      </c>
      <c r="K15" s="27" t="s">
        <v>249</v>
      </c>
      <c r="L15" s="27" t="s">
        <v>259</v>
      </c>
      <c r="M15" s="7" t="str">
        <f aca="false">IF($E15="","",IF(F15="",IFERROR(INDEX(Recetas!$K$6:$K$115,MATCH($E15,Recetas!$A$6:$A$115,0))&amp;"",""),F15))</f>
        <v/>
      </c>
      <c r="N15" s="7" t="str">
        <f aca="false">IF($E15="","",IF(AND(G15="",N(IFERROR(INDEX(Recetas!$T$6:$T$115,MATCH($E15,Recetas!$A$6:$A$115,0)),1))=0),"—",IF(G15="",IFERROR(INDEX(Recetas!$L$6:$L$115,MATCH($E15,Recetas!$A$6:$A$115,0))&amp;"",""),G15)))</f>
        <v/>
      </c>
      <c r="O15" s="7" t="str">
        <f aca="false">IF($E15="","",IF(AND(H15="",N(IFERROR(INDEX(Recetas!$W$6:$W$115,MATCH($E15,Recetas!$A$6:$A$115,0)),1))=0),"—",IF(H15="",IFERROR(IF(INDEX(Recetas!$M$6:$M$115,MATCH($E15,Recetas!$A$6:$A$115,0))&amp;""="",M15,INDEX(Recetas!$M$6:$M$115,MATCH($E15,Recetas!$A$6:$A$115,0))&amp;""),""),H15)))</f>
        <v/>
      </c>
      <c r="P15" s="9" t="str">
        <f aca="false">IF($E15="","",IFERROR(INDEX(Recetas!$Q$6:$Q$115,MATCH($E15,Recetas!$A$6:$A$115,0)),""))</f>
        <v/>
      </c>
      <c r="Q15" s="10" t="str">
        <f aca="false">IF($E15="","",IFERROR(INDEX(Telas!$I$6:$I$105,MATCH(M15,Telas!$A$6:$A$105,0)),""))</f>
        <v/>
      </c>
      <c r="R15" s="10" t="str">
        <f aca="false">IF($E15="","",IFERROR(IF(ISNUMBER(P15),IF(P15=0,0,P15*INDEX(Telas!$I$6:$I$105,MATCH(M15,Telas!$A$6:$A$105,0))),NA())+IF(ISNUMBER(INDEX(Recetas!$T$6:$T$115,MATCH($E15,Recetas!$A$6:$A$115,0))),IF(INDEX(Recetas!$T$6:$T$115,MATCH($E15,Recetas!$A$6:$A$115,0))=0,0,INDEX(Recetas!$T$6:$T$115,MATCH($E15,Recetas!$A$6:$A$115,0))*INDEX(Telas!$I$6:$I$105,MATCH(N15,Telas!$A$6:$A$105,0))),NA())+IF(ISNUMBER(INDEX(Recetas!$W$6:$W$115,MATCH($E15,Recetas!$A$6:$A$115,0))),IF(INDEX(Recetas!$W$6:$W$115,MATCH($E15,Recetas!$A$6:$A$115,0))=0,0,INDEX(Recetas!$W$6:$W$115,MATCH($E15,Recetas!$A$6:$A$115,0))*INDEX(Telas!$I$6:$I$105,MATCH(O15,Telas!$A$6:$A$105,0))),NA()),""))</f>
        <v/>
      </c>
      <c r="S15" s="10" t="str">
        <f aca="false">IF($E15="","",IFERROR(INDEX(Recetas!$AA$6:$AA$115,MATCH($E15,Recetas!$A$6:$A$115,0))*1,""))</f>
        <v/>
      </c>
      <c r="T15" s="10" t="str">
        <f aca="false">IF($E15="","",IFERROR(INDEX(Recetas!$AB$6:$AB$115,MATCH($E15,Recetas!$A$6:$A$115,0))*1,""))</f>
        <v/>
      </c>
      <c r="U15" s="10" t="str">
        <f aca="false">IF($E15="","",IFERROR(INDEX(Recetas!$AC$6:$AC$115,MATCH($E15,Recetas!$A$6:$A$115,0))+N(I15),""))</f>
        <v/>
      </c>
      <c r="V15" s="11" t="str">
        <f aca="false">IF($E15="","",IFERROR(R15+S15+T15+U15,""))</f>
        <v/>
      </c>
      <c r="W15" s="11" t="str">
        <f aca="false">IF(ISNUMBER(V15),V15*Parametros!$B$12,"")</f>
        <v/>
      </c>
      <c r="X15" s="30" t="str">
        <f aca="false">IF(AND(ISNUMBER(V15),N(J15)&gt;0),(J15-V15-J15*Parametros!$B$8)/J15,"")</f>
        <v/>
      </c>
      <c r="Y15" s="10" t="str">
        <f aca="false">IF(AND(ISNUMBER(V15),N(J15)&gt;0),J15-V15-J15*Parametros!$B$8,"")</f>
        <v/>
      </c>
      <c r="Z15" s="29" t="str">
        <f aca="false">IF(AND(ISNUMBER(P15),M15&lt;&gt;""),IFERROR(1/(P15*INDEX(Telas!$G$6:$G$105,MATCH(M15,Telas!$A$6:$A$105,0))),""),"")</f>
        <v/>
      </c>
      <c r="AA15" s="7" t="str">
        <f aca="false">IF($E15="","",IF(ISNUMBER(V15),"OK",IF(Q15="","Precio o peso por metro de "&amp;M15&amp;". ","")&amp;IFERROR(INDEX(Recetas!$AG$6:$AG$115,MATCH($E15,Recetas!$A$6:$A$115,0)),"Molde no existe en Recetas.")))</f>
        <v/>
      </c>
    </row>
    <row r="16" customFormat="false" ht="15" hidden="false" customHeight="false" outlineLevel="0" collapsed="false">
      <c r="A16" s="27" t="s">
        <v>275</v>
      </c>
      <c r="B16" s="27" t="s">
        <v>276</v>
      </c>
      <c r="C16" s="27" t="s">
        <v>248</v>
      </c>
      <c r="D16" s="27" t="n">
        <v>93</v>
      </c>
      <c r="E16" s="27"/>
      <c r="F16" s="8"/>
      <c r="G16" s="8"/>
      <c r="H16" s="8"/>
      <c r="I16" s="15"/>
      <c r="J16" s="15" t="n">
        <v>21765</v>
      </c>
      <c r="K16" s="27" t="s">
        <v>249</v>
      </c>
      <c r="L16" s="27" t="s">
        <v>259</v>
      </c>
      <c r="M16" s="7" t="str">
        <f aca="false">IF($E16="","",IF(F16="",IFERROR(INDEX(Recetas!$K$6:$K$115,MATCH($E16,Recetas!$A$6:$A$115,0))&amp;"",""),F16))</f>
        <v/>
      </c>
      <c r="N16" s="7" t="str">
        <f aca="false">IF($E16="","",IF(AND(G16="",N(IFERROR(INDEX(Recetas!$T$6:$T$115,MATCH($E16,Recetas!$A$6:$A$115,0)),1))=0),"—",IF(G16="",IFERROR(INDEX(Recetas!$L$6:$L$115,MATCH($E16,Recetas!$A$6:$A$115,0))&amp;"",""),G16)))</f>
        <v/>
      </c>
      <c r="O16" s="7" t="str">
        <f aca="false">IF($E16="","",IF(AND(H16="",N(IFERROR(INDEX(Recetas!$W$6:$W$115,MATCH($E16,Recetas!$A$6:$A$115,0)),1))=0),"—",IF(H16="",IFERROR(IF(INDEX(Recetas!$M$6:$M$115,MATCH($E16,Recetas!$A$6:$A$115,0))&amp;""="",M16,INDEX(Recetas!$M$6:$M$115,MATCH($E16,Recetas!$A$6:$A$115,0))&amp;""),""),H16)))</f>
        <v/>
      </c>
      <c r="P16" s="9" t="str">
        <f aca="false">IF($E16="","",IFERROR(INDEX(Recetas!$Q$6:$Q$115,MATCH($E16,Recetas!$A$6:$A$115,0)),""))</f>
        <v/>
      </c>
      <c r="Q16" s="10" t="str">
        <f aca="false">IF($E16="","",IFERROR(INDEX(Telas!$I$6:$I$105,MATCH(M16,Telas!$A$6:$A$105,0)),""))</f>
        <v/>
      </c>
      <c r="R16" s="10" t="str">
        <f aca="false">IF($E16="","",IFERROR(IF(ISNUMBER(P16),IF(P16=0,0,P16*INDEX(Telas!$I$6:$I$105,MATCH(M16,Telas!$A$6:$A$105,0))),NA())+IF(ISNUMBER(INDEX(Recetas!$T$6:$T$115,MATCH($E16,Recetas!$A$6:$A$115,0))),IF(INDEX(Recetas!$T$6:$T$115,MATCH($E16,Recetas!$A$6:$A$115,0))=0,0,INDEX(Recetas!$T$6:$T$115,MATCH($E16,Recetas!$A$6:$A$115,0))*INDEX(Telas!$I$6:$I$105,MATCH(N16,Telas!$A$6:$A$105,0))),NA())+IF(ISNUMBER(INDEX(Recetas!$W$6:$W$115,MATCH($E16,Recetas!$A$6:$A$115,0))),IF(INDEX(Recetas!$W$6:$W$115,MATCH($E16,Recetas!$A$6:$A$115,0))=0,0,INDEX(Recetas!$W$6:$W$115,MATCH($E16,Recetas!$A$6:$A$115,0))*INDEX(Telas!$I$6:$I$105,MATCH(O16,Telas!$A$6:$A$105,0))),NA()),""))</f>
        <v/>
      </c>
      <c r="S16" s="10" t="str">
        <f aca="false">IF($E16="","",IFERROR(INDEX(Recetas!$AA$6:$AA$115,MATCH($E16,Recetas!$A$6:$A$115,0))*1,""))</f>
        <v/>
      </c>
      <c r="T16" s="10" t="str">
        <f aca="false">IF($E16="","",IFERROR(INDEX(Recetas!$AB$6:$AB$115,MATCH($E16,Recetas!$A$6:$A$115,0))*1,""))</f>
        <v/>
      </c>
      <c r="U16" s="10" t="str">
        <f aca="false">IF($E16="","",IFERROR(INDEX(Recetas!$AC$6:$AC$115,MATCH($E16,Recetas!$A$6:$A$115,0))+N(I16),""))</f>
        <v/>
      </c>
      <c r="V16" s="11" t="str">
        <f aca="false">IF($E16="","",IFERROR(R16+S16+T16+U16,""))</f>
        <v/>
      </c>
      <c r="W16" s="11" t="str">
        <f aca="false">IF(ISNUMBER(V16),V16*Parametros!$B$12,"")</f>
        <v/>
      </c>
      <c r="X16" s="30" t="str">
        <f aca="false">IF(AND(ISNUMBER(V16),N(J16)&gt;0),(J16-V16-J16*Parametros!$B$8)/J16,"")</f>
        <v/>
      </c>
      <c r="Y16" s="10" t="str">
        <f aca="false">IF(AND(ISNUMBER(V16),N(J16)&gt;0),J16-V16-J16*Parametros!$B$8,"")</f>
        <v/>
      </c>
      <c r="Z16" s="29" t="str">
        <f aca="false">IF(AND(ISNUMBER(P16),M16&lt;&gt;""),IFERROR(1/(P16*INDEX(Telas!$G$6:$G$105,MATCH(M16,Telas!$A$6:$A$105,0))),""),"")</f>
        <v/>
      </c>
      <c r="AA16" s="7" t="str">
        <f aca="false">IF($E16="","",IF(ISNUMBER(V16),"OK",IF(Q16="","Precio o peso por metro de "&amp;M16&amp;". ","")&amp;IFERROR(INDEX(Recetas!$AG$6:$AG$115,MATCH($E16,Recetas!$A$6:$A$115,0)),"Molde no existe en Recetas.")))</f>
        <v/>
      </c>
    </row>
    <row r="17" customFormat="false" ht="15" hidden="false" customHeight="false" outlineLevel="0" collapsed="false">
      <c r="A17" s="27" t="s">
        <v>277</v>
      </c>
      <c r="B17" s="27" t="s">
        <v>278</v>
      </c>
      <c r="C17" s="27" t="s">
        <v>268</v>
      </c>
      <c r="D17" s="27" t="n">
        <v>76</v>
      </c>
      <c r="E17" s="27"/>
      <c r="F17" s="8"/>
      <c r="G17" s="8"/>
      <c r="H17" s="8"/>
      <c r="I17" s="15"/>
      <c r="J17" s="15" t="n">
        <v>44010</v>
      </c>
      <c r="K17" s="27" t="s">
        <v>249</v>
      </c>
      <c r="L17" s="27" t="s">
        <v>259</v>
      </c>
      <c r="M17" s="7" t="str">
        <f aca="false">IF($E17="","",IF(F17="",IFERROR(INDEX(Recetas!$K$6:$K$115,MATCH($E17,Recetas!$A$6:$A$115,0))&amp;"",""),F17))</f>
        <v/>
      </c>
      <c r="N17" s="7" t="str">
        <f aca="false">IF($E17="","",IF(AND(G17="",N(IFERROR(INDEX(Recetas!$T$6:$T$115,MATCH($E17,Recetas!$A$6:$A$115,0)),1))=0),"—",IF(G17="",IFERROR(INDEX(Recetas!$L$6:$L$115,MATCH($E17,Recetas!$A$6:$A$115,0))&amp;"",""),G17)))</f>
        <v/>
      </c>
      <c r="O17" s="7" t="str">
        <f aca="false">IF($E17="","",IF(AND(H17="",N(IFERROR(INDEX(Recetas!$W$6:$W$115,MATCH($E17,Recetas!$A$6:$A$115,0)),1))=0),"—",IF(H17="",IFERROR(IF(INDEX(Recetas!$M$6:$M$115,MATCH($E17,Recetas!$A$6:$A$115,0))&amp;""="",M17,INDEX(Recetas!$M$6:$M$115,MATCH($E17,Recetas!$A$6:$A$115,0))&amp;""),""),H17)))</f>
        <v/>
      </c>
      <c r="P17" s="9" t="str">
        <f aca="false">IF($E17="","",IFERROR(INDEX(Recetas!$Q$6:$Q$115,MATCH($E17,Recetas!$A$6:$A$115,0)),""))</f>
        <v/>
      </c>
      <c r="Q17" s="10" t="str">
        <f aca="false">IF($E17="","",IFERROR(INDEX(Telas!$I$6:$I$105,MATCH(M17,Telas!$A$6:$A$105,0)),""))</f>
        <v/>
      </c>
      <c r="R17" s="10" t="str">
        <f aca="false">IF($E17="","",IFERROR(IF(ISNUMBER(P17),IF(P17=0,0,P17*INDEX(Telas!$I$6:$I$105,MATCH(M17,Telas!$A$6:$A$105,0))),NA())+IF(ISNUMBER(INDEX(Recetas!$T$6:$T$115,MATCH($E17,Recetas!$A$6:$A$115,0))),IF(INDEX(Recetas!$T$6:$T$115,MATCH($E17,Recetas!$A$6:$A$115,0))=0,0,INDEX(Recetas!$T$6:$T$115,MATCH($E17,Recetas!$A$6:$A$115,0))*INDEX(Telas!$I$6:$I$105,MATCH(N17,Telas!$A$6:$A$105,0))),NA())+IF(ISNUMBER(INDEX(Recetas!$W$6:$W$115,MATCH($E17,Recetas!$A$6:$A$115,0))),IF(INDEX(Recetas!$W$6:$W$115,MATCH($E17,Recetas!$A$6:$A$115,0))=0,0,INDEX(Recetas!$W$6:$W$115,MATCH($E17,Recetas!$A$6:$A$115,0))*INDEX(Telas!$I$6:$I$105,MATCH(O17,Telas!$A$6:$A$105,0))),NA()),""))</f>
        <v/>
      </c>
      <c r="S17" s="10" t="str">
        <f aca="false">IF($E17="","",IFERROR(INDEX(Recetas!$AA$6:$AA$115,MATCH($E17,Recetas!$A$6:$A$115,0))*1,""))</f>
        <v/>
      </c>
      <c r="T17" s="10" t="str">
        <f aca="false">IF($E17="","",IFERROR(INDEX(Recetas!$AB$6:$AB$115,MATCH($E17,Recetas!$A$6:$A$115,0))*1,""))</f>
        <v/>
      </c>
      <c r="U17" s="10" t="str">
        <f aca="false">IF($E17="","",IFERROR(INDEX(Recetas!$AC$6:$AC$115,MATCH($E17,Recetas!$A$6:$A$115,0))+N(I17),""))</f>
        <v/>
      </c>
      <c r="V17" s="11" t="str">
        <f aca="false">IF($E17="","",IFERROR(R17+S17+T17+U17,""))</f>
        <v/>
      </c>
      <c r="W17" s="11" t="str">
        <f aca="false">IF(ISNUMBER(V17),V17*Parametros!$B$12,"")</f>
        <v/>
      </c>
      <c r="X17" s="30" t="str">
        <f aca="false">IF(AND(ISNUMBER(V17),N(J17)&gt;0),(J17-V17-J17*Parametros!$B$8)/J17,"")</f>
        <v/>
      </c>
      <c r="Y17" s="10" t="str">
        <f aca="false">IF(AND(ISNUMBER(V17),N(J17)&gt;0),J17-V17-J17*Parametros!$B$8,"")</f>
        <v/>
      </c>
      <c r="Z17" s="29" t="str">
        <f aca="false">IF(AND(ISNUMBER(P17),M17&lt;&gt;""),IFERROR(1/(P17*INDEX(Telas!$G$6:$G$105,MATCH(M17,Telas!$A$6:$A$105,0))),""),"")</f>
        <v/>
      </c>
      <c r="AA17" s="7" t="str">
        <f aca="false">IF($E17="","",IF(ISNUMBER(V17),"OK",IF(Q17="","Precio o peso por metro de "&amp;M17&amp;". ","")&amp;IFERROR(INDEX(Recetas!$AG$6:$AG$115,MATCH($E17,Recetas!$A$6:$A$115,0)),"Molde no existe en Recetas.")))</f>
        <v/>
      </c>
    </row>
    <row r="18" customFormat="false" ht="15" hidden="false" customHeight="false" outlineLevel="0" collapsed="false">
      <c r="A18" s="27" t="s">
        <v>279</v>
      </c>
      <c r="B18" s="27" t="s">
        <v>280</v>
      </c>
      <c r="C18" s="27" t="s">
        <v>248</v>
      </c>
      <c r="D18" s="27" t="n">
        <v>66</v>
      </c>
      <c r="E18" s="27"/>
      <c r="F18" s="8"/>
      <c r="G18" s="8"/>
      <c r="H18" s="8"/>
      <c r="I18" s="15"/>
      <c r="J18" s="15" t="n">
        <v>21554</v>
      </c>
      <c r="K18" s="27" t="s">
        <v>249</v>
      </c>
      <c r="L18" s="27" t="s">
        <v>259</v>
      </c>
      <c r="M18" s="7" t="str">
        <f aca="false">IF($E18="","",IF(F18="",IFERROR(INDEX(Recetas!$K$6:$K$115,MATCH($E18,Recetas!$A$6:$A$115,0))&amp;"",""),F18))</f>
        <v/>
      </c>
      <c r="N18" s="7" t="str">
        <f aca="false">IF($E18="","",IF(AND(G18="",N(IFERROR(INDEX(Recetas!$T$6:$T$115,MATCH($E18,Recetas!$A$6:$A$115,0)),1))=0),"—",IF(G18="",IFERROR(INDEX(Recetas!$L$6:$L$115,MATCH($E18,Recetas!$A$6:$A$115,0))&amp;"",""),G18)))</f>
        <v/>
      </c>
      <c r="O18" s="7" t="str">
        <f aca="false">IF($E18="","",IF(AND(H18="",N(IFERROR(INDEX(Recetas!$W$6:$W$115,MATCH($E18,Recetas!$A$6:$A$115,0)),1))=0),"—",IF(H18="",IFERROR(IF(INDEX(Recetas!$M$6:$M$115,MATCH($E18,Recetas!$A$6:$A$115,0))&amp;""="",M18,INDEX(Recetas!$M$6:$M$115,MATCH($E18,Recetas!$A$6:$A$115,0))&amp;""),""),H18)))</f>
        <v/>
      </c>
      <c r="P18" s="9" t="str">
        <f aca="false">IF($E18="","",IFERROR(INDEX(Recetas!$Q$6:$Q$115,MATCH($E18,Recetas!$A$6:$A$115,0)),""))</f>
        <v/>
      </c>
      <c r="Q18" s="10" t="str">
        <f aca="false">IF($E18="","",IFERROR(INDEX(Telas!$I$6:$I$105,MATCH(M18,Telas!$A$6:$A$105,0)),""))</f>
        <v/>
      </c>
      <c r="R18" s="10" t="str">
        <f aca="false">IF($E18="","",IFERROR(IF(ISNUMBER(P18),IF(P18=0,0,P18*INDEX(Telas!$I$6:$I$105,MATCH(M18,Telas!$A$6:$A$105,0))),NA())+IF(ISNUMBER(INDEX(Recetas!$T$6:$T$115,MATCH($E18,Recetas!$A$6:$A$115,0))),IF(INDEX(Recetas!$T$6:$T$115,MATCH($E18,Recetas!$A$6:$A$115,0))=0,0,INDEX(Recetas!$T$6:$T$115,MATCH($E18,Recetas!$A$6:$A$115,0))*INDEX(Telas!$I$6:$I$105,MATCH(N18,Telas!$A$6:$A$105,0))),NA())+IF(ISNUMBER(INDEX(Recetas!$W$6:$W$115,MATCH($E18,Recetas!$A$6:$A$115,0))),IF(INDEX(Recetas!$W$6:$W$115,MATCH($E18,Recetas!$A$6:$A$115,0))=0,0,INDEX(Recetas!$W$6:$W$115,MATCH($E18,Recetas!$A$6:$A$115,0))*INDEX(Telas!$I$6:$I$105,MATCH(O18,Telas!$A$6:$A$105,0))),NA()),""))</f>
        <v/>
      </c>
      <c r="S18" s="10" t="str">
        <f aca="false">IF($E18="","",IFERROR(INDEX(Recetas!$AA$6:$AA$115,MATCH($E18,Recetas!$A$6:$A$115,0))*1,""))</f>
        <v/>
      </c>
      <c r="T18" s="10" t="str">
        <f aca="false">IF($E18="","",IFERROR(INDEX(Recetas!$AB$6:$AB$115,MATCH($E18,Recetas!$A$6:$A$115,0))*1,""))</f>
        <v/>
      </c>
      <c r="U18" s="10" t="str">
        <f aca="false">IF($E18="","",IFERROR(INDEX(Recetas!$AC$6:$AC$115,MATCH($E18,Recetas!$A$6:$A$115,0))+N(I18),""))</f>
        <v/>
      </c>
      <c r="V18" s="11" t="str">
        <f aca="false">IF($E18="","",IFERROR(R18+S18+T18+U18,""))</f>
        <v/>
      </c>
      <c r="W18" s="11" t="str">
        <f aca="false">IF(ISNUMBER(V18),V18*Parametros!$B$12,"")</f>
        <v/>
      </c>
      <c r="X18" s="30" t="str">
        <f aca="false">IF(AND(ISNUMBER(V18),N(J18)&gt;0),(J18-V18-J18*Parametros!$B$8)/J18,"")</f>
        <v/>
      </c>
      <c r="Y18" s="10" t="str">
        <f aca="false">IF(AND(ISNUMBER(V18),N(J18)&gt;0),J18-V18-J18*Parametros!$B$8,"")</f>
        <v/>
      </c>
      <c r="Z18" s="29" t="str">
        <f aca="false">IF(AND(ISNUMBER(P18),M18&lt;&gt;""),IFERROR(1/(P18*INDEX(Telas!$G$6:$G$105,MATCH(M18,Telas!$A$6:$A$105,0))),""),"")</f>
        <v/>
      </c>
      <c r="AA18" s="7" t="str">
        <f aca="false">IF($E18="","",IF(ISNUMBER(V18),"OK",IF(Q18="","Precio o peso por metro de "&amp;M18&amp;". ","")&amp;IFERROR(INDEX(Recetas!$AG$6:$AG$115,MATCH($E18,Recetas!$A$6:$A$115,0)),"Molde no existe en Recetas.")))</f>
        <v/>
      </c>
    </row>
    <row r="19" customFormat="false" ht="15" hidden="false" customHeight="false" outlineLevel="0" collapsed="false">
      <c r="A19" s="27" t="s">
        <v>281</v>
      </c>
      <c r="B19" s="27" t="s">
        <v>282</v>
      </c>
      <c r="C19" s="27" t="s">
        <v>248</v>
      </c>
      <c r="D19" s="27" t="n">
        <v>65</v>
      </c>
      <c r="E19" s="27" t="s">
        <v>204</v>
      </c>
      <c r="F19" s="8" t="s">
        <v>208</v>
      </c>
      <c r="G19" s="8"/>
      <c r="H19" s="8"/>
      <c r="I19" s="15"/>
      <c r="J19" s="15" t="n">
        <v>19244</v>
      </c>
      <c r="K19" s="27" t="s">
        <v>249</v>
      </c>
      <c r="L19" s="27"/>
      <c r="M19" s="7" t="str">
        <f aca="false">IF($E19="","",IF(F19="",IFERROR(INDEX(Recetas!$K$6:$K$115,MATCH($E19,Recetas!$A$6:$A$115,0))&amp;"",""),F19))</f>
        <v>5K NACIONAL (running pro)</v>
      </c>
      <c r="N19" s="7" t="str">
        <f aca="false">IF($E19="","",IF(AND(G19="",N(IFERROR(INDEX(Recetas!$T$6:$T$115,MATCH($E19,Recetas!$A$6:$A$115,0)),1))=0),"—",IF(G19="",IFERROR(INDEX(Recetas!$L$6:$L$115,MATCH($E19,Recetas!$A$6:$A$115,0))&amp;"",""),G19)))</f>
        <v>—</v>
      </c>
      <c r="O19" s="7" t="str">
        <f aca="false">IF($E19="","",IF(AND(H19="",N(IFERROR(INDEX(Recetas!$W$6:$W$115,MATCH($E19,Recetas!$A$6:$A$115,0)),1))=0),"—",IF(H19="",IFERROR(IF(INDEX(Recetas!$M$6:$M$115,MATCH($E19,Recetas!$A$6:$A$115,0))&amp;""="",M19,INDEX(Recetas!$M$6:$M$115,MATCH($E19,Recetas!$A$6:$A$115,0))&amp;""),""),H19)))</f>
        <v>—</v>
      </c>
      <c r="P19" s="9" t="n">
        <f aca="false">IF($E19="","",IFERROR(INDEX(Recetas!$Q$6:$Q$115,MATCH($E19,Recetas!$A$6:$A$115,0)),""))</f>
        <v>0.414141414141414</v>
      </c>
      <c r="Q19" s="10" t="n">
        <f aca="false">IF($E19="","",IFERROR(INDEX(Telas!$I$6:$I$105,MATCH(M19,Telas!$A$6:$A$105,0)),""))</f>
        <v>840.312</v>
      </c>
      <c r="R19" s="10" t="n">
        <f aca="false">IF($E19="","",IFERROR(IF(ISNUMBER(P19),IF(P19=0,0,P19*INDEX(Telas!$I$6:$I$105,MATCH(M19,Telas!$A$6:$A$105,0))),NA())+IF(ISNUMBER(INDEX(Recetas!$T$6:$T$115,MATCH($E19,Recetas!$A$6:$A$115,0))),IF(INDEX(Recetas!$T$6:$T$115,MATCH($E19,Recetas!$A$6:$A$115,0))=0,0,INDEX(Recetas!$T$6:$T$115,MATCH($E19,Recetas!$A$6:$A$115,0))*INDEX(Telas!$I$6:$I$105,MATCH(N19,Telas!$A$6:$A$105,0))),NA())+IF(ISNUMBER(INDEX(Recetas!$W$6:$W$115,MATCH($E19,Recetas!$A$6:$A$115,0))),IF(INDEX(Recetas!$W$6:$W$115,MATCH($E19,Recetas!$A$6:$A$115,0))=0,0,INDEX(Recetas!$W$6:$W$115,MATCH($E19,Recetas!$A$6:$A$115,0))*INDEX(Telas!$I$6:$I$105,MATCH(O19,Telas!$A$6:$A$105,0))),NA()),""))</f>
        <v>348.008</v>
      </c>
      <c r="S19" s="10" t="n">
        <f aca="false">IF($E19="","",IFERROR(INDEX(Recetas!$AA$6:$AA$115,MATCH($E19,Recetas!$A$6:$A$115,0))*1,""))</f>
        <v>0</v>
      </c>
      <c r="T19" s="10" t="n">
        <f aca="false">IF($E19="","",IFERROR(INDEX(Recetas!$AB$6:$AB$115,MATCH($E19,Recetas!$A$6:$A$115,0))*1,""))</f>
        <v>1800</v>
      </c>
      <c r="U19" s="10" t="n">
        <f aca="false">IF($E19="","",IFERROR(INDEX(Recetas!$AC$6:$AC$115,MATCH($E19,Recetas!$A$6:$A$115,0))+N(I19),""))</f>
        <v>0</v>
      </c>
      <c r="V19" s="11" t="n">
        <f aca="false">IF($E19="","",IFERROR(R19+S19+T19+U19,""))</f>
        <v>2148.008</v>
      </c>
      <c r="W19" s="11" t="n">
        <f aca="false">IF(ISNUMBER(V19),V19*Parametros!$B$12,"")</f>
        <v>5163.48076923077</v>
      </c>
      <c r="X19" s="30" t="n">
        <f aca="false">IF(AND(ISNUMBER(V19),N(J19)&gt;0),(J19-V19-J19*Parametros!$B$8)/J19,"")</f>
        <v>0.45438037829973</v>
      </c>
      <c r="Y19" s="10" t="n">
        <f aca="false">IF(AND(ISNUMBER(V19),N(J19)&gt;0),J19-V19-J19*Parametros!$B$8,"")</f>
        <v>8744.096</v>
      </c>
      <c r="Z19" s="29" t="n">
        <f aca="false">IF(AND(ISNUMBER(P19),M19&lt;&gt;""),IFERROR(1/(P19*INDEX(Telas!$G$6:$G$105,MATCH(M19,Telas!$A$6:$A$105,0))),""),"")</f>
        <v>12.1951219512195</v>
      </c>
      <c r="AA19" s="7" t="str">
        <f aca="false">IF($E19="","",IF(ISNUMBER(V19),"OK",IF(Q19="","Precio o peso por metro de "&amp;M19&amp;". ","")&amp;IFERROR(INDEX(Recetas!$AG$6:$AG$115,MATCH($E19,Recetas!$A$6:$A$115,0)),"Molde no existe en Recetas.")))</f>
        <v>OK</v>
      </c>
    </row>
    <row r="20" customFormat="false" ht="15" hidden="false" customHeight="false" outlineLevel="0" collapsed="false">
      <c r="A20" s="27" t="s">
        <v>283</v>
      </c>
      <c r="B20" s="27" t="s">
        <v>284</v>
      </c>
      <c r="C20" s="27" t="s">
        <v>268</v>
      </c>
      <c r="D20" s="27" t="n">
        <v>62</v>
      </c>
      <c r="E20" s="27"/>
      <c r="F20" s="8"/>
      <c r="G20" s="8"/>
      <c r="H20" s="8"/>
      <c r="I20" s="15"/>
      <c r="J20" s="15" t="n">
        <v>36050</v>
      </c>
      <c r="K20" s="27" t="s">
        <v>249</v>
      </c>
      <c r="L20" s="27" t="s">
        <v>259</v>
      </c>
      <c r="M20" s="7" t="str">
        <f aca="false">IF($E20="","",IF(F20="",IFERROR(INDEX(Recetas!$K$6:$K$115,MATCH($E20,Recetas!$A$6:$A$115,0))&amp;"",""),F20))</f>
        <v/>
      </c>
      <c r="N20" s="7" t="str">
        <f aca="false">IF($E20="","",IF(AND(G20="",N(IFERROR(INDEX(Recetas!$T$6:$T$115,MATCH($E20,Recetas!$A$6:$A$115,0)),1))=0),"—",IF(G20="",IFERROR(INDEX(Recetas!$L$6:$L$115,MATCH($E20,Recetas!$A$6:$A$115,0))&amp;"",""),G20)))</f>
        <v/>
      </c>
      <c r="O20" s="7" t="str">
        <f aca="false">IF($E20="","",IF(AND(H20="",N(IFERROR(INDEX(Recetas!$W$6:$W$115,MATCH($E20,Recetas!$A$6:$A$115,0)),1))=0),"—",IF(H20="",IFERROR(IF(INDEX(Recetas!$M$6:$M$115,MATCH($E20,Recetas!$A$6:$A$115,0))&amp;""="",M20,INDEX(Recetas!$M$6:$M$115,MATCH($E20,Recetas!$A$6:$A$115,0))&amp;""),""),H20)))</f>
        <v/>
      </c>
      <c r="P20" s="9" t="str">
        <f aca="false">IF($E20="","",IFERROR(INDEX(Recetas!$Q$6:$Q$115,MATCH($E20,Recetas!$A$6:$A$115,0)),""))</f>
        <v/>
      </c>
      <c r="Q20" s="10" t="str">
        <f aca="false">IF($E20="","",IFERROR(INDEX(Telas!$I$6:$I$105,MATCH(M20,Telas!$A$6:$A$105,0)),""))</f>
        <v/>
      </c>
      <c r="R20" s="10" t="str">
        <f aca="false">IF($E20="","",IFERROR(IF(ISNUMBER(P20),IF(P20=0,0,P20*INDEX(Telas!$I$6:$I$105,MATCH(M20,Telas!$A$6:$A$105,0))),NA())+IF(ISNUMBER(INDEX(Recetas!$T$6:$T$115,MATCH($E20,Recetas!$A$6:$A$115,0))),IF(INDEX(Recetas!$T$6:$T$115,MATCH($E20,Recetas!$A$6:$A$115,0))=0,0,INDEX(Recetas!$T$6:$T$115,MATCH($E20,Recetas!$A$6:$A$115,0))*INDEX(Telas!$I$6:$I$105,MATCH(N20,Telas!$A$6:$A$105,0))),NA())+IF(ISNUMBER(INDEX(Recetas!$W$6:$W$115,MATCH($E20,Recetas!$A$6:$A$115,0))),IF(INDEX(Recetas!$W$6:$W$115,MATCH($E20,Recetas!$A$6:$A$115,0))=0,0,INDEX(Recetas!$W$6:$W$115,MATCH($E20,Recetas!$A$6:$A$115,0))*INDEX(Telas!$I$6:$I$105,MATCH(O20,Telas!$A$6:$A$105,0))),NA()),""))</f>
        <v/>
      </c>
      <c r="S20" s="10" t="str">
        <f aca="false">IF($E20="","",IFERROR(INDEX(Recetas!$AA$6:$AA$115,MATCH($E20,Recetas!$A$6:$A$115,0))*1,""))</f>
        <v/>
      </c>
      <c r="T20" s="10" t="str">
        <f aca="false">IF($E20="","",IFERROR(INDEX(Recetas!$AB$6:$AB$115,MATCH($E20,Recetas!$A$6:$A$115,0))*1,""))</f>
        <v/>
      </c>
      <c r="U20" s="10" t="str">
        <f aca="false">IF($E20="","",IFERROR(INDEX(Recetas!$AC$6:$AC$115,MATCH($E20,Recetas!$A$6:$A$115,0))+N(I20),""))</f>
        <v/>
      </c>
      <c r="V20" s="11" t="str">
        <f aca="false">IF($E20="","",IFERROR(R20+S20+T20+U20,""))</f>
        <v/>
      </c>
      <c r="W20" s="11" t="str">
        <f aca="false">IF(ISNUMBER(V20),V20*Parametros!$B$12,"")</f>
        <v/>
      </c>
      <c r="X20" s="30" t="str">
        <f aca="false">IF(AND(ISNUMBER(V20),N(J20)&gt;0),(J20-V20-J20*Parametros!$B$8)/J20,"")</f>
        <v/>
      </c>
      <c r="Y20" s="10" t="str">
        <f aca="false">IF(AND(ISNUMBER(V20),N(J20)&gt;0),J20-V20-J20*Parametros!$B$8,"")</f>
        <v/>
      </c>
      <c r="Z20" s="29" t="str">
        <f aca="false">IF(AND(ISNUMBER(P20),M20&lt;&gt;""),IFERROR(1/(P20*INDEX(Telas!$G$6:$G$105,MATCH(M20,Telas!$A$6:$A$105,0))),""),"")</f>
        <v/>
      </c>
      <c r="AA20" s="7" t="str">
        <f aca="false">IF($E20="","",IF(ISNUMBER(V20),"OK",IF(Q20="","Precio o peso por metro de "&amp;M20&amp;". ","")&amp;IFERROR(INDEX(Recetas!$AG$6:$AG$115,MATCH($E20,Recetas!$A$6:$A$115,0)),"Molde no existe en Recetas.")))</f>
        <v/>
      </c>
    </row>
    <row r="21" customFormat="false" ht="15" hidden="false" customHeight="false" outlineLevel="0" collapsed="false">
      <c r="A21" s="27" t="s">
        <v>285</v>
      </c>
      <c r="B21" s="27" t="s">
        <v>286</v>
      </c>
      <c r="C21" s="27" t="s">
        <v>248</v>
      </c>
      <c r="D21" s="27" t="n">
        <v>61</v>
      </c>
      <c r="E21" s="27" t="s">
        <v>198</v>
      </c>
      <c r="F21" s="8" t="s">
        <v>202</v>
      </c>
      <c r="G21" s="8"/>
      <c r="H21" s="8"/>
      <c r="I21" s="15"/>
      <c r="J21" s="15" t="n">
        <v>12507</v>
      </c>
      <c r="K21" s="27" t="s">
        <v>249</v>
      </c>
      <c r="L21" s="27"/>
      <c r="M21" s="7" t="str">
        <f aca="false">IF($E21="","",IF(F21="",IFERROR(INDEX(Recetas!$K$6:$K$115,MATCH($E21,Recetas!$A$6:$A$115,0))&amp;"",""),F21))</f>
        <v>GABARDINA</v>
      </c>
      <c r="N21" s="7" t="str">
        <f aca="false">IF($E21="","",IF(AND(G21="",N(IFERROR(INDEX(Recetas!$T$6:$T$115,MATCH($E21,Recetas!$A$6:$A$115,0)),1))=0),"—",IF(G21="",IFERROR(INDEX(Recetas!$L$6:$L$115,MATCH($E21,Recetas!$A$6:$A$115,0))&amp;"",""),G21)))</f>
        <v>—</v>
      </c>
      <c r="O21" s="7" t="str">
        <f aca="false">IF($E21="","",IF(AND(H21="",N(IFERROR(INDEX(Recetas!$W$6:$W$115,MATCH($E21,Recetas!$A$6:$A$115,0)),1))=0),"—",IF(H21="",IFERROR(IF(INDEX(Recetas!$M$6:$M$115,MATCH($E21,Recetas!$A$6:$A$115,0))&amp;""="",M21,INDEX(Recetas!$M$6:$M$115,MATCH($E21,Recetas!$A$6:$A$115,0))&amp;""),""),H21)))</f>
        <v>—</v>
      </c>
      <c r="P21" s="9" t="str">
        <f aca="false">IF($E21="","",IFERROR(INDEX(Recetas!$Q$6:$Q$115,MATCH($E21,Recetas!$A$6:$A$115,0)),""))</f>
        <v/>
      </c>
      <c r="Q21" s="10" t="str">
        <f aca="false">IF($E21="","",IFERROR(INDEX(Telas!$I$6:$I$105,MATCH(M21,Telas!$A$6:$A$105,0)),""))</f>
        <v/>
      </c>
      <c r="R21" s="10" t="str">
        <f aca="false">IF($E21="","",IFERROR(IF(ISNUMBER(P21),IF(P21=0,0,P21*INDEX(Telas!$I$6:$I$105,MATCH(M21,Telas!$A$6:$A$105,0))),NA())+IF(ISNUMBER(INDEX(Recetas!$T$6:$T$115,MATCH($E21,Recetas!$A$6:$A$115,0))),IF(INDEX(Recetas!$T$6:$T$115,MATCH($E21,Recetas!$A$6:$A$115,0))=0,0,INDEX(Recetas!$T$6:$T$115,MATCH($E21,Recetas!$A$6:$A$115,0))*INDEX(Telas!$I$6:$I$105,MATCH(N21,Telas!$A$6:$A$105,0))),NA())+IF(ISNUMBER(INDEX(Recetas!$W$6:$W$115,MATCH($E21,Recetas!$A$6:$A$115,0))),IF(INDEX(Recetas!$W$6:$W$115,MATCH($E21,Recetas!$A$6:$A$115,0))=0,0,INDEX(Recetas!$W$6:$W$115,MATCH($E21,Recetas!$A$6:$A$115,0))*INDEX(Telas!$I$6:$I$105,MATCH(O21,Telas!$A$6:$A$105,0))),NA()),""))</f>
        <v/>
      </c>
      <c r="S21" s="10" t="n">
        <f aca="false">IF($E21="","",IFERROR(INDEX(Recetas!$AA$6:$AA$115,MATCH($E21,Recetas!$A$6:$A$115,0))*1,""))</f>
        <v>0</v>
      </c>
      <c r="T21" s="10" t="n">
        <f aca="false">IF($E21="","",IFERROR(INDEX(Recetas!$AB$6:$AB$115,MATCH($E21,Recetas!$A$6:$A$115,0))*1,""))</f>
        <v>2200</v>
      </c>
      <c r="U21" s="10" t="n">
        <f aca="false">IF($E21="","",IFERROR(INDEX(Recetas!$AC$6:$AC$115,MATCH($E21,Recetas!$A$6:$A$115,0))+N(I21),""))</f>
        <v>0</v>
      </c>
      <c r="V21" s="11" t="str">
        <f aca="false">IF($E21="","",IFERROR(R21+S21+T21+U21,""))</f>
        <v/>
      </c>
      <c r="W21" s="11" t="str">
        <f aca="false">IF(ISNUMBER(V21),V21*Parametros!$B$12,"")</f>
        <v/>
      </c>
      <c r="X21" s="30" t="str">
        <f aca="false">IF(AND(ISNUMBER(V21),N(J21)&gt;0),(J21-V21-J21*Parametros!$B$8)/J21,"")</f>
        <v/>
      </c>
      <c r="Y21" s="10" t="str">
        <f aca="false">IF(AND(ISNUMBER(V21),N(J21)&gt;0),J21-V21-J21*Parametros!$B$8,"")</f>
        <v/>
      </c>
      <c r="Z21" s="29" t="str">
        <f aca="false">IF(AND(ISNUMBER(P21),M21&lt;&gt;""),IFERROR(1/(P21*INDEX(Telas!$G$6:$G$105,MATCH(M21,Telas!$A$6:$A$105,0))),""),"")</f>
        <v/>
      </c>
      <c r="AA21" s="7" t="str">
        <f aca="false">IF($E21="","",IF(ISNUMBER(V21),"OK",IF(Q21="","Precio o peso por metro de "&amp;M21&amp;". ","")&amp;IFERROR(INDEX(Recetas!$AG$6:$AG$115,MATCH($E21,Recetas!$A$6:$A$115,0)),"Molde no existe en Recetas.")))</f>
        <v>Precio o peso por metro de GABARDINA. Consumo tela principal (Despiece o Mediciones). Pesar 1 m de la tela medida (Telas, kg por metro). Precio o peso por metro de GABARDINA. </v>
      </c>
    </row>
    <row r="22" customFormat="false" ht="15" hidden="false" customHeight="false" outlineLevel="0" collapsed="false">
      <c r="A22" s="27" t="s">
        <v>287</v>
      </c>
      <c r="B22" s="27" t="s">
        <v>288</v>
      </c>
      <c r="C22" s="27" t="s">
        <v>268</v>
      </c>
      <c r="D22" s="27" t="n">
        <v>60</v>
      </c>
      <c r="E22" s="27"/>
      <c r="F22" s="8"/>
      <c r="G22" s="8"/>
      <c r="H22" s="8"/>
      <c r="I22" s="15"/>
      <c r="J22" s="15" t="n">
        <v>41933</v>
      </c>
      <c r="K22" s="27" t="s">
        <v>249</v>
      </c>
      <c r="L22" s="27" t="s">
        <v>259</v>
      </c>
      <c r="M22" s="7" t="str">
        <f aca="false">IF($E22="","",IF(F22="",IFERROR(INDEX(Recetas!$K$6:$K$115,MATCH($E22,Recetas!$A$6:$A$115,0))&amp;"",""),F22))</f>
        <v/>
      </c>
      <c r="N22" s="7" t="str">
        <f aca="false">IF($E22="","",IF(AND(G22="",N(IFERROR(INDEX(Recetas!$T$6:$T$115,MATCH($E22,Recetas!$A$6:$A$115,0)),1))=0),"—",IF(G22="",IFERROR(INDEX(Recetas!$L$6:$L$115,MATCH($E22,Recetas!$A$6:$A$115,0))&amp;"",""),G22)))</f>
        <v/>
      </c>
      <c r="O22" s="7" t="str">
        <f aca="false">IF($E22="","",IF(AND(H22="",N(IFERROR(INDEX(Recetas!$W$6:$W$115,MATCH($E22,Recetas!$A$6:$A$115,0)),1))=0),"—",IF(H22="",IFERROR(IF(INDEX(Recetas!$M$6:$M$115,MATCH($E22,Recetas!$A$6:$A$115,0))&amp;""="",M22,INDEX(Recetas!$M$6:$M$115,MATCH($E22,Recetas!$A$6:$A$115,0))&amp;""),""),H22)))</f>
        <v/>
      </c>
      <c r="P22" s="9" t="str">
        <f aca="false">IF($E22="","",IFERROR(INDEX(Recetas!$Q$6:$Q$115,MATCH($E22,Recetas!$A$6:$A$115,0)),""))</f>
        <v/>
      </c>
      <c r="Q22" s="10" t="str">
        <f aca="false">IF($E22="","",IFERROR(INDEX(Telas!$I$6:$I$105,MATCH(M22,Telas!$A$6:$A$105,0)),""))</f>
        <v/>
      </c>
      <c r="R22" s="10" t="str">
        <f aca="false">IF($E22="","",IFERROR(IF(ISNUMBER(P22),IF(P22=0,0,P22*INDEX(Telas!$I$6:$I$105,MATCH(M22,Telas!$A$6:$A$105,0))),NA())+IF(ISNUMBER(INDEX(Recetas!$T$6:$T$115,MATCH($E22,Recetas!$A$6:$A$115,0))),IF(INDEX(Recetas!$T$6:$T$115,MATCH($E22,Recetas!$A$6:$A$115,0))=0,0,INDEX(Recetas!$T$6:$T$115,MATCH($E22,Recetas!$A$6:$A$115,0))*INDEX(Telas!$I$6:$I$105,MATCH(N22,Telas!$A$6:$A$105,0))),NA())+IF(ISNUMBER(INDEX(Recetas!$W$6:$W$115,MATCH($E22,Recetas!$A$6:$A$115,0))),IF(INDEX(Recetas!$W$6:$W$115,MATCH($E22,Recetas!$A$6:$A$115,0))=0,0,INDEX(Recetas!$W$6:$W$115,MATCH($E22,Recetas!$A$6:$A$115,0))*INDEX(Telas!$I$6:$I$105,MATCH(O22,Telas!$A$6:$A$105,0))),NA()),""))</f>
        <v/>
      </c>
      <c r="S22" s="10" t="str">
        <f aca="false">IF($E22="","",IFERROR(INDEX(Recetas!$AA$6:$AA$115,MATCH($E22,Recetas!$A$6:$A$115,0))*1,""))</f>
        <v/>
      </c>
      <c r="T22" s="10" t="str">
        <f aca="false">IF($E22="","",IFERROR(INDEX(Recetas!$AB$6:$AB$115,MATCH($E22,Recetas!$A$6:$A$115,0))*1,""))</f>
        <v/>
      </c>
      <c r="U22" s="10" t="str">
        <f aca="false">IF($E22="","",IFERROR(INDEX(Recetas!$AC$6:$AC$115,MATCH($E22,Recetas!$A$6:$A$115,0))+N(I22),""))</f>
        <v/>
      </c>
      <c r="V22" s="11" t="str">
        <f aca="false">IF($E22="","",IFERROR(R22+S22+T22+U22,""))</f>
        <v/>
      </c>
      <c r="W22" s="11" t="str">
        <f aca="false">IF(ISNUMBER(V22),V22*Parametros!$B$12,"")</f>
        <v/>
      </c>
      <c r="X22" s="30" t="str">
        <f aca="false">IF(AND(ISNUMBER(V22),N(J22)&gt;0),(J22-V22-J22*Parametros!$B$8)/J22,"")</f>
        <v/>
      </c>
      <c r="Y22" s="10" t="str">
        <f aca="false">IF(AND(ISNUMBER(V22),N(J22)&gt;0),J22-V22-J22*Parametros!$B$8,"")</f>
        <v/>
      </c>
      <c r="Z22" s="29" t="str">
        <f aca="false">IF(AND(ISNUMBER(P22),M22&lt;&gt;""),IFERROR(1/(P22*INDEX(Telas!$G$6:$G$105,MATCH(M22,Telas!$A$6:$A$105,0))),""),"")</f>
        <v/>
      </c>
      <c r="AA22" s="7" t="str">
        <f aca="false">IF($E22="","",IF(ISNUMBER(V22),"OK",IF(Q22="","Precio o peso por metro de "&amp;M22&amp;". ","")&amp;IFERROR(INDEX(Recetas!$AG$6:$AG$115,MATCH($E22,Recetas!$A$6:$A$115,0)),"Molde no existe en Recetas.")))</f>
        <v/>
      </c>
    </row>
    <row r="23" customFormat="false" ht="15" hidden="false" customHeight="false" outlineLevel="0" collapsed="false">
      <c r="A23" s="27" t="s">
        <v>289</v>
      </c>
      <c r="B23" s="27" t="s">
        <v>290</v>
      </c>
      <c r="C23" s="27" t="s">
        <v>248</v>
      </c>
      <c r="D23" s="27" t="n">
        <v>55</v>
      </c>
      <c r="E23" s="27" t="s">
        <v>194</v>
      </c>
      <c r="F23" s="8" t="s">
        <v>103</v>
      </c>
      <c r="G23" s="8"/>
      <c r="H23" s="8"/>
      <c r="I23" s="15"/>
      <c r="J23" s="15" t="n">
        <v>8059</v>
      </c>
      <c r="K23" s="27" t="s">
        <v>249</v>
      </c>
      <c r="L23" s="27" t="s">
        <v>291</v>
      </c>
      <c r="M23" s="7" t="str">
        <f aca="false">IF($E23="","",IF(F23="",IFERROR(INDEX(Recetas!$K$6:$K$115,MATCH($E23,Recetas!$A$6:$A$115,0))&amp;"",""),F23))</f>
        <v>CIRE BLANCO</v>
      </c>
      <c r="N23" s="7" t="str">
        <f aca="false">IF($E23="","",IF(AND(G23="",N(IFERROR(INDEX(Recetas!$T$6:$T$115,MATCH($E23,Recetas!$A$6:$A$115,0)),1))=0),"—",IF(G23="",IFERROR(INDEX(Recetas!$L$6:$L$115,MATCH($E23,Recetas!$A$6:$A$115,0))&amp;"",""),G23)))</f>
        <v>—</v>
      </c>
      <c r="O23" s="7" t="str">
        <f aca="false">IF($E23="","",IF(AND(H23="",N(IFERROR(INDEX(Recetas!$W$6:$W$115,MATCH($E23,Recetas!$A$6:$A$115,0)),1))=0),"—",IF(H23="",IFERROR(IF(INDEX(Recetas!$M$6:$M$115,MATCH($E23,Recetas!$A$6:$A$115,0))&amp;""="",M23,INDEX(Recetas!$M$6:$M$115,MATCH($E23,Recetas!$A$6:$A$115,0))&amp;""),""),H23)))</f>
        <v>—</v>
      </c>
      <c r="P23" s="9" t="str">
        <f aca="false">IF($E23="","",IFERROR(INDEX(Recetas!$Q$6:$Q$115,MATCH($E23,Recetas!$A$6:$A$115,0)),""))</f>
        <v/>
      </c>
      <c r="Q23" s="10" t="str">
        <f aca="false">IF($E23="","",IFERROR(INDEX(Telas!$I$6:$I$105,MATCH(M23,Telas!$A$6:$A$105,0)),""))</f>
        <v/>
      </c>
      <c r="R23" s="10" t="str">
        <f aca="false">IF($E23="","",IFERROR(IF(ISNUMBER(P23),IF(P23=0,0,P23*INDEX(Telas!$I$6:$I$105,MATCH(M23,Telas!$A$6:$A$105,0))),NA())+IF(ISNUMBER(INDEX(Recetas!$T$6:$T$115,MATCH($E23,Recetas!$A$6:$A$115,0))),IF(INDEX(Recetas!$T$6:$T$115,MATCH($E23,Recetas!$A$6:$A$115,0))=0,0,INDEX(Recetas!$T$6:$T$115,MATCH($E23,Recetas!$A$6:$A$115,0))*INDEX(Telas!$I$6:$I$105,MATCH(N23,Telas!$A$6:$A$105,0))),NA())+IF(ISNUMBER(INDEX(Recetas!$W$6:$W$115,MATCH($E23,Recetas!$A$6:$A$115,0))),IF(INDEX(Recetas!$W$6:$W$115,MATCH($E23,Recetas!$A$6:$A$115,0))=0,0,INDEX(Recetas!$W$6:$W$115,MATCH($E23,Recetas!$A$6:$A$115,0))*INDEX(Telas!$I$6:$I$105,MATCH(O23,Telas!$A$6:$A$105,0))),NA()),""))</f>
        <v/>
      </c>
      <c r="S23" s="10" t="n">
        <f aca="false">IF($E23="","",IFERROR(INDEX(Recetas!$AA$6:$AA$115,MATCH($E23,Recetas!$A$6:$A$115,0))*1,""))</f>
        <v>0</v>
      </c>
      <c r="T23" s="10" t="n">
        <f aca="false">IF($E23="","",IFERROR(INDEX(Recetas!$AB$6:$AB$115,MATCH($E23,Recetas!$A$6:$A$115,0))*1,""))</f>
        <v>1700</v>
      </c>
      <c r="U23" s="10" t="n">
        <f aca="false">IF($E23="","",IFERROR(INDEX(Recetas!$AC$6:$AC$115,MATCH($E23,Recetas!$A$6:$A$115,0))+N(I23),""))</f>
        <v>0</v>
      </c>
      <c r="V23" s="11" t="str">
        <f aca="false">IF($E23="","",IFERROR(R23+S23+T23+U23,""))</f>
        <v/>
      </c>
      <c r="W23" s="11" t="str">
        <f aca="false">IF(ISNUMBER(V23),V23*Parametros!$B$12,"")</f>
        <v/>
      </c>
      <c r="X23" s="30" t="str">
        <f aca="false">IF(AND(ISNUMBER(V23),N(J23)&gt;0),(J23-V23-J23*Parametros!$B$8)/J23,"")</f>
        <v/>
      </c>
      <c r="Y23" s="10" t="str">
        <f aca="false">IF(AND(ISNUMBER(V23),N(J23)&gt;0),J23-V23-J23*Parametros!$B$8,"")</f>
        <v/>
      </c>
      <c r="Z23" s="29" t="str">
        <f aca="false">IF(AND(ISNUMBER(P23),M23&lt;&gt;""),IFERROR(1/(P23*INDEX(Telas!$G$6:$G$105,MATCH(M23,Telas!$A$6:$A$105,0))),""),"")</f>
        <v/>
      </c>
      <c r="AA23" s="7" t="str">
        <f aca="false">IF($E23="","",IF(ISNUMBER(V23),"OK",IF(Q23="","Precio o peso por metro de "&amp;M23&amp;". ","")&amp;IFERROR(INDEX(Recetas!$AG$6:$AG$115,MATCH($E23,Recetas!$A$6:$A$115,0)),"Molde no existe en Recetas.")))</f>
        <v>Precio o peso por metro de CIRE BLANCO. Consumo tela principal (Despiece o Mediciones). Pesar 1 m de la tela medida (Telas, kg por metro). Precio o peso por metro de CIRE BLANCO. </v>
      </c>
    </row>
    <row r="24" customFormat="false" ht="15" hidden="false" customHeight="false" outlineLevel="0" collapsed="false">
      <c r="A24" s="27" t="s">
        <v>292</v>
      </c>
      <c r="B24" s="27" t="s">
        <v>293</v>
      </c>
      <c r="C24" s="27" t="s">
        <v>248</v>
      </c>
      <c r="D24" s="27" t="n">
        <v>50</v>
      </c>
      <c r="E24" s="27"/>
      <c r="F24" s="8"/>
      <c r="G24" s="8"/>
      <c r="H24" s="8"/>
      <c r="I24" s="15"/>
      <c r="J24" s="15" t="n">
        <v>19244</v>
      </c>
      <c r="K24" s="27" t="s">
        <v>249</v>
      </c>
      <c r="L24" s="27" t="s">
        <v>259</v>
      </c>
      <c r="M24" s="7" t="str">
        <f aca="false">IF($E24="","",IF(F24="",IFERROR(INDEX(Recetas!$K$6:$K$115,MATCH($E24,Recetas!$A$6:$A$115,0))&amp;"",""),F24))</f>
        <v/>
      </c>
      <c r="N24" s="7" t="str">
        <f aca="false">IF($E24="","",IF(AND(G24="",N(IFERROR(INDEX(Recetas!$T$6:$T$115,MATCH($E24,Recetas!$A$6:$A$115,0)),1))=0),"—",IF(G24="",IFERROR(INDEX(Recetas!$L$6:$L$115,MATCH($E24,Recetas!$A$6:$A$115,0))&amp;"",""),G24)))</f>
        <v/>
      </c>
      <c r="O24" s="7" t="str">
        <f aca="false">IF($E24="","",IF(AND(H24="",N(IFERROR(INDEX(Recetas!$W$6:$W$115,MATCH($E24,Recetas!$A$6:$A$115,0)),1))=0),"—",IF(H24="",IFERROR(IF(INDEX(Recetas!$M$6:$M$115,MATCH($E24,Recetas!$A$6:$A$115,0))&amp;""="",M24,INDEX(Recetas!$M$6:$M$115,MATCH($E24,Recetas!$A$6:$A$115,0))&amp;""),""),H24)))</f>
        <v/>
      </c>
      <c r="P24" s="9" t="str">
        <f aca="false">IF($E24="","",IFERROR(INDEX(Recetas!$Q$6:$Q$115,MATCH($E24,Recetas!$A$6:$A$115,0)),""))</f>
        <v/>
      </c>
      <c r="Q24" s="10" t="str">
        <f aca="false">IF($E24="","",IFERROR(INDEX(Telas!$I$6:$I$105,MATCH(M24,Telas!$A$6:$A$105,0)),""))</f>
        <v/>
      </c>
      <c r="R24" s="10" t="str">
        <f aca="false">IF($E24="","",IFERROR(IF(ISNUMBER(P24),IF(P24=0,0,P24*INDEX(Telas!$I$6:$I$105,MATCH(M24,Telas!$A$6:$A$105,0))),NA())+IF(ISNUMBER(INDEX(Recetas!$T$6:$T$115,MATCH($E24,Recetas!$A$6:$A$115,0))),IF(INDEX(Recetas!$T$6:$T$115,MATCH($E24,Recetas!$A$6:$A$115,0))=0,0,INDEX(Recetas!$T$6:$T$115,MATCH($E24,Recetas!$A$6:$A$115,0))*INDEX(Telas!$I$6:$I$105,MATCH(N24,Telas!$A$6:$A$105,0))),NA())+IF(ISNUMBER(INDEX(Recetas!$W$6:$W$115,MATCH($E24,Recetas!$A$6:$A$115,0))),IF(INDEX(Recetas!$W$6:$W$115,MATCH($E24,Recetas!$A$6:$A$115,0))=0,0,INDEX(Recetas!$W$6:$W$115,MATCH($E24,Recetas!$A$6:$A$115,0))*INDEX(Telas!$I$6:$I$105,MATCH(O24,Telas!$A$6:$A$105,0))),NA()),""))</f>
        <v/>
      </c>
      <c r="S24" s="10" t="str">
        <f aca="false">IF($E24="","",IFERROR(INDEX(Recetas!$AA$6:$AA$115,MATCH($E24,Recetas!$A$6:$A$115,0))*1,""))</f>
        <v/>
      </c>
      <c r="T24" s="10" t="str">
        <f aca="false">IF($E24="","",IFERROR(INDEX(Recetas!$AB$6:$AB$115,MATCH($E24,Recetas!$A$6:$A$115,0))*1,""))</f>
        <v/>
      </c>
      <c r="U24" s="10" t="str">
        <f aca="false">IF($E24="","",IFERROR(INDEX(Recetas!$AC$6:$AC$115,MATCH($E24,Recetas!$A$6:$A$115,0))+N(I24),""))</f>
        <v/>
      </c>
      <c r="V24" s="11" t="str">
        <f aca="false">IF($E24="","",IFERROR(R24+S24+T24+U24,""))</f>
        <v/>
      </c>
      <c r="W24" s="11" t="str">
        <f aca="false">IF(ISNUMBER(V24),V24*Parametros!$B$12,"")</f>
        <v/>
      </c>
      <c r="X24" s="30" t="str">
        <f aca="false">IF(AND(ISNUMBER(V24),N(J24)&gt;0),(J24-V24-J24*Parametros!$B$8)/J24,"")</f>
        <v/>
      </c>
      <c r="Y24" s="10" t="str">
        <f aca="false">IF(AND(ISNUMBER(V24),N(J24)&gt;0),J24-V24-J24*Parametros!$B$8,"")</f>
        <v/>
      </c>
      <c r="Z24" s="29" t="str">
        <f aca="false">IF(AND(ISNUMBER(P24),M24&lt;&gt;""),IFERROR(1/(P24*INDEX(Telas!$G$6:$G$105,MATCH(M24,Telas!$A$6:$A$105,0))),""),"")</f>
        <v/>
      </c>
      <c r="AA24" s="7" t="str">
        <f aca="false">IF($E24="","",IF(ISNUMBER(V24),"OK",IF(Q24="","Precio o peso por metro de "&amp;M24&amp;". ","")&amp;IFERROR(INDEX(Recetas!$AG$6:$AG$115,MATCH($E24,Recetas!$A$6:$A$115,0)),"Molde no existe en Recetas.")))</f>
        <v/>
      </c>
    </row>
    <row r="25" customFormat="false" ht="15" hidden="false" customHeight="false" outlineLevel="0" collapsed="false">
      <c r="A25" s="27" t="s">
        <v>294</v>
      </c>
      <c r="B25" s="27" t="s">
        <v>295</v>
      </c>
      <c r="C25" s="27" t="s">
        <v>248</v>
      </c>
      <c r="D25" s="27" t="n">
        <v>48</v>
      </c>
      <c r="E25" s="27"/>
      <c r="F25" s="8"/>
      <c r="G25" s="8"/>
      <c r="H25" s="8"/>
      <c r="I25" s="15"/>
      <c r="J25" s="15" t="n">
        <v>8319</v>
      </c>
      <c r="K25" s="27" t="s">
        <v>249</v>
      </c>
      <c r="L25" s="27" t="s">
        <v>259</v>
      </c>
      <c r="M25" s="7" t="str">
        <f aca="false">IF($E25="","",IF(F25="",IFERROR(INDEX(Recetas!$K$6:$K$115,MATCH($E25,Recetas!$A$6:$A$115,0))&amp;"",""),F25))</f>
        <v/>
      </c>
      <c r="N25" s="7" t="str">
        <f aca="false">IF($E25="","",IF(AND(G25="",N(IFERROR(INDEX(Recetas!$T$6:$T$115,MATCH($E25,Recetas!$A$6:$A$115,0)),1))=0),"—",IF(G25="",IFERROR(INDEX(Recetas!$L$6:$L$115,MATCH($E25,Recetas!$A$6:$A$115,0))&amp;"",""),G25)))</f>
        <v/>
      </c>
      <c r="O25" s="7" t="str">
        <f aca="false">IF($E25="","",IF(AND(H25="",N(IFERROR(INDEX(Recetas!$W$6:$W$115,MATCH($E25,Recetas!$A$6:$A$115,0)),1))=0),"—",IF(H25="",IFERROR(IF(INDEX(Recetas!$M$6:$M$115,MATCH($E25,Recetas!$A$6:$A$115,0))&amp;""="",M25,INDEX(Recetas!$M$6:$M$115,MATCH($E25,Recetas!$A$6:$A$115,0))&amp;""),""),H25)))</f>
        <v/>
      </c>
      <c r="P25" s="9" t="str">
        <f aca="false">IF($E25="","",IFERROR(INDEX(Recetas!$Q$6:$Q$115,MATCH($E25,Recetas!$A$6:$A$115,0)),""))</f>
        <v/>
      </c>
      <c r="Q25" s="10" t="str">
        <f aca="false">IF($E25="","",IFERROR(INDEX(Telas!$I$6:$I$105,MATCH(M25,Telas!$A$6:$A$105,0)),""))</f>
        <v/>
      </c>
      <c r="R25" s="10" t="str">
        <f aca="false">IF($E25="","",IFERROR(IF(ISNUMBER(P25),IF(P25=0,0,P25*INDEX(Telas!$I$6:$I$105,MATCH(M25,Telas!$A$6:$A$105,0))),NA())+IF(ISNUMBER(INDEX(Recetas!$T$6:$T$115,MATCH($E25,Recetas!$A$6:$A$115,0))),IF(INDEX(Recetas!$T$6:$T$115,MATCH($E25,Recetas!$A$6:$A$115,0))=0,0,INDEX(Recetas!$T$6:$T$115,MATCH($E25,Recetas!$A$6:$A$115,0))*INDEX(Telas!$I$6:$I$105,MATCH(N25,Telas!$A$6:$A$105,0))),NA())+IF(ISNUMBER(INDEX(Recetas!$W$6:$W$115,MATCH($E25,Recetas!$A$6:$A$115,0))),IF(INDEX(Recetas!$W$6:$W$115,MATCH($E25,Recetas!$A$6:$A$115,0))=0,0,INDEX(Recetas!$W$6:$W$115,MATCH($E25,Recetas!$A$6:$A$115,0))*INDEX(Telas!$I$6:$I$105,MATCH(O25,Telas!$A$6:$A$105,0))),NA()),""))</f>
        <v/>
      </c>
      <c r="S25" s="10" t="str">
        <f aca="false">IF($E25="","",IFERROR(INDEX(Recetas!$AA$6:$AA$115,MATCH($E25,Recetas!$A$6:$A$115,0))*1,""))</f>
        <v/>
      </c>
      <c r="T25" s="10" t="str">
        <f aca="false">IF($E25="","",IFERROR(INDEX(Recetas!$AB$6:$AB$115,MATCH($E25,Recetas!$A$6:$A$115,0))*1,""))</f>
        <v/>
      </c>
      <c r="U25" s="10" t="str">
        <f aca="false">IF($E25="","",IFERROR(INDEX(Recetas!$AC$6:$AC$115,MATCH($E25,Recetas!$A$6:$A$115,0))+N(I25),""))</f>
        <v/>
      </c>
      <c r="V25" s="11" t="str">
        <f aca="false">IF($E25="","",IFERROR(R25+S25+T25+U25,""))</f>
        <v/>
      </c>
      <c r="W25" s="11" t="str">
        <f aca="false">IF(ISNUMBER(V25),V25*Parametros!$B$12,"")</f>
        <v/>
      </c>
      <c r="X25" s="30" t="str">
        <f aca="false">IF(AND(ISNUMBER(V25),N(J25)&gt;0),(J25-V25-J25*Parametros!$B$8)/J25,"")</f>
        <v/>
      </c>
      <c r="Y25" s="10" t="str">
        <f aca="false">IF(AND(ISNUMBER(V25),N(J25)&gt;0),J25-V25-J25*Parametros!$B$8,"")</f>
        <v/>
      </c>
      <c r="Z25" s="29" t="str">
        <f aca="false">IF(AND(ISNUMBER(P25),M25&lt;&gt;""),IFERROR(1/(P25*INDEX(Telas!$G$6:$G$105,MATCH(M25,Telas!$A$6:$A$105,0))),""),"")</f>
        <v/>
      </c>
      <c r="AA25" s="7" t="str">
        <f aca="false">IF($E25="","",IF(ISNUMBER(V25),"OK",IF(Q25="","Precio o peso por metro de "&amp;M25&amp;". ","")&amp;IFERROR(INDEX(Recetas!$AG$6:$AG$115,MATCH($E25,Recetas!$A$6:$A$115,0)),"Molde no existe en Recetas.")))</f>
        <v/>
      </c>
    </row>
    <row r="26" customFormat="false" ht="15" hidden="false" customHeight="false" outlineLevel="0" collapsed="false">
      <c r="A26" s="27" t="s">
        <v>296</v>
      </c>
      <c r="B26" s="27" t="s">
        <v>297</v>
      </c>
      <c r="C26" s="27" t="s">
        <v>248</v>
      </c>
      <c r="D26" s="27" t="n">
        <v>48</v>
      </c>
      <c r="E26" s="27"/>
      <c r="F26" s="8"/>
      <c r="G26" s="8"/>
      <c r="H26" s="8"/>
      <c r="I26" s="15"/>
      <c r="J26" s="15" t="n">
        <v>16723</v>
      </c>
      <c r="K26" s="27" t="s">
        <v>249</v>
      </c>
      <c r="L26" s="27" t="s">
        <v>259</v>
      </c>
      <c r="M26" s="7" t="str">
        <f aca="false">IF($E26="","",IF(F26="",IFERROR(INDEX(Recetas!$K$6:$K$115,MATCH($E26,Recetas!$A$6:$A$115,0))&amp;"",""),F26))</f>
        <v/>
      </c>
      <c r="N26" s="7" t="str">
        <f aca="false">IF($E26="","",IF(AND(G26="",N(IFERROR(INDEX(Recetas!$T$6:$T$115,MATCH($E26,Recetas!$A$6:$A$115,0)),1))=0),"—",IF(G26="",IFERROR(INDEX(Recetas!$L$6:$L$115,MATCH($E26,Recetas!$A$6:$A$115,0))&amp;"",""),G26)))</f>
        <v/>
      </c>
      <c r="O26" s="7" t="str">
        <f aca="false">IF($E26="","",IF(AND(H26="",N(IFERROR(INDEX(Recetas!$W$6:$W$115,MATCH($E26,Recetas!$A$6:$A$115,0)),1))=0),"—",IF(H26="",IFERROR(IF(INDEX(Recetas!$M$6:$M$115,MATCH($E26,Recetas!$A$6:$A$115,0))&amp;""="",M26,INDEX(Recetas!$M$6:$M$115,MATCH($E26,Recetas!$A$6:$A$115,0))&amp;""),""),H26)))</f>
        <v/>
      </c>
      <c r="P26" s="9" t="str">
        <f aca="false">IF($E26="","",IFERROR(INDEX(Recetas!$Q$6:$Q$115,MATCH($E26,Recetas!$A$6:$A$115,0)),""))</f>
        <v/>
      </c>
      <c r="Q26" s="10" t="str">
        <f aca="false">IF($E26="","",IFERROR(INDEX(Telas!$I$6:$I$105,MATCH(M26,Telas!$A$6:$A$105,0)),""))</f>
        <v/>
      </c>
      <c r="R26" s="10" t="str">
        <f aca="false">IF($E26="","",IFERROR(IF(ISNUMBER(P26),IF(P26=0,0,P26*INDEX(Telas!$I$6:$I$105,MATCH(M26,Telas!$A$6:$A$105,0))),NA())+IF(ISNUMBER(INDEX(Recetas!$T$6:$T$115,MATCH($E26,Recetas!$A$6:$A$115,0))),IF(INDEX(Recetas!$T$6:$T$115,MATCH($E26,Recetas!$A$6:$A$115,0))=0,0,INDEX(Recetas!$T$6:$T$115,MATCH($E26,Recetas!$A$6:$A$115,0))*INDEX(Telas!$I$6:$I$105,MATCH(N26,Telas!$A$6:$A$105,0))),NA())+IF(ISNUMBER(INDEX(Recetas!$W$6:$W$115,MATCH($E26,Recetas!$A$6:$A$115,0))),IF(INDEX(Recetas!$W$6:$W$115,MATCH($E26,Recetas!$A$6:$A$115,0))=0,0,INDEX(Recetas!$W$6:$W$115,MATCH($E26,Recetas!$A$6:$A$115,0))*INDEX(Telas!$I$6:$I$105,MATCH(O26,Telas!$A$6:$A$105,0))),NA()),""))</f>
        <v/>
      </c>
      <c r="S26" s="10" t="str">
        <f aca="false">IF($E26="","",IFERROR(INDEX(Recetas!$AA$6:$AA$115,MATCH($E26,Recetas!$A$6:$A$115,0))*1,""))</f>
        <v/>
      </c>
      <c r="T26" s="10" t="str">
        <f aca="false">IF($E26="","",IFERROR(INDEX(Recetas!$AB$6:$AB$115,MATCH($E26,Recetas!$A$6:$A$115,0))*1,""))</f>
        <v/>
      </c>
      <c r="U26" s="10" t="str">
        <f aca="false">IF($E26="","",IFERROR(INDEX(Recetas!$AC$6:$AC$115,MATCH($E26,Recetas!$A$6:$A$115,0))+N(I26),""))</f>
        <v/>
      </c>
      <c r="V26" s="11" t="str">
        <f aca="false">IF($E26="","",IFERROR(R26+S26+T26+U26,""))</f>
        <v/>
      </c>
      <c r="W26" s="11" t="str">
        <f aca="false">IF(ISNUMBER(V26),V26*Parametros!$B$12,"")</f>
        <v/>
      </c>
      <c r="X26" s="30" t="str">
        <f aca="false">IF(AND(ISNUMBER(V26),N(J26)&gt;0),(J26-V26-J26*Parametros!$B$8)/J26,"")</f>
        <v/>
      </c>
      <c r="Y26" s="10" t="str">
        <f aca="false">IF(AND(ISNUMBER(V26),N(J26)&gt;0),J26-V26-J26*Parametros!$B$8,"")</f>
        <v/>
      </c>
      <c r="Z26" s="29" t="str">
        <f aca="false">IF(AND(ISNUMBER(P26),M26&lt;&gt;""),IFERROR(1/(P26*INDEX(Telas!$G$6:$G$105,MATCH(M26,Telas!$A$6:$A$105,0))),""),"")</f>
        <v/>
      </c>
      <c r="AA26" s="7" t="str">
        <f aca="false">IF($E26="","",IF(ISNUMBER(V26),"OK",IF(Q26="","Precio o peso por metro de "&amp;M26&amp;". ","")&amp;IFERROR(INDEX(Recetas!$AG$6:$AG$115,MATCH($E26,Recetas!$A$6:$A$115,0)),"Molde no existe en Recetas.")))</f>
        <v/>
      </c>
    </row>
    <row r="27" customFormat="false" ht="15" hidden="false" customHeight="false" outlineLevel="0" collapsed="false">
      <c r="A27" s="27" t="s">
        <v>298</v>
      </c>
      <c r="B27" s="27" t="s">
        <v>299</v>
      </c>
      <c r="C27" s="27" t="s">
        <v>268</v>
      </c>
      <c r="D27" s="27" t="n">
        <v>47</v>
      </c>
      <c r="E27" s="27"/>
      <c r="F27" s="8"/>
      <c r="G27" s="8"/>
      <c r="H27" s="8"/>
      <c r="I27" s="15"/>
      <c r="J27" s="15" t="n">
        <v>26134</v>
      </c>
      <c r="K27" s="27" t="s">
        <v>249</v>
      </c>
      <c r="L27" s="27" t="s">
        <v>259</v>
      </c>
      <c r="M27" s="7" t="str">
        <f aca="false">IF($E27="","",IF(F27="",IFERROR(INDEX(Recetas!$K$6:$K$115,MATCH($E27,Recetas!$A$6:$A$115,0))&amp;"",""),F27))</f>
        <v/>
      </c>
      <c r="N27" s="7" t="str">
        <f aca="false">IF($E27="","",IF(AND(G27="",N(IFERROR(INDEX(Recetas!$T$6:$T$115,MATCH($E27,Recetas!$A$6:$A$115,0)),1))=0),"—",IF(G27="",IFERROR(INDEX(Recetas!$L$6:$L$115,MATCH($E27,Recetas!$A$6:$A$115,0))&amp;"",""),G27)))</f>
        <v/>
      </c>
      <c r="O27" s="7" t="str">
        <f aca="false">IF($E27="","",IF(AND(H27="",N(IFERROR(INDEX(Recetas!$W$6:$W$115,MATCH($E27,Recetas!$A$6:$A$115,0)),1))=0),"—",IF(H27="",IFERROR(IF(INDEX(Recetas!$M$6:$M$115,MATCH($E27,Recetas!$A$6:$A$115,0))&amp;""="",M27,INDEX(Recetas!$M$6:$M$115,MATCH($E27,Recetas!$A$6:$A$115,0))&amp;""),""),H27)))</f>
        <v/>
      </c>
      <c r="P27" s="9" t="str">
        <f aca="false">IF($E27="","",IFERROR(INDEX(Recetas!$Q$6:$Q$115,MATCH($E27,Recetas!$A$6:$A$115,0)),""))</f>
        <v/>
      </c>
      <c r="Q27" s="10" t="str">
        <f aca="false">IF($E27="","",IFERROR(INDEX(Telas!$I$6:$I$105,MATCH(M27,Telas!$A$6:$A$105,0)),""))</f>
        <v/>
      </c>
      <c r="R27" s="10" t="str">
        <f aca="false">IF($E27="","",IFERROR(IF(ISNUMBER(P27),IF(P27=0,0,P27*INDEX(Telas!$I$6:$I$105,MATCH(M27,Telas!$A$6:$A$105,0))),NA())+IF(ISNUMBER(INDEX(Recetas!$T$6:$T$115,MATCH($E27,Recetas!$A$6:$A$115,0))),IF(INDEX(Recetas!$T$6:$T$115,MATCH($E27,Recetas!$A$6:$A$115,0))=0,0,INDEX(Recetas!$T$6:$T$115,MATCH($E27,Recetas!$A$6:$A$115,0))*INDEX(Telas!$I$6:$I$105,MATCH(N27,Telas!$A$6:$A$105,0))),NA())+IF(ISNUMBER(INDEX(Recetas!$W$6:$W$115,MATCH($E27,Recetas!$A$6:$A$115,0))),IF(INDEX(Recetas!$W$6:$W$115,MATCH($E27,Recetas!$A$6:$A$115,0))=0,0,INDEX(Recetas!$W$6:$W$115,MATCH($E27,Recetas!$A$6:$A$115,0))*INDEX(Telas!$I$6:$I$105,MATCH(O27,Telas!$A$6:$A$105,0))),NA()),""))</f>
        <v/>
      </c>
      <c r="S27" s="10" t="str">
        <f aca="false">IF($E27="","",IFERROR(INDEX(Recetas!$AA$6:$AA$115,MATCH($E27,Recetas!$A$6:$A$115,0))*1,""))</f>
        <v/>
      </c>
      <c r="T27" s="10" t="str">
        <f aca="false">IF($E27="","",IFERROR(INDEX(Recetas!$AB$6:$AB$115,MATCH($E27,Recetas!$A$6:$A$115,0))*1,""))</f>
        <v/>
      </c>
      <c r="U27" s="10" t="str">
        <f aca="false">IF($E27="","",IFERROR(INDEX(Recetas!$AC$6:$AC$115,MATCH($E27,Recetas!$A$6:$A$115,0))+N(I27),""))</f>
        <v/>
      </c>
      <c r="V27" s="11" t="str">
        <f aca="false">IF($E27="","",IFERROR(R27+S27+T27+U27,""))</f>
        <v/>
      </c>
      <c r="W27" s="11" t="str">
        <f aca="false">IF(ISNUMBER(V27),V27*Parametros!$B$12,"")</f>
        <v/>
      </c>
      <c r="X27" s="30" t="str">
        <f aca="false">IF(AND(ISNUMBER(V27),N(J27)&gt;0),(J27-V27-J27*Parametros!$B$8)/J27,"")</f>
        <v/>
      </c>
      <c r="Y27" s="10" t="str">
        <f aca="false">IF(AND(ISNUMBER(V27),N(J27)&gt;0),J27-V27-J27*Parametros!$B$8,"")</f>
        <v/>
      </c>
      <c r="Z27" s="29" t="str">
        <f aca="false">IF(AND(ISNUMBER(P27),M27&lt;&gt;""),IFERROR(1/(P27*INDEX(Telas!$G$6:$G$105,MATCH(M27,Telas!$A$6:$A$105,0))),""),"")</f>
        <v/>
      </c>
      <c r="AA27" s="7" t="str">
        <f aca="false">IF($E27="","",IF(ISNUMBER(V27),"OK",IF(Q27="","Precio o peso por metro de "&amp;M27&amp;". ","")&amp;IFERROR(INDEX(Recetas!$AG$6:$AG$115,MATCH($E27,Recetas!$A$6:$A$115,0)),"Molde no existe en Recetas.")))</f>
        <v/>
      </c>
    </row>
    <row r="28" customFormat="false" ht="15" hidden="false" customHeight="false" outlineLevel="0" collapsed="false">
      <c r="A28" s="27" t="s">
        <v>300</v>
      </c>
      <c r="B28" s="27" t="s">
        <v>301</v>
      </c>
      <c r="C28" s="27" t="s">
        <v>248</v>
      </c>
      <c r="D28" s="27" t="n">
        <v>44</v>
      </c>
      <c r="E28" s="27"/>
      <c r="F28" s="8"/>
      <c r="G28" s="8"/>
      <c r="H28" s="8"/>
      <c r="I28" s="15"/>
      <c r="J28" s="15" t="n">
        <v>27605</v>
      </c>
      <c r="K28" s="27" t="s">
        <v>249</v>
      </c>
      <c r="L28" s="27" t="s">
        <v>259</v>
      </c>
      <c r="M28" s="7" t="str">
        <f aca="false">IF($E28="","",IF(F28="",IFERROR(INDEX(Recetas!$K$6:$K$115,MATCH($E28,Recetas!$A$6:$A$115,0))&amp;"",""),F28))</f>
        <v/>
      </c>
      <c r="N28" s="7" t="str">
        <f aca="false">IF($E28="","",IF(AND(G28="",N(IFERROR(INDEX(Recetas!$T$6:$T$115,MATCH($E28,Recetas!$A$6:$A$115,0)),1))=0),"—",IF(G28="",IFERROR(INDEX(Recetas!$L$6:$L$115,MATCH($E28,Recetas!$A$6:$A$115,0))&amp;"",""),G28)))</f>
        <v/>
      </c>
      <c r="O28" s="7" t="str">
        <f aca="false">IF($E28="","",IF(AND(H28="",N(IFERROR(INDEX(Recetas!$W$6:$W$115,MATCH($E28,Recetas!$A$6:$A$115,0)),1))=0),"—",IF(H28="",IFERROR(IF(INDEX(Recetas!$M$6:$M$115,MATCH($E28,Recetas!$A$6:$A$115,0))&amp;""="",M28,INDEX(Recetas!$M$6:$M$115,MATCH($E28,Recetas!$A$6:$A$115,0))&amp;""),""),H28)))</f>
        <v/>
      </c>
      <c r="P28" s="9" t="str">
        <f aca="false">IF($E28="","",IFERROR(INDEX(Recetas!$Q$6:$Q$115,MATCH($E28,Recetas!$A$6:$A$115,0)),""))</f>
        <v/>
      </c>
      <c r="Q28" s="10" t="str">
        <f aca="false">IF($E28="","",IFERROR(INDEX(Telas!$I$6:$I$105,MATCH(M28,Telas!$A$6:$A$105,0)),""))</f>
        <v/>
      </c>
      <c r="R28" s="10" t="str">
        <f aca="false">IF($E28="","",IFERROR(IF(ISNUMBER(P28),IF(P28=0,0,P28*INDEX(Telas!$I$6:$I$105,MATCH(M28,Telas!$A$6:$A$105,0))),NA())+IF(ISNUMBER(INDEX(Recetas!$T$6:$T$115,MATCH($E28,Recetas!$A$6:$A$115,0))),IF(INDEX(Recetas!$T$6:$T$115,MATCH($E28,Recetas!$A$6:$A$115,0))=0,0,INDEX(Recetas!$T$6:$T$115,MATCH($E28,Recetas!$A$6:$A$115,0))*INDEX(Telas!$I$6:$I$105,MATCH(N28,Telas!$A$6:$A$105,0))),NA())+IF(ISNUMBER(INDEX(Recetas!$W$6:$W$115,MATCH($E28,Recetas!$A$6:$A$115,0))),IF(INDEX(Recetas!$W$6:$W$115,MATCH($E28,Recetas!$A$6:$A$115,0))=0,0,INDEX(Recetas!$W$6:$W$115,MATCH($E28,Recetas!$A$6:$A$115,0))*INDEX(Telas!$I$6:$I$105,MATCH(O28,Telas!$A$6:$A$105,0))),NA()),""))</f>
        <v/>
      </c>
      <c r="S28" s="10" t="str">
        <f aca="false">IF($E28="","",IFERROR(INDEX(Recetas!$AA$6:$AA$115,MATCH($E28,Recetas!$A$6:$A$115,0))*1,""))</f>
        <v/>
      </c>
      <c r="T28" s="10" t="str">
        <f aca="false">IF($E28="","",IFERROR(INDEX(Recetas!$AB$6:$AB$115,MATCH($E28,Recetas!$A$6:$A$115,0))*1,""))</f>
        <v/>
      </c>
      <c r="U28" s="10" t="str">
        <f aca="false">IF($E28="","",IFERROR(INDEX(Recetas!$AC$6:$AC$115,MATCH($E28,Recetas!$A$6:$A$115,0))+N(I28),""))</f>
        <v/>
      </c>
      <c r="V28" s="11" t="str">
        <f aca="false">IF($E28="","",IFERROR(R28+S28+T28+U28,""))</f>
        <v/>
      </c>
      <c r="W28" s="11" t="str">
        <f aca="false">IF(ISNUMBER(V28),V28*Parametros!$B$12,"")</f>
        <v/>
      </c>
      <c r="X28" s="30" t="str">
        <f aca="false">IF(AND(ISNUMBER(V28),N(J28)&gt;0),(J28-V28-J28*Parametros!$B$8)/J28,"")</f>
        <v/>
      </c>
      <c r="Y28" s="10" t="str">
        <f aca="false">IF(AND(ISNUMBER(V28),N(J28)&gt;0),J28-V28-J28*Parametros!$B$8,"")</f>
        <v/>
      </c>
      <c r="Z28" s="29" t="str">
        <f aca="false">IF(AND(ISNUMBER(P28),M28&lt;&gt;""),IFERROR(1/(P28*INDEX(Telas!$G$6:$G$105,MATCH(M28,Telas!$A$6:$A$105,0))),""),"")</f>
        <v/>
      </c>
      <c r="AA28" s="7" t="str">
        <f aca="false">IF($E28="","",IF(ISNUMBER(V28),"OK",IF(Q28="","Precio o peso por metro de "&amp;M28&amp;". ","")&amp;IFERROR(INDEX(Recetas!$AG$6:$AG$115,MATCH($E28,Recetas!$A$6:$A$115,0)),"Molde no existe en Recetas.")))</f>
        <v/>
      </c>
    </row>
    <row r="29" customFormat="false" ht="15" hidden="false" customHeight="false" outlineLevel="0" collapsed="false">
      <c r="A29" s="27" t="s">
        <v>302</v>
      </c>
      <c r="B29" s="27" t="s">
        <v>303</v>
      </c>
      <c r="C29" s="27" t="s">
        <v>268</v>
      </c>
      <c r="D29" s="27" t="n">
        <v>40</v>
      </c>
      <c r="E29" s="27"/>
      <c r="F29" s="8"/>
      <c r="G29" s="8"/>
      <c r="H29" s="8"/>
      <c r="I29" s="15"/>
      <c r="J29" s="15" t="n">
        <v>32689</v>
      </c>
      <c r="K29" s="27" t="s">
        <v>249</v>
      </c>
      <c r="L29" s="27" t="s">
        <v>259</v>
      </c>
      <c r="M29" s="7" t="str">
        <f aca="false">IF($E29="","",IF(F29="",IFERROR(INDEX(Recetas!$K$6:$K$115,MATCH($E29,Recetas!$A$6:$A$115,0))&amp;"",""),F29))</f>
        <v/>
      </c>
      <c r="N29" s="7" t="str">
        <f aca="false">IF($E29="","",IF(AND(G29="",N(IFERROR(INDEX(Recetas!$T$6:$T$115,MATCH($E29,Recetas!$A$6:$A$115,0)),1))=0),"—",IF(G29="",IFERROR(INDEX(Recetas!$L$6:$L$115,MATCH($E29,Recetas!$A$6:$A$115,0))&amp;"",""),G29)))</f>
        <v/>
      </c>
      <c r="O29" s="7" t="str">
        <f aca="false">IF($E29="","",IF(AND(H29="",N(IFERROR(INDEX(Recetas!$W$6:$W$115,MATCH($E29,Recetas!$A$6:$A$115,0)),1))=0),"—",IF(H29="",IFERROR(IF(INDEX(Recetas!$M$6:$M$115,MATCH($E29,Recetas!$A$6:$A$115,0))&amp;""="",M29,INDEX(Recetas!$M$6:$M$115,MATCH($E29,Recetas!$A$6:$A$115,0))&amp;""),""),H29)))</f>
        <v/>
      </c>
      <c r="P29" s="9" t="str">
        <f aca="false">IF($E29="","",IFERROR(INDEX(Recetas!$Q$6:$Q$115,MATCH($E29,Recetas!$A$6:$A$115,0)),""))</f>
        <v/>
      </c>
      <c r="Q29" s="10" t="str">
        <f aca="false">IF($E29="","",IFERROR(INDEX(Telas!$I$6:$I$105,MATCH(M29,Telas!$A$6:$A$105,0)),""))</f>
        <v/>
      </c>
      <c r="R29" s="10" t="str">
        <f aca="false">IF($E29="","",IFERROR(IF(ISNUMBER(P29),IF(P29=0,0,P29*INDEX(Telas!$I$6:$I$105,MATCH(M29,Telas!$A$6:$A$105,0))),NA())+IF(ISNUMBER(INDEX(Recetas!$T$6:$T$115,MATCH($E29,Recetas!$A$6:$A$115,0))),IF(INDEX(Recetas!$T$6:$T$115,MATCH($E29,Recetas!$A$6:$A$115,0))=0,0,INDEX(Recetas!$T$6:$T$115,MATCH($E29,Recetas!$A$6:$A$115,0))*INDEX(Telas!$I$6:$I$105,MATCH(N29,Telas!$A$6:$A$105,0))),NA())+IF(ISNUMBER(INDEX(Recetas!$W$6:$W$115,MATCH($E29,Recetas!$A$6:$A$115,0))),IF(INDEX(Recetas!$W$6:$W$115,MATCH($E29,Recetas!$A$6:$A$115,0))=0,0,INDEX(Recetas!$W$6:$W$115,MATCH($E29,Recetas!$A$6:$A$115,0))*INDEX(Telas!$I$6:$I$105,MATCH(O29,Telas!$A$6:$A$105,0))),NA()),""))</f>
        <v/>
      </c>
      <c r="S29" s="10" t="str">
        <f aca="false">IF($E29="","",IFERROR(INDEX(Recetas!$AA$6:$AA$115,MATCH($E29,Recetas!$A$6:$A$115,0))*1,""))</f>
        <v/>
      </c>
      <c r="T29" s="10" t="str">
        <f aca="false">IF($E29="","",IFERROR(INDEX(Recetas!$AB$6:$AB$115,MATCH($E29,Recetas!$A$6:$A$115,0))*1,""))</f>
        <v/>
      </c>
      <c r="U29" s="10" t="str">
        <f aca="false">IF($E29="","",IFERROR(INDEX(Recetas!$AC$6:$AC$115,MATCH($E29,Recetas!$A$6:$A$115,0))+N(I29),""))</f>
        <v/>
      </c>
      <c r="V29" s="11" t="str">
        <f aca="false">IF($E29="","",IFERROR(R29+S29+T29+U29,""))</f>
        <v/>
      </c>
      <c r="W29" s="11" t="str">
        <f aca="false">IF(ISNUMBER(V29),V29*Parametros!$B$12,"")</f>
        <v/>
      </c>
      <c r="X29" s="30" t="str">
        <f aca="false">IF(AND(ISNUMBER(V29),N(J29)&gt;0),(J29-V29-J29*Parametros!$B$8)/J29,"")</f>
        <v/>
      </c>
      <c r="Y29" s="10" t="str">
        <f aca="false">IF(AND(ISNUMBER(V29),N(J29)&gt;0),J29-V29-J29*Parametros!$B$8,"")</f>
        <v/>
      </c>
      <c r="Z29" s="29" t="str">
        <f aca="false">IF(AND(ISNUMBER(P29),M29&lt;&gt;""),IFERROR(1/(P29*INDEX(Telas!$G$6:$G$105,MATCH(M29,Telas!$A$6:$A$105,0))),""),"")</f>
        <v/>
      </c>
      <c r="AA29" s="7" t="str">
        <f aca="false">IF($E29="","",IF(ISNUMBER(V29),"OK",IF(Q29="","Precio o peso por metro de "&amp;M29&amp;". ","")&amp;IFERROR(INDEX(Recetas!$AG$6:$AG$115,MATCH($E29,Recetas!$A$6:$A$115,0)),"Molde no existe en Recetas.")))</f>
        <v/>
      </c>
    </row>
    <row r="30" customFormat="false" ht="15" hidden="false" customHeight="false" outlineLevel="0" collapsed="false">
      <c r="A30" s="27" t="s">
        <v>304</v>
      </c>
      <c r="B30" s="27" t="s">
        <v>305</v>
      </c>
      <c r="C30" s="27" t="s">
        <v>248</v>
      </c>
      <c r="D30" s="27" t="n">
        <v>37</v>
      </c>
      <c r="E30" s="27"/>
      <c r="F30" s="8"/>
      <c r="G30" s="8"/>
      <c r="H30" s="8"/>
      <c r="I30" s="15"/>
      <c r="J30" s="15" t="n">
        <v>17563</v>
      </c>
      <c r="K30" s="27" t="s">
        <v>249</v>
      </c>
      <c r="L30" s="27" t="s">
        <v>259</v>
      </c>
      <c r="M30" s="7" t="str">
        <f aca="false">IF($E30="","",IF(F30="",IFERROR(INDEX(Recetas!$K$6:$K$115,MATCH($E30,Recetas!$A$6:$A$115,0))&amp;"",""),F30))</f>
        <v/>
      </c>
      <c r="N30" s="7" t="str">
        <f aca="false">IF($E30="","",IF(AND(G30="",N(IFERROR(INDEX(Recetas!$T$6:$T$115,MATCH($E30,Recetas!$A$6:$A$115,0)),1))=0),"—",IF(G30="",IFERROR(INDEX(Recetas!$L$6:$L$115,MATCH($E30,Recetas!$A$6:$A$115,0))&amp;"",""),G30)))</f>
        <v/>
      </c>
      <c r="O30" s="7" t="str">
        <f aca="false">IF($E30="","",IF(AND(H30="",N(IFERROR(INDEX(Recetas!$W$6:$W$115,MATCH($E30,Recetas!$A$6:$A$115,0)),1))=0),"—",IF(H30="",IFERROR(IF(INDEX(Recetas!$M$6:$M$115,MATCH($E30,Recetas!$A$6:$A$115,0))&amp;""="",M30,INDEX(Recetas!$M$6:$M$115,MATCH($E30,Recetas!$A$6:$A$115,0))&amp;""),""),H30)))</f>
        <v/>
      </c>
      <c r="P30" s="9" t="str">
        <f aca="false">IF($E30="","",IFERROR(INDEX(Recetas!$Q$6:$Q$115,MATCH($E30,Recetas!$A$6:$A$115,0)),""))</f>
        <v/>
      </c>
      <c r="Q30" s="10" t="str">
        <f aca="false">IF($E30="","",IFERROR(INDEX(Telas!$I$6:$I$105,MATCH(M30,Telas!$A$6:$A$105,0)),""))</f>
        <v/>
      </c>
      <c r="R30" s="10" t="str">
        <f aca="false">IF($E30="","",IFERROR(IF(ISNUMBER(P30),IF(P30=0,0,P30*INDEX(Telas!$I$6:$I$105,MATCH(M30,Telas!$A$6:$A$105,0))),NA())+IF(ISNUMBER(INDEX(Recetas!$T$6:$T$115,MATCH($E30,Recetas!$A$6:$A$115,0))),IF(INDEX(Recetas!$T$6:$T$115,MATCH($E30,Recetas!$A$6:$A$115,0))=0,0,INDEX(Recetas!$T$6:$T$115,MATCH($E30,Recetas!$A$6:$A$115,0))*INDEX(Telas!$I$6:$I$105,MATCH(N30,Telas!$A$6:$A$105,0))),NA())+IF(ISNUMBER(INDEX(Recetas!$W$6:$W$115,MATCH($E30,Recetas!$A$6:$A$115,0))),IF(INDEX(Recetas!$W$6:$W$115,MATCH($E30,Recetas!$A$6:$A$115,0))=0,0,INDEX(Recetas!$W$6:$W$115,MATCH($E30,Recetas!$A$6:$A$115,0))*INDEX(Telas!$I$6:$I$105,MATCH(O30,Telas!$A$6:$A$105,0))),NA()),""))</f>
        <v/>
      </c>
      <c r="S30" s="10" t="str">
        <f aca="false">IF($E30="","",IFERROR(INDEX(Recetas!$AA$6:$AA$115,MATCH($E30,Recetas!$A$6:$A$115,0))*1,""))</f>
        <v/>
      </c>
      <c r="T30" s="10" t="str">
        <f aca="false">IF($E30="","",IFERROR(INDEX(Recetas!$AB$6:$AB$115,MATCH($E30,Recetas!$A$6:$A$115,0))*1,""))</f>
        <v/>
      </c>
      <c r="U30" s="10" t="str">
        <f aca="false">IF($E30="","",IFERROR(INDEX(Recetas!$AC$6:$AC$115,MATCH($E30,Recetas!$A$6:$A$115,0))+N(I30),""))</f>
        <v/>
      </c>
      <c r="V30" s="11" t="str">
        <f aca="false">IF($E30="","",IFERROR(R30+S30+T30+U30,""))</f>
        <v/>
      </c>
      <c r="W30" s="11" t="str">
        <f aca="false">IF(ISNUMBER(V30),V30*Parametros!$B$12,"")</f>
        <v/>
      </c>
      <c r="X30" s="30" t="str">
        <f aca="false">IF(AND(ISNUMBER(V30),N(J30)&gt;0),(J30-V30-J30*Parametros!$B$8)/J30,"")</f>
        <v/>
      </c>
      <c r="Y30" s="10" t="str">
        <f aca="false">IF(AND(ISNUMBER(V30),N(J30)&gt;0),J30-V30-J30*Parametros!$B$8,"")</f>
        <v/>
      </c>
      <c r="Z30" s="29" t="str">
        <f aca="false">IF(AND(ISNUMBER(P30),M30&lt;&gt;""),IFERROR(1/(P30*INDEX(Telas!$G$6:$G$105,MATCH(M30,Telas!$A$6:$A$105,0))),""),"")</f>
        <v/>
      </c>
      <c r="AA30" s="7" t="str">
        <f aca="false">IF($E30="","",IF(ISNUMBER(V30),"OK",IF(Q30="","Precio o peso por metro de "&amp;M30&amp;". ","")&amp;IFERROR(INDEX(Recetas!$AG$6:$AG$115,MATCH($E30,Recetas!$A$6:$A$115,0)),"Molde no existe en Recetas.")))</f>
        <v/>
      </c>
    </row>
    <row r="31" customFormat="false" ht="15" hidden="false" customHeight="false" outlineLevel="0" collapsed="false">
      <c r="A31" s="27" t="s">
        <v>306</v>
      </c>
      <c r="B31" s="27" t="s">
        <v>307</v>
      </c>
      <c r="C31" s="27" t="s">
        <v>268</v>
      </c>
      <c r="D31" s="27" t="n">
        <v>37</v>
      </c>
      <c r="E31" s="27"/>
      <c r="F31" s="8"/>
      <c r="G31" s="8"/>
      <c r="H31" s="8"/>
      <c r="I31" s="15"/>
      <c r="J31" s="15" t="n">
        <v>54022</v>
      </c>
      <c r="K31" s="27" t="s">
        <v>249</v>
      </c>
      <c r="L31" s="27" t="s">
        <v>259</v>
      </c>
      <c r="M31" s="7" t="str">
        <f aca="false">IF($E31="","",IF(F31="",IFERROR(INDEX(Recetas!$K$6:$K$115,MATCH($E31,Recetas!$A$6:$A$115,0))&amp;"",""),F31))</f>
        <v/>
      </c>
      <c r="N31" s="7" t="str">
        <f aca="false">IF($E31="","",IF(AND(G31="",N(IFERROR(INDEX(Recetas!$T$6:$T$115,MATCH($E31,Recetas!$A$6:$A$115,0)),1))=0),"—",IF(G31="",IFERROR(INDEX(Recetas!$L$6:$L$115,MATCH($E31,Recetas!$A$6:$A$115,0))&amp;"",""),G31)))</f>
        <v/>
      </c>
      <c r="O31" s="7" t="str">
        <f aca="false">IF($E31="","",IF(AND(H31="",N(IFERROR(INDEX(Recetas!$W$6:$W$115,MATCH($E31,Recetas!$A$6:$A$115,0)),1))=0),"—",IF(H31="",IFERROR(IF(INDEX(Recetas!$M$6:$M$115,MATCH($E31,Recetas!$A$6:$A$115,0))&amp;""="",M31,INDEX(Recetas!$M$6:$M$115,MATCH($E31,Recetas!$A$6:$A$115,0))&amp;""),""),H31)))</f>
        <v/>
      </c>
      <c r="P31" s="9" t="str">
        <f aca="false">IF($E31="","",IFERROR(INDEX(Recetas!$Q$6:$Q$115,MATCH($E31,Recetas!$A$6:$A$115,0)),""))</f>
        <v/>
      </c>
      <c r="Q31" s="10" t="str">
        <f aca="false">IF($E31="","",IFERROR(INDEX(Telas!$I$6:$I$105,MATCH(M31,Telas!$A$6:$A$105,0)),""))</f>
        <v/>
      </c>
      <c r="R31" s="10" t="str">
        <f aca="false">IF($E31="","",IFERROR(IF(ISNUMBER(P31),IF(P31=0,0,P31*INDEX(Telas!$I$6:$I$105,MATCH(M31,Telas!$A$6:$A$105,0))),NA())+IF(ISNUMBER(INDEX(Recetas!$T$6:$T$115,MATCH($E31,Recetas!$A$6:$A$115,0))),IF(INDEX(Recetas!$T$6:$T$115,MATCH($E31,Recetas!$A$6:$A$115,0))=0,0,INDEX(Recetas!$T$6:$T$115,MATCH($E31,Recetas!$A$6:$A$115,0))*INDEX(Telas!$I$6:$I$105,MATCH(N31,Telas!$A$6:$A$105,0))),NA())+IF(ISNUMBER(INDEX(Recetas!$W$6:$W$115,MATCH($E31,Recetas!$A$6:$A$115,0))),IF(INDEX(Recetas!$W$6:$W$115,MATCH($E31,Recetas!$A$6:$A$115,0))=0,0,INDEX(Recetas!$W$6:$W$115,MATCH($E31,Recetas!$A$6:$A$115,0))*INDEX(Telas!$I$6:$I$105,MATCH(O31,Telas!$A$6:$A$105,0))),NA()),""))</f>
        <v/>
      </c>
      <c r="S31" s="10" t="str">
        <f aca="false">IF($E31="","",IFERROR(INDEX(Recetas!$AA$6:$AA$115,MATCH($E31,Recetas!$A$6:$A$115,0))*1,""))</f>
        <v/>
      </c>
      <c r="T31" s="10" t="str">
        <f aca="false">IF($E31="","",IFERROR(INDEX(Recetas!$AB$6:$AB$115,MATCH($E31,Recetas!$A$6:$A$115,0))*1,""))</f>
        <v/>
      </c>
      <c r="U31" s="10" t="str">
        <f aca="false">IF($E31="","",IFERROR(INDEX(Recetas!$AC$6:$AC$115,MATCH($E31,Recetas!$A$6:$A$115,0))+N(I31),""))</f>
        <v/>
      </c>
      <c r="V31" s="11" t="str">
        <f aca="false">IF($E31="","",IFERROR(R31+S31+T31+U31,""))</f>
        <v/>
      </c>
      <c r="W31" s="11" t="str">
        <f aca="false">IF(ISNUMBER(V31),V31*Parametros!$B$12,"")</f>
        <v/>
      </c>
      <c r="X31" s="30" t="str">
        <f aca="false">IF(AND(ISNUMBER(V31),N(J31)&gt;0),(J31-V31-J31*Parametros!$B$8)/J31,"")</f>
        <v/>
      </c>
      <c r="Y31" s="10" t="str">
        <f aca="false">IF(AND(ISNUMBER(V31),N(J31)&gt;0),J31-V31-J31*Parametros!$B$8,"")</f>
        <v/>
      </c>
      <c r="Z31" s="29" t="str">
        <f aca="false">IF(AND(ISNUMBER(P31),M31&lt;&gt;""),IFERROR(1/(P31*INDEX(Telas!$G$6:$G$105,MATCH(M31,Telas!$A$6:$A$105,0))),""),"")</f>
        <v/>
      </c>
      <c r="AA31" s="7" t="str">
        <f aca="false">IF($E31="","",IF(ISNUMBER(V31),"OK",IF(Q31="","Precio o peso por metro de "&amp;M31&amp;". ","")&amp;IFERROR(INDEX(Recetas!$AG$6:$AG$115,MATCH($E31,Recetas!$A$6:$A$115,0)),"Molde no existe en Recetas.")))</f>
        <v/>
      </c>
    </row>
    <row r="32" customFormat="false" ht="15" hidden="false" customHeight="false" outlineLevel="0" collapsed="false">
      <c r="A32" s="27" t="s">
        <v>308</v>
      </c>
      <c r="B32" s="27" t="s">
        <v>309</v>
      </c>
      <c r="C32" s="27" t="s">
        <v>248</v>
      </c>
      <c r="D32" s="27" t="n">
        <v>35</v>
      </c>
      <c r="E32" s="27" t="s">
        <v>198</v>
      </c>
      <c r="F32" s="8" t="s">
        <v>202</v>
      </c>
      <c r="G32" s="8"/>
      <c r="H32" s="8"/>
      <c r="I32" s="15"/>
      <c r="J32" s="15" t="n">
        <v>14202</v>
      </c>
      <c r="K32" s="27" t="s">
        <v>249</v>
      </c>
      <c r="L32" s="27" t="s">
        <v>310</v>
      </c>
      <c r="M32" s="7" t="str">
        <f aca="false">IF($E32="","",IF(F32="",IFERROR(INDEX(Recetas!$K$6:$K$115,MATCH($E32,Recetas!$A$6:$A$115,0))&amp;"",""),F32))</f>
        <v>GABARDINA</v>
      </c>
      <c r="N32" s="7" t="str">
        <f aca="false">IF($E32="","",IF(AND(G32="",N(IFERROR(INDEX(Recetas!$T$6:$T$115,MATCH($E32,Recetas!$A$6:$A$115,0)),1))=0),"—",IF(G32="",IFERROR(INDEX(Recetas!$L$6:$L$115,MATCH($E32,Recetas!$A$6:$A$115,0))&amp;"",""),G32)))</f>
        <v>—</v>
      </c>
      <c r="O32" s="7" t="str">
        <f aca="false">IF($E32="","",IF(AND(H32="",N(IFERROR(INDEX(Recetas!$W$6:$W$115,MATCH($E32,Recetas!$A$6:$A$115,0)),1))=0),"—",IF(H32="",IFERROR(IF(INDEX(Recetas!$M$6:$M$115,MATCH($E32,Recetas!$A$6:$A$115,0))&amp;""="",M32,INDEX(Recetas!$M$6:$M$115,MATCH($E32,Recetas!$A$6:$A$115,0))&amp;""),""),H32)))</f>
        <v>—</v>
      </c>
      <c r="P32" s="9" t="str">
        <f aca="false">IF($E32="","",IFERROR(INDEX(Recetas!$Q$6:$Q$115,MATCH($E32,Recetas!$A$6:$A$115,0)),""))</f>
        <v/>
      </c>
      <c r="Q32" s="10" t="str">
        <f aca="false">IF($E32="","",IFERROR(INDEX(Telas!$I$6:$I$105,MATCH(M32,Telas!$A$6:$A$105,0)),""))</f>
        <v/>
      </c>
      <c r="R32" s="10" t="str">
        <f aca="false">IF($E32="","",IFERROR(IF(ISNUMBER(P32),IF(P32=0,0,P32*INDEX(Telas!$I$6:$I$105,MATCH(M32,Telas!$A$6:$A$105,0))),NA())+IF(ISNUMBER(INDEX(Recetas!$T$6:$T$115,MATCH($E32,Recetas!$A$6:$A$115,0))),IF(INDEX(Recetas!$T$6:$T$115,MATCH($E32,Recetas!$A$6:$A$115,0))=0,0,INDEX(Recetas!$T$6:$T$115,MATCH($E32,Recetas!$A$6:$A$115,0))*INDEX(Telas!$I$6:$I$105,MATCH(N32,Telas!$A$6:$A$105,0))),NA())+IF(ISNUMBER(INDEX(Recetas!$W$6:$W$115,MATCH($E32,Recetas!$A$6:$A$115,0))),IF(INDEX(Recetas!$W$6:$W$115,MATCH($E32,Recetas!$A$6:$A$115,0))=0,0,INDEX(Recetas!$W$6:$W$115,MATCH($E32,Recetas!$A$6:$A$115,0))*INDEX(Telas!$I$6:$I$105,MATCH(O32,Telas!$A$6:$A$105,0))),NA()),""))</f>
        <v/>
      </c>
      <c r="S32" s="10" t="n">
        <f aca="false">IF($E32="","",IFERROR(INDEX(Recetas!$AA$6:$AA$115,MATCH($E32,Recetas!$A$6:$A$115,0))*1,""))</f>
        <v>0</v>
      </c>
      <c r="T32" s="10" t="n">
        <f aca="false">IF($E32="","",IFERROR(INDEX(Recetas!$AB$6:$AB$115,MATCH($E32,Recetas!$A$6:$A$115,0))*1,""))</f>
        <v>2200</v>
      </c>
      <c r="U32" s="10" t="n">
        <f aca="false">IF($E32="","",IFERROR(INDEX(Recetas!$AC$6:$AC$115,MATCH($E32,Recetas!$A$6:$A$115,0))+N(I32),""))</f>
        <v>0</v>
      </c>
      <c r="V32" s="11" t="str">
        <f aca="false">IF($E32="","",IFERROR(R32+S32+T32+U32,""))</f>
        <v/>
      </c>
      <c r="W32" s="11" t="str">
        <f aca="false">IF(ISNUMBER(V32),V32*Parametros!$B$12,"")</f>
        <v/>
      </c>
      <c r="X32" s="30" t="str">
        <f aca="false">IF(AND(ISNUMBER(V32),N(J32)&gt;0),(J32-V32-J32*Parametros!$B$8)/J32,"")</f>
        <v/>
      </c>
      <c r="Y32" s="10" t="str">
        <f aca="false">IF(AND(ISNUMBER(V32),N(J32)&gt;0),J32-V32-J32*Parametros!$B$8,"")</f>
        <v/>
      </c>
      <c r="Z32" s="29" t="str">
        <f aca="false">IF(AND(ISNUMBER(P32),M32&lt;&gt;""),IFERROR(1/(P32*INDEX(Telas!$G$6:$G$105,MATCH(M32,Telas!$A$6:$A$105,0))),""),"")</f>
        <v/>
      </c>
      <c r="AA32" s="7" t="str">
        <f aca="false">IF($E32="","",IF(ISNUMBER(V32),"OK",IF(Q32="","Precio o peso por metro de "&amp;M32&amp;". ","")&amp;IFERROR(INDEX(Recetas!$AG$6:$AG$115,MATCH($E32,Recetas!$A$6:$A$115,0)),"Molde no existe en Recetas.")))</f>
        <v>Precio o peso por metro de GABARDINA. Consumo tela principal (Despiece o Mediciones). Pesar 1 m de la tela medida (Telas, kg por metro). Precio o peso por metro de GABARDINA. </v>
      </c>
    </row>
    <row r="33" customFormat="false" ht="15" hidden="false" customHeight="false" outlineLevel="0" collapsed="false">
      <c r="A33" s="27" t="s">
        <v>311</v>
      </c>
      <c r="B33" s="27" t="s">
        <v>312</v>
      </c>
      <c r="C33" s="27" t="s">
        <v>268</v>
      </c>
      <c r="D33" s="27" t="n">
        <v>35</v>
      </c>
      <c r="E33" s="27"/>
      <c r="F33" s="8"/>
      <c r="G33" s="8"/>
      <c r="H33" s="8"/>
      <c r="I33" s="15"/>
      <c r="J33" s="15" t="n">
        <v>27647</v>
      </c>
      <c r="K33" s="27" t="s">
        <v>249</v>
      </c>
      <c r="L33" s="27" t="s">
        <v>259</v>
      </c>
      <c r="M33" s="7" t="str">
        <f aca="false">IF($E33="","",IF(F33="",IFERROR(INDEX(Recetas!$K$6:$K$115,MATCH($E33,Recetas!$A$6:$A$115,0))&amp;"",""),F33))</f>
        <v/>
      </c>
      <c r="N33" s="7" t="str">
        <f aca="false">IF($E33="","",IF(AND(G33="",N(IFERROR(INDEX(Recetas!$T$6:$T$115,MATCH($E33,Recetas!$A$6:$A$115,0)),1))=0),"—",IF(G33="",IFERROR(INDEX(Recetas!$L$6:$L$115,MATCH($E33,Recetas!$A$6:$A$115,0))&amp;"",""),G33)))</f>
        <v/>
      </c>
      <c r="O33" s="7" t="str">
        <f aca="false">IF($E33="","",IF(AND(H33="",N(IFERROR(INDEX(Recetas!$W$6:$W$115,MATCH($E33,Recetas!$A$6:$A$115,0)),1))=0),"—",IF(H33="",IFERROR(IF(INDEX(Recetas!$M$6:$M$115,MATCH($E33,Recetas!$A$6:$A$115,0))&amp;""="",M33,INDEX(Recetas!$M$6:$M$115,MATCH($E33,Recetas!$A$6:$A$115,0))&amp;""),""),H33)))</f>
        <v/>
      </c>
      <c r="P33" s="9" t="str">
        <f aca="false">IF($E33="","",IFERROR(INDEX(Recetas!$Q$6:$Q$115,MATCH($E33,Recetas!$A$6:$A$115,0)),""))</f>
        <v/>
      </c>
      <c r="Q33" s="10" t="str">
        <f aca="false">IF($E33="","",IFERROR(INDEX(Telas!$I$6:$I$105,MATCH(M33,Telas!$A$6:$A$105,0)),""))</f>
        <v/>
      </c>
      <c r="R33" s="10" t="str">
        <f aca="false">IF($E33="","",IFERROR(IF(ISNUMBER(P33),IF(P33=0,0,P33*INDEX(Telas!$I$6:$I$105,MATCH(M33,Telas!$A$6:$A$105,0))),NA())+IF(ISNUMBER(INDEX(Recetas!$T$6:$T$115,MATCH($E33,Recetas!$A$6:$A$115,0))),IF(INDEX(Recetas!$T$6:$T$115,MATCH($E33,Recetas!$A$6:$A$115,0))=0,0,INDEX(Recetas!$T$6:$T$115,MATCH($E33,Recetas!$A$6:$A$115,0))*INDEX(Telas!$I$6:$I$105,MATCH(N33,Telas!$A$6:$A$105,0))),NA())+IF(ISNUMBER(INDEX(Recetas!$W$6:$W$115,MATCH($E33,Recetas!$A$6:$A$115,0))),IF(INDEX(Recetas!$W$6:$W$115,MATCH($E33,Recetas!$A$6:$A$115,0))=0,0,INDEX(Recetas!$W$6:$W$115,MATCH($E33,Recetas!$A$6:$A$115,0))*INDEX(Telas!$I$6:$I$105,MATCH(O33,Telas!$A$6:$A$105,0))),NA()),""))</f>
        <v/>
      </c>
      <c r="S33" s="10" t="str">
        <f aca="false">IF($E33="","",IFERROR(INDEX(Recetas!$AA$6:$AA$115,MATCH($E33,Recetas!$A$6:$A$115,0))*1,""))</f>
        <v/>
      </c>
      <c r="T33" s="10" t="str">
        <f aca="false">IF($E33="","",IFERROR(INDEX(Recetas!$AB$6:$AB$115,MATCH($E33,Recetas!$A$6:$A$115,0))*1,""))</f>
        <v/>
      </c>
      <c r="U33" s="10" t="str">
        <f aca="false">IF($E33="","",IFERROR(INDEX(Recetas!$AC$6:$AC$115,MATCH($E33,Recetas!$A$6:$A$115,0))+N(I33),""))</f>
        <v/>
      </c>
      <c r="V33" s="11" t="str">
        <f aca="false">IF($E33="","",IFERROR(R33+S33+T33+U33,""))</f>
        <v/>
      </c>
      <c r="W33" s="11" t="str">
        <f aca="false">IF(ISNUMBER(V33),V33*Parametros!$B$12,"")</f>
        <v/>
      </c>
      <c r="X33" s="30" t="str">
        <f aca="false">IF(AND(ISNUMBER(V33),N(J33)&gt;0),(J33-V33-J33*Parametros!$B$8)/J33,"")</f>
        <v/>
      </c>
      <c r="Y33" s="10" t="str">
        <f aca="false">IF(AND(ISNUMBER(V33),N(J33)&gt;0),J33-V33-J33*Parametros!$B$8,"")</f>
        <v/>
      </c>
      <c r="Z33" s="29" t="str">
        <f aca="false">IF(AND(ISNUMBER(P33),M33&lt;&gt;""),IFERROR(1/(P33*INDEX(Telas!$G$6:$G$105,MATCH(M33,Telas!$A$6:$A$105,0))),""),"")</f>
        <v/>
      </c>
      <c r="AA33" s="7" t="str">
        <f aca="false">IF($E33="","",IF(ISNUMBER(V33),"OK",IF(Q33="","Precio o peso por metro de "&amp;M33&amp;". ","")&amp;IFERROR(INDEX(Recetas!$AG$6:$AG$115,MATCH($E33,Recetas!$A$6:$A$115,0)),"Molde no existe en Recetas.")))</f>
        <v/>
      </c>
    </row>
    <row r="34" customFormat="false" ht="15" hidden="false" customHeight="false" outlineLevel="0" collapsed="false">
      <c r="A34" s="27" t="s">
        <v>313</v>
      </c>
      <c r="B34" s="27" t="s">
        <v>314</v>
      </c>
      <c r="C34" s="27" t="s">
        <v>248</v>
      </c>
      <c r="D34" s="27" t="n">
        <v>34</v>
      </c>
      <c r="E34" s="27"/>
      <c r="F34" s="8"/>
      <c r="G34" s="8"/>
      <c r="H34" s="8"/>
      <c r="I34" s="15"/>
      <c r="J34" s="15" t="n">
        <v>19664</v>
      </c>
      <c r="K34" s="27" t="s">
        <v>249</v>
      </c>
      <c r="L34" s="27" t="s">
        <v>259</v>
      </c>
      <c r="M34" s="7" t="str">
        <f aca="false">IF($E34="","",IF(F34="",IFERROR(INDEX(Recetas!$K$6:$K$115,MATCH($E34,Recetas!$A$6:$A$115,0))&amp;"",""),F34))</f>
        <v/>
      </c>
      <c r="N34" s="7" t="str">
        <f aca="false">IF($E34="","",IF(AND(G34="",N(IFERROR(INDEX(Recetas!$T$6:$T$115,MATCH($E34,Recetas!$A$6:$A$115,0)),1))=0),"—",IF(G34="",IFERROR(INDEX(Recetas!$L$6:$L$115,MATCH($E34,Recetas!$A$6:$A$115,0))&amp;"",""),G34)))</f>
        <v/>
      </c>
      <c r="O34" s="7" t="str">
        <f aca="false">IF($E34="","",IF(AND(H34="",N(IFERROR(INDEX(Recetas!$W$6:$W$115,MATCH($E34,Recetas!$A$6:$A$115,0)),1))=0),"—",IF(H34="",IFERROR(IF(INDEX(Recetas!$M$6:$M$115,MATCH($E34,Recetas!$A$6:$A$115,0))&amp;""="",M34,INDEX(Recetas!$M$6:$M$115,MATCH($E34,Recetas!$A$6:$A$115,0))&amp;""),""),H34)))</f>
        <v/>
      </c>
      <c r="P34" s="9" t="str">
        <f aca="false">IF($E34="","",IFERROR(INDEX(Recetas!$Q$6:$Q$115,MATCH($E34,Recetas!$A$6:$A$115,0)),""))</f>
        <v/>
      </c>
      <c r="Q34" s="10" t="str">
        <f aca="false">IF($E34="","",IFERROR(INDEX(Telas!$I$6:$I$105,MATCH(M34,Telas!$A$6:$A$105,0)),""))</f>
        <v/>
      </c>
      <c r="R34" s="10" t="str">
        <f aca="false">IF($E34="","",IFERROR(IF(ISNUMBER(P34),IF(P34=0,0,P34*INDEX(Telas!$I$6:$I$105,MATCH(M34,Telas!$A$6:$A$105,0))),NA())+IF(ISNUMBER(INDEX(Recetas!$T$6:$T$115,MATCH($E34,Recetas!$A$6:$A$115,0))),IF(INDEX(Recetas!$T$6:$T$115,MATCH($E34,Recetas!$A$6:$A$115,0))=0,0,INDEX(Recetas!$T$6:$T$115,MATCH($E34,Recetas!$A$6:$A$115,0))*INDEX(Telas!$I$6:$I$105,MATCH(N34,Telas!$A$6:$A$105,0))),NA())+IF(ISNUMBER(INDEX(Recetas!$W$6:$W$115,MATCH($E34,Recetas!$A$6:$A$115,0))),IF(INDEX(Recetas!$W$6:$W$115,MATCH($E34,Recetas!$A$6:$A$115,0))=0,0,INDEX(Recetas!$W$6:$W$115,MATCH($E34,Recetas!$A$6:$A$115,0))*INDEX(Telas!$I$6:$I$105,MATCH(O34,Telas!$A$6:$A$105,0))),NA()),""))</f>
        <v/>
      </c>
      <c r="S34" s="10" t="str">
        <f aca="false">IF($E34="","",IFERROR(INDEX(Recetas!$AA$6:$AA$115,MATCH($E34,Recetas!$A$6:$A$115,0))*1,""))</f>
        <v/>
      </c>
      <c r="T34" s="10" t="str">
        <f aca="false">IF($E34="","",IFERROR(INDEX(Recetas!$AB$6:$AB$115,MATCH($E34,Recetas!$A$6:$A$115,0))*1,""))</f>
        <v/>
      </c>
      <c r="U34" s="10" t="str">
        <f aca="false">IF($E34="","",IFERROR(INDEX(Recetas!$AC$6:$AC$115,MATCH($E34,Recetas!$A$6:$A$115,0))+N(I34),""))</f>
        <v/>
      </c>
      <c r="V34" s="11" t="str">
        <f aca="false">IF($E34="","",IFERROR(R34+S34+T34+U34,""))</f>
        <v/>
      </c>
      <c r="W34" s="11" t="str">
        <f aca="false">IF(ISNUMBER(V34),V34*Parametros!$B$12,"")</f>
        <v/>
      </c>
      <c r="X34" s="30" t="str">
        <f aca="false">IF(AND(ISNUMBER(V34),N(J34)&gt;0),(J34-V34-J34*Parametros!$B$8)/J34,"")</f>
        <v/>
      </c>
      <c r="Y34" s="10" t="str">
        <f aca="false">IF(AND(ISNUMBER(V34),N(J34)&gt;0),J34-V34-J34*Parametros!$B$8,"")</f>
        <v/>
      </c>
      <c r="Z34" s="29" t="str">
        <f aca="false">IF(AND(ISNUMBER(P34),M34&lt;&gt;""),IFERROR(1/(P34*INDEX(Telas!$G$6:$G$105,MATCH(M34,Telas!$A$6:$A$105,0))),""),"")</f>
        <v/>
      </c>
      <c r="AA34" s="7" t="str">
        <f aca="false">IF($E34="","",IF(ISNUMBER(V34),"OK",IF(Q34="","Precio o peso por metro de "&amp;M34&amp;". ","")&amp;IFERROR(INDEX(Recetas!$AG$6:$AG$115,MATCH($E34,Recetas!$A$6:$A$115,0)),"Molde no existe en Recetas.")))</f>
        <v/>
      </c>
    </row>
    <row r="35" customFormat="false" ht="15" hidden="false" customHeight="false" outlineLevel="0" collapsed="false">
      <c r="A35" s="27" t="s">
        <v>315</v>
      </c>
      <c r="B35" s="27" t="s">
        <v>316</v>
      </c>
      <c r="C35" s="27" t="s">
        <v>248</v>
      </c>
      <c r="D35" s="27" t="n">
        <v>34</v>
      </c>
      <c r="E35" s="27" t="s">
        <v>96</v>
      </c>
      <c r="F35" s="8"/>
      <c r="G35" s="8"/>
      <c r="H35" s="8"/>
      <c r="I35" s="15"/>
      <c r="J35" s="15" t="n">
        <v>17563</v>
      </c>
      <c r="K35" s="27" t="s">
        <v>249</v>
      </c>
      <c r="L35" s="27" t="s">
        <v>317</v>
      </c>
      <c r="M35" s="7" t="str">
        <f aca="false">IF($E35="","",IF(F35="",IFERROR(INDEX(Recetas!$K$6:$K$115,MATCH($E35,Recetas!$A$6:$A$115,0))&amp;"",""),F35))</f>
        <v/>
      </c>
      <c r="N35" s="7" t="str">
        <f aca="false">IF($E35="","",IF(AND(G35="",N(IFERROR(INDEX(Recetas!$T$6:$T$115,MATCH($E35,Recetas!$A$6:$A$115,0)),1))=0),"—",IF(G35="",IFERROR(INDEX(Recetas!$L$6:$L$115,MATCH($E35,Recetas!$A$6:$A$115,0))&amp;"",""),G35)))</f>
        <v>—</v>
      </c>
      <c r="O35" s="7" t="str">
        <f aca="false">IF($E35="","",IF(AND(H35="",N(IFERROR(INDEX(Recetas!$W$6:$W$115,MATCH($E35,Recetas!$A$6:$A$115,0)),1))=0),"—",IF(H35="",IFERROR(IF(INDEX(Recetas!$M$6:$M$115,MATCH($E35,Recetas!$A$6:$A$115,0))&amp;""="",M35,INDEX(Recetas!$M$6:$M$115,MATCH($E35,Recetas!$A$6:$A$115,0))&amp;""),""),H35)))</f>
        <v>—</v>
      </c>
      <c r="P35" s="9" t="str">
        <f aca="false">IF($E35="","",IFERROR(INDEX(Recetas!$Q$6:$Q$115,MATCH($E35,Recetas!$A$6:$A$115,0)),""))</f>
        <v/>
      </c>
      <c r="Q35" s="10" t="str">
        <f aca="false">IF($E35="","",IFERROR(INDEX(Telas!$I$6:$I$105,MATCH(M35,Telas!$A$6:$A$105,0)),""))</f>
        <v/>
      </c>
      <c r="R35" s="10" t="str">
        <f aca="false">IF($E35="","",IFERROR(IF(ISNUMBER(P35),IF(P35=0,0,P35*INDEX(Telas!$I$6:$I$105,MATCH(M35,Telas!$A$6:$A$105,0))),NA())+IF(ISNUMBER(INDEX(Recetas!$T$6:$T$115,MATCH($E35,Recetas!$A$6:$A$115,0))),IF(INDEX(Recetas!$T$6:$T$115,MATCH($E35,Recetas!$A$6:$A$115,0))=0,0,INDEX(Recetas!$T$6:$T$115,MATCH($E35,Recetas!$A$6:$A$115,0))*INDEX(Telas!$I$6:$I$105,MATCH(N35,Telas!$A$6:$A$105,0))),NA())+IF(ISNUMBER(INDEX(Recetas!$W$6:$W$115,MATCH($E35,Recetas!$A$6:$A$115,0))),IF(INDEX(Recetas!$W$6:$W$115,MATCH($E35,Recetas!$A$6:$A$115,0))=0,0,INDEX(Recetas!$W$6:$W$115,MATCH($E35,Recetas!$A$6:$A$115,0))*INDEX(Telas!$I$6:$I$105,MATCH(O35,Telas!$A$6:$A$105,0))),NA()),""))</f>
        <v/>
      </c>
      <c r="S35" s="10" t="str">
        <f aca="false">IF($E35="","",IFERROR(INDEX(Recetas!$AA$6:$AA$115,MATCH($E35,Recetas!$A$6:$A$115,0))*1,""))</f>
        <v/>
      </c>
      <c r="T35" s="10" t="n">
        <f aca="false">IF($E35="","",IFERROR(INDEX(Recetas!$AB$6:$AB$115,MATCH($E35,Recetas!$A$6:$A$115,0))*1,""))</f>
        <v>2000</v>
      </c>
      <c r="U35" s="10" t="n">
        <f aca="false">IF($E35="","",IFERROR(INDEX(Recetas!$AC$6:$AC$115,MATCH($E35,Recetas!$A$6:$A$115,0))+N(I35),""))</f>
        <v>0</v>
      </c>
      <c r="V35" s="11" t="str">
        <f aca="false">IF($E35="","",IFERROR(R35+S35+T35+U35,""))</f>
        <v/>
      </c>
      <c r="W35" s="11" t="str">
        <f aca="false">IF(ISNUMBER(V35),V35*Parametros!$B$12,"")</f>
        <v/>
      </c>
      <c r="X35" s="30" t="str">
        <f aca="false">IF(AND(ISNUMBER(V35),N(J35)&gt;0),(J35-V35-J35*Parametros!$B$8)/J35,"")</f>
        <v/>
      </c>
      <c r="Y35" s="10" t="str">
        <f aca="false">IF(AND(ISNUMBER(V35),N(J35)&gt;0),J35-V35-J35*Parametros!$B$8,"")</f>
        <v/>
      </c>
      <c r="Z35" s="29" t="str">
        <f aca="false">IF(AND(ISNUMBER(P35),M35&lt;&gt;""),IFERROR(1/(P35*INDEX(Telas!$G$6:$G$105,MATCH(M35,Telas!$A$6:$A$105,0))),""),"")</f>
        <v/>
      </c>
      <c r="AA35" s="7" t="str">
        <f aca="false">IF($E35="","",IF(ISNUMBER(V35),"OK",IF(Q35="","Precio o peso por metro de "&amp;M35&amp;". ","")&amp;IFERROR(INDEX(Recetas!$AG$6:$AG$115,MATCH($E35,Recetas!$A$6:$A$115,0)),"Molde no existe en Recetas.")))</f>
        <v>Precio o peso por metro de . Consumo tela principal (Despiece o Mediciones). Elegir tela principal. Metros impresos. </v>
      </c>
    </row>
    <row r="36" customFormat="false" ht="15" hidden="false" customHeight="false" outlineLevel="0" collapsed="false">
      <c r="A36" s="27" t="s">
        <v>318</v>
      </c>
      <c r="B36" s="27" t="s">
        <v>319</v>
      </c>
      <c r="C36" s="27" t="s">
        <v>248</v>
      </c>
      <c r="D36" s="27" t="n">
        <v>31</v>
      </c>
      <c r="E36" s="27"/>
      <c r="F36" s="8"/>
      <c r="G36" s="8"/>
      <c r="H36" s="8"/>
      <c r="I36" s="15"/>
      <c r="J36" s="15" t="n">
        <v>12521</v>
      </c>
      <c r="K36" s="27" t="s">
        <v>249</v>
      </c>
      <c r="L36" s="27" t="s">
        <v>259</v>
      </c>
      <c r="M36" s="7" t="str">
        <f aca="false">IF($E36="","",IF(F36="",IFERROR(INDEX(Recetas!$K$6:$K$115,MATCH($E36,Recetas!$A$6:$A$115,0))&amp;"",""),F36))</f>
        <v/>
      </c>
      <c r="N36" s="7" t="str">
        <f aca="false">IF($E36="","",IF(AND(G36="",N(IFERROR(INDEX(Recetas!$T$6:$T$115,MATCH($E36,Recetas!$A$6:$A$115,0)),1))=0),"—",IF(G36="",IFERROR(INDEX(Recetas!$L$6:$L$115,MATCH($E36,Recetas!$A$6:$A$115,0))&amp;"",""),G36)))</f>
        <v/>
      </c>
      <c r="O36" s="7" t="str">
        <f aca="false">IF($E36="","",IF(AND(H36="",N(IFERROR(INDEX(Recetas!$W$6:$W$115,MATCH($E36,Recetas!$A$6:$A$115,0)),1))=0),"—",IF(H36="",IFERROR(IF(INDEX(Recetas!$M$6:$M$115,MATCH($E36,Recetas!$A$6:$A$115,0))&amp;""="",M36,INDEX(Recetas!$M$6:$M$115,MATCH($E36,Recetas!$A$6:$A$115,0))&amp;""),""),H36)))</f>
        <v/>
      </c>
      <c r="P36" s="9" t="str">
        <f aca="false">IF($E36="","",IFERROR(INDEX(Recetas!$Q$6:$Q$115,MATCH($E36,Recetas!$A$6:$A$115,0)),""))</f>
        <v/>
      </c>
      <c r="Q36" s="10" t="str">
        <f aca="false">IF($E36="","",IFERROR(INDEX(Telas!$I$6:$I$105,MATCH(M36,Telas!$A$6:$A$105,0)),""))</f>
        <v/>
      </c>
      <c r="R36" s="10" t="str">
        <f aca="false">IF($E36="","",IFERROR(IF(ISNUMBER(P36),IF(P36=0,0,P36*INDEX(Telas!$I$6:$I$105,MATCH(M36,Telas!$A$6:$A$105,0))),NA())+IF(ISNUMBER(INDEX(Recetas!$T$6:$T$115,MATCH($E36,Recetas!$A$6:$A$115,0))),IF(INDEX(Recetas!$T$6:$T$115,MATCH($E36,Recetas!$A$6:$A$115,0))=0,0,INDEX(Recetas!$T$6:$T$115,MATCH($E36,Recetas!$A$6:$A$115,0))*INDEX(Telas!$I$6:$I$105,MATCH(N36,Telas!$A$6:$A$105,0))),NA())+IF(ISNUMBER(INDEX(Recetas!$W$6:$W$115,MATCH($E36,Recetas!$A$6:$A$115,0))),IF(INDEX(Recetas!$W$6:$W$115,MATCH($E36,Recetas!$A$6:$A$115,0))=0,0,INDEX(Recetas!$W$6:$W$115,MATCH($E36,Recetas!$A$6:$A$115,0))*INDEX(Telas!$I$6:$I$105,MATCH(O36,Telas!$A$6:$A$105,0))),NA()),""))</f>
        <v/>
      </c>
      <c r="S36" s="10" t="str">
        <f aca="false">IF($E36="","",IFERROR(INDEX(Recetas!$AA$6:$AA$115,MATCH($E36,Recetas!$A$6:$A$115,0))*1,""))</f>
        <v/>
      </c>
      <c r="T36" s="10" t="str">
        <f aca="false">IF($E36="","",IFERROR(INDEX(Recetas!$AB$6:$AB$115,MATCH($E36,Recetas!$A$6:$A$115,0))*1,""))</f>
        <v/>
      </c>
      <c r="U36" s="10" t="str">
        <f aca="false">IF($E36="","",IFERROR(INDEX(Recetas!$AC$6:$AC$115,MATCH($E36,Recetas!$A$6:$A$115,0))+N(I36),""))</f>
        <v/>
      </c>
      <c r="V36" s="11" t="str">
        <f aca="false">IF($E36="","",IFERROR(R36+S36+T36+U36,""))</f>
        <v/>
      </c>
      <c r="W36" s="11" t="str">
        <f aca="false">IF(ISNUMBER(V36),V36*Parametros!$B$12,"")</f>
        <v/>
      </c>
      <c r="X36" s="30" t="str">
        <f aca="false">IF(AND(ISNUMBER(V36),N(J36)&gt;0),(J36-V36-J36*Parametros!$B$8)/J36,"")</f>
        <v/>
      </c>
      <c r="Y36" s="10" t="str">
        <f aca="false">IF(AND(ISNUMBER(V36),N(J36)&gt;0),J36-V36-J36*Parametros!$B$8,"")</f>
        <v/>
      </c>
      <c r="Z36" s="29" t="str">
        <f aca="false">IF(AND(ISNUMBER(P36),M36&lt;&gt;""),IFERROR(1/(P36*INDEX(Telas!$G$6:$G$105,MATCH(M36,Telas!$A$6:$A$105,0))),""),"")</f>
        <v/>
      </c>
      <c r="AA36" s="7" t="str">
        <f aca="false">IF($E36="","",IF(ISNUMBER(V36),"OK",IF(Q36="","Precio o peso por metro de "&amp;M36&amp;". ","")&amp;IFERROR(INDEX(Recetas!$AG$6:$AG$115,MATCH($E36,Recetas!$A$6:$A$115,0)),"Molde no existe en Recetas.")))</f>
        <v/>
      </c>
    </row>
    <row r="37" customFormat="false" ht="15" hidden="false" customHeight="false" outlineLevel="0" collapsed="false">
      <c r="A37" s="27" t="s">
        <v>320</v>
      </c>
      <c r="B37" s="27" t="s">
        <v>321</v>
      </c>
      <c r="C37" s="27" t="s">
        <v>248</v>
      </c>
      <c r="D37" s="27" t="n">
        <v>29</v>
      </c>
      <c r="E37" s="27"/>
      <c r="F37" s="8"/>
      <c r="G37" s="8"/>
      <c r="H37" s="8"/>
      <c r="I37" s="15"/>
      <c r="J37" s="15" t="n">
        <v>21204</v>
      </c>
      <c r="K37" s="27" t="s">
        <v>249</v>
      </c>
      <c r="L37" s="27" t="s">
        <v>259</v>
      </c>
      <c r="M37" s="7" t="str">
        <f aca="false">IF($E37="","",IF(F37="",IFERROR(INDEX(Recetas!$K$6:$K$115,MATCH($E37,Recetas!$A$6:$A$115,0))&amp;"",""),F37))</f>
        <v/>
      </c>
      <c r="N37" s="7" t="str">
        <f aca="false">IF($E37="","",IF(AND(G37="",N(IFERROR(INDEX(Recetas!$T$6:$T$115,MATCH($E37,Recetas!$A$6:$A$115,0)),1))=0),"—",IF(G37="",IFERROR(INDEX(Recetas!$L$6:$L$115,MATCH($E37,Recetas!$A$6:$A$115,0))&amp;"",""),G37)))</f>
        <v/>
      </c>
      <c r="O37" s="7" t="str">
        <f aca="false">IF($E37="","",IF(AND(H37="",N(IFERROR(INDEX(Recetas!$W$6:$W$115,MATCH($E37,Recetas!$A$6:$A$115,0)),1))=0),"—",IF(H37="",IFERROR(IF(INDEX(Recetas!$M$6:$M$115,MATCH($E37,Recetas!$A$6:$A$115,0))&amp;""="",M37,INDEX(Recetas!$M$6:$M$115,MATCH($E37,Recetas!$A$6:$A$115,0))&amp;""),""),H37)))</f>
        <v/>
      </c>
      <c r="P37" s="9" t="str">
        <f aca="false">IF($E37="","",IFERROR(INDEX(Recetas!$Q$6:$Q$115,MATCH($E37,Recetas!$A$6:$A$115,0)),""))</f>
        <v/>
      </c>
      <c r="Q37" s="10" t="str">
        <f aca="false">IF($E37="","",IFERROR(INDEX(Telas!$I$6:$I$105,MATCH(M37,Telas!$A$6:$A$105,0)),""))</f>
        <v/>
      </c>
      <c r="R37" s="10" t="str">
        <f aca="false">IF($E37="","",IFERROR(IF(ISNUMBER(P37),IF(P37=0,0,P37*INDEX(Telas!$I$6:$I$105,MATCH(M37,Telas!$A$6:$A$105,0))),NA())+IF(ISNUMBER(INDEX(Recetas!$T$6:$T$115,MATCH($E37,Recetas!$A$6:$A$115,0))),IF(INDEX(Recetas!$T$6:$T$115,MATCH($E37,Recetas!$A$6:$A$115,0))=0,0,INDEX(Recetas!$T$6:$T$115,MATCH($E37,Recetas!$A$6:$A$115,0))*INDEX(Telas!$I$6:$I$105,MATCH(N37,Telas!$A$6:$A$105,0))),NA())+IF(ISNUMBER(INDEX(Recetas!$W$6:$W$115,MATCH($E37,Recetas!$A$6:$A$115,0))),IF(INDEX(Recetas!$W$6:$W$115,MATCH($E37,Recetas!$A$6:$A$115,0))=0,0,INDEX(Recetas!$W$6:$W$115,MATCH($E37,Recetas!$A$6:$A$115,0))*INDEX(Telas!$I$6:$I$105,MATCH(O37,Telas!$A$6:$A$105,0))),NA()),""))</f>
        <v/>
      </c>
      <c r="S37" s="10" t="str">
        <f aca="false">IF($E37="","",IFERROR(INDEX(Recetas!$AA$6:$AA$115,MATCH($E37,Recetas!$A$6:$A$115,0))*1,""))</f>
        <v/>
      </c>
      <c r="T37" s="10" t="str">
        <f aca="false">IF($E37="","",IFERROR(INDEX(Recetas!$AB$6:$AB$115,MATCH($E37,Recetas!$A$6:$A$115,0))*1,""))</f>
        <v/>
      </c>
      <c r="U37" s="10" t="str">
        <f aca="false">IF($E37="","",IFERROR(INDEX(Recetas!$AC$6:$AC$115,MATCH($E37,Recetas!$A$6:$A$115,0))+N(I37),""))</f>
        <v/>
      </c>
      <c r="V37" s="11" t="str">
        <f aca="false">IF($E37="","",IFERROR(R37+S37+T37+U37,""))</f>
        <v/>
      </c>
      <c r="W37" s="11" t="str">
        <f aca="false">IF(ISNUMBER(V37),V37*Parametros!$B$12,"")</f>
        <v/>
      </c>
      <c r="X37" s="30" t="str">
        <f aca="false">IF(AND(ISNUMBER(V37),N(J37)&gt;0),(J37-V37-J37*Parametros!$B$8)/J37,"")</f>
        <v/>
      </c>
      <c r="Y37" s="10" t="str">
        <f aca="false">IF(AND(ISNUMBER(V37),N(J37)&gt;0),J37-V37-J37*Parametros!$B$8,"")</f>
        <v/>
      </c>
      <c r="Z37" s="29" t="str">
        <f aca="false">IF(AND(ISNUMBER(P37),M37&lt;&gt;""),IFERROR(1/(P37*INDEX(Telas!$G$6:$G$105,MATCH(M37,Telas!$A$6:$A$105,0))),""),"")</f>
        <v/>
      </c>
      <c r="AA37" s="7" t="str">
        <f aca="false">IF($E37="","",IF(ISNUMBER(V37),"OK",IF(Q37="","Precio o peso por metro de "&amp;M37&amp;". ","")&amp;IFERROR(INDEX(Recetas!$AG$6:$AG$115,MATCH($E37,Recetas!$A$6:$A$115,0)),"Molde no existe en Recetas.")))</f>
        <v/>
      </c>
    </row>
    <row r="38" customFormat="false" ht="15" hidden="false" customHeight="false" outlineLevel="0" collapsed="false">
      <c r="A38" s="27" t="s">
        <v>322</v>
      </c>
      <c r="B38" s="27" t="s">
        <v>323</v>
      </c>
      <c r="C38" s="27" t="s">
        <v>268</v>
      </c>
      <c r="D38" s="27" t="n">
        <v>29</v>
      </c>
      <c r="E38" s="27"/>
      <c r="F38" s="8"/>
      <c r="G38" s="8"/>
      <c r="H38" s="8"/>
      <c r="I38" s="15"/>
      <c r="J38" s="15" t="n">
        <v>22605</v>
      </c>
      <c r="K38" s="27" t="s">
        <v>249</v>
      </c>
      <c r="L38" s="27" t="s">
        <v>259</v>
      </c>
      <c r="M38" s="7" t="str">
        <f aca="false">IF($E38="","",IF(F38="",IFERROR(INDEX(Recetas!$K$6:$K$115,MATCH($E38,Recetas!$A$6:$A$115,0))&amp;"",""),F38))</f>
        <v/>
      </c>
      <c r="N38" s="7" t="str">
        <f aca="false">IF($E38="","",IF(AND(G38="",N(IFERROR(INDEX(Recetas!$T$6:$T$115,MATCH($E38,Recetas!$A$6:$A$115,0)),1))=0),"—",IF(G38="",IFERROR(INDEX(Recetas!$L$6:$L$115,MATCH($E38,Recetas!$A$6:$A$115,0))&amp;"",""),G38)))</f>
        <v/>
      </c>
      <c r="O38" s="7" t="str">
        <f aca="false">IF($E38="","",IF(AND(H38="",N(IFERROR(INDEX(Recetas!$W$6:$W$115,MATCH($E38,Recetas!$A$6:$A$115,0)),1))=0),"—",IF(H38="",IFERROR(IF(INDEX(Recetas!$M$6:$M$115,MATCH($E38,Recetas!$A$6:$A$115,0))&amp;""="",M38,INDEX(Recetas!$M$6:$M$115,MATCH($E38,Recetas!$A$6:$A$115,0))&amp;""),""),H38)))</f>
        <v/>
      </c>
      <c r="P38" s="9" t="str">
        <f aca="false">IF($E38="","",IFERROR(INDEX(Recetas!$Q$6:$Q$115,MATCH($E38,Recetas!$A$6:$A$115,0)),""))</f>
        <v/>
      </c>
      <c r="Q38" s="10" t="str">
        <f aca="false">IF($E38="","",IFERROR(INDEX(Telas!$I$6:$I$105,MATCH(M38,Telas!$A$6:$A$105,0)),""))</f>
        <v/>
      </c>
      <c r="R38" s="10" t="str">
        <f aca="false">IF($E38="","",IFERROR(IF(ISNUMBER(P38),IF(P38=0,0,P38*INDEX(Telas!$I$6:$I$105,MATCH(M38,Telas!$A$6:$A$105,0))),NA())+IF(ISNUMBER(INDEX(Recetas!$T$6:$T$115,MATCH($E38,Recetas!$A$6:$A$115,0))),IF(INDEX(Recetas!$T$6:$T$115,MATCH($E38,Recetas!$A$6:$A$115,0))=0,0,INDEX(Recetas!$T$6:$T$115,MATCH($E38,Recetas!$A$6:$A$115,0))*INDEX(Telas!$I$6:$I$105,MATCH(N38,Telas!$A$6:$A$105,0))),NA())+IF(ISNUMBER(INDEX(Recetas!$W$6:$W$115,MATCH($E38,Recetas!$A$6:$A$115,0))),IF(INDEX(Recetas!$W$6:$W$115,MATCH($E38,Recetas!$A$6:$A$115,0))=0,0,INDEX(Recetas!$W$6:$W$115,MATCH($E38,Recetas!$A$6:$A$115,0))*INDEX(Telas!$I$6:$I$105,MATCH(O38,Telas!$A$6:$A$105,0))),NA()),""))</f>
        <v/>
      </c>
      <c r="S38" s="10" t="str">
        <f aca="false">IF($E38="","",IFERROR(INDEX(Recetas!$AA$6:$AA$115,MATCH($E38,Recetas!$A$6:$A$115,0))*1,""))</f>
        <v/>
      </c>
      <c r="T38" s="10" t="str">
        <f aca="false">IF($E38="","",IFERROR(INDEX(Recetas!$AB$6:$AB$115,MATCH($E38,Recetas!$A$6:$A$115,0))*1,""))</f>
        <v/>
      </c>
      <c r="U38" s="10" t="str">
        <f aca="false">IF($E38="","",IFERROR(INDEX(Recetas!$AC$6:$AC$115,MATCH($E38,Recetas!$A$6:$A$115,0))+N(I38),""))</f>
        <v/>
      </c>
      <c r="V38" s="11" t="str">
        <f aca="false">IF($E38="","",IFERROR(R38+S38+T38+U38,""))</f>
        <v/>
      </c>
      <c r="W38" s="11" t="str">
        <f aca="false">IF(ISNUMBER(V38),V38*Parametros!$B$12,"")</f>
        <v/>
      </c>
      <c r="X38" s="30" t="str">
        <f aca="false">IF(AND(ISNUMBER(V38),N(J38)&gt;0),(J38-V38-J38*Parametros!$B$8)/J38,"")</f>
        <v/>
      </c>
      <c r="Y38" s="10" t="str">
        <f aca="false">IF(AND(ISNUMBER(V38),N(J38)&gt;0),J38-V38-J38*Parametros!$B$8,"")</f>
        <v/>
      </c>
      <c r="Z38" s="29" t="str">
        <f aca="false">IF(AND(ISNUMBER(P38),M38&lt;&gt;""),IFERROR(1/(P38*INDEX(Telas!$G$6:$G$105,MATCH(M38,Telas!$A$6:$A$105,0))),""),"")</f>
        <v/>
      </c>
      <c r="AA38" s="7" t="str">
        <f aca="false">IF($E38="","",IF(ISNUMBER(V38),"OK",IF(Q38="","Precio o peso por metro de "&amp;M38&amp;". ","")&amp;IFERROR(INDEX(Recetas!$AG$6:$AG$115,MATCH($E38,Recetas!$A$6:$A$115,0)),"Molde no existe en Recetas.")))</f>
        <v/>
      </c>
    </row>
    <row r="39" customFormat="false" ht="15" hidden="false" customHeight="false" outlineLevel="0" collapsed="false">
      <c r="A39" s="27" t="s">
        <v>324</v>
      </c>
      <c r="B39" s="27" t="s">
        <v>325</v>
      </c>
      <c r="C39" s="27" t="s">
        <v>248</v>
      </c>
      <c r="D39" s="27" t="n">
        <v>29</v>
      </c>
      <c r="E39" s="27"/>
      <c r="F39" s="8"/>
      <c r="G39" s="8"/>
      <c r="H39" s="8"/>
      <c r="I39" s="15"/>
      <c r="J39" s="15" t="n">
        <v>16723</v>
      </c>
      <c r="K39" s="27" t="s">
        <v>249</v>
      </c>
      <c r="L39" s="27" t="s">
        <v>259</v>
      </c>
      <c r="M39" s="7" t="str">
        <f aca="false">IF($E39="","",IF(F39="",IFERROR(INDEX(Recetas!$K$6:$K$115,MATCH($E39,Recetas!$A$6:$A$115,0))&amp;"",""),F39))</f>
        <v/>
      </c>
      <c r="N39" s="7" t="str">
        <f aca="false">IF($E39="","",IF(AND(G39="",N(IFERROR(INDEX(Recetas!$T$6:$T$115,MATCH($E39,Recetas!$A$6:$A$115,0)),1))=0),"—",IF(G39="",IFERROR(INDEX(Recetas!$L$6:$L$115,MATCH($E39,Recetas!$A$6:$A$115,0))&amp;"",""),G39)))</f>
        <v/>
      </c>
      <c r="O39" s="7" t="str">
        <f aca="false">IF($E39="","",IF(AND(H39="",N(IFERROR(INDEX(Recetas!$W$6:$W$115,MATCH($E39,Recetas!$A$6:$A$115,0)),1))=0),"—",IF(H39="",IFERROR(IF(INDEX(Recetas!$M$6:$M$115,MATCH($E39,Recetas!$A$6:$A$115,0))&amp;""="",M39,INDEX(Recetas!$M$6:$M$115,MATCH($E39,Recetas!$A$6:$A$115,0))&amp;""),""),H39)))</f>
        <v/>
      </c>
      <c r="P39" s="9" t="str">
        <f aca="false">IF($E39="","",IFERROR(INDEX(Recetas!$Q$6:$Q$115,MATCH($E39,Recetas!$A$6:$A$115,0)),""))</f>
        <v/>
      </c>
      <c r="Q39" s="10" t="str">
        <f aca="false">IF($E39="","",IFERROR(INDEX(Telas!$I$6:$I$105,MATCH(M39,Telas!$A$6:$A$105,0)),""))</f>
        <v/>
      </c>
      <c r="R39" s="10" t="str">
        <f aca="false">IF($E39="","",IFERROR(IF(ISNUMBER(P39),IF(P39=0,0,P39*INDEX(Telas!$I$6:$I$105,MATCH(M39,Telas!$A$6:$A$105,0))),NA())+IF(ISNUMBER(INDEX(Recetas!$T$6:$T$115,MATCH($E39,Recetas!$A$6:$A$115,0))),IF(INDEX(Recetas!$T$6:$T$115,MATCH($E39,Recetas!$A$6:$A$115,0))=0,0,INDEX(Recetas!$T$6:$T$115,MATCH($E39,Recetas!$A$6:$A$115,0))*INDEX(Telas!$I$6:$I$105,MATCH(N39,Telas!$A$6:$A$105,0))),NA())+IF(ISNUMBER(INDEX(Recetas!$W$6:$W$115,MATCH($E39,Recetas!$A$6:$A$115,0))),IF(INDEX(Recetas!$W$6:$W$115,MATCH($E39,Recetas!$A$6:$A$115,0))=0,0,INDEX(Recetas!$W$6:$W$115,MATCH($E39,Recetas!$A$6:$A$115,0))*INDEX(Telas!$I$6:$I$105,MATCH(O39,Telas!$A$6:$A$105,0))),NA()),""))</f>
        <v/>
      </c>
      <c r="S39" s="10" t="str">
        <f aca="false">IF($E39="","",IFERROR(INDEX(Recetas!$AA$6:$AA$115,MATCH($E39,Recetas!$A$6:$A$115,0))*1,""))</f>
        <v/>
      </c>
      <c r="T39" s="10" t="str">
        <f aca="false">IF($E39="","",IFERROR(INDEX(Recetas!$AB$6:$AB$115,MATCH($E39,Recetas!$A$6:$A$115,0))*1,""))</f>
        <v/>
      </c>
      <c r="U39" s="10" t="str">
        <f aca="false">IF($E39="","",IFERROR(INDEX(Recetas!$AC$6:$AC$115,MATCH($E39,Recetas!$A$6:$A$115,0))+N(I39),""))</f>
        <v/>
      </c>
      <c r="V39" s="11" t="str">
        <f aca="false">IF($E39="","",IFERROR(R39+S39+T39+U39,""))</f>
        <v/>
      </c>
      <c r="W39" s="11" t="str">
        <f aca="false">IF(ISNUMBER(V39),V39*Parametros!$B$12,"")</f>
        <v/>
      </c>
      <c r="X39" s="30" t="str">
        <f aca="false">IF(AND(ISNUMBER(V39),N(J39)&gt;0),(J39-V39-J39*Parametros!$B$8)/J39,"")</f>
        <v/>
      </c>
      <c r="Y39" s="10" t="str">
        <f aca="false">IF(AND(ISNUMBER(V39),N(J39)&gt;0),J39-V39-J39*Parametros!$B$8,"")</f>
        <v/>
      </c>
      <c r="Z39" s="29" t="str">
        <f aca="false">IF(AND(ISNUMBER(P39),M39&lt;&gt;""),IFERROR(1/(P39*INDEX(Telas!$G$6:$G$105,MATCH(M39,Telas!$A$6:$A$105,0))),""),"")</f>
        <v/>
      </c>
      <c r="AA39" s="7" t="str">
        <f aca="false">IF($E39="","",IF(ISNUMBER(V39),"OK",IF(Q39="","Precio o peso por metro de "&amp;M39&amp;". ","")&amp;IFERROR(INDEX(Recetas!$AG$6:$AG$115,MATCH($E39,Recetas!$A$6:$A$115,0)),"Molde no existe en Recetas.")))</f>
        <v/>
      </c>
    </row>
    <row r="40" customFormat="false" ht="15" hidden="false" customHeight="false" outlineLevel="0" collapsed="false">
      <c r="A40" s="27" t="s">
        <v>326</v>
      </c>
      <c r="B40" s="27" t="s">
        <v>327</v>
      </c>
      <c r="C40" s="27" t="s">
        <v>248</v>
      </c>
      <c r="D40" s="27" t="n">
        <v>26</v>
      </c>
      <c r="E40" s="27"/>
      <c r="F40" s="8"/>
      <c r="G40" s="8"/>
      <c r="H40" s="8"/>
      <c r="I40" s="15"/>
      <c r="J40" s="15" t="n">
        <v>23488</v>
      </c>
      <c r="K40" s="27" t="s">
        <v>249</v>
      </c>
      <c r="L40" s="27" t="s">
        <v>259</v>
      </c>
      <c r="M40" s="7" t="str">
        <f aca="false">IF($E40="","",IF(F40="",IFERROR(INDEX(Recetas!$K$6:$K$115,MATCH($E40,Recetas!$A$6:$A$115,0))&amp;"",""),F40))</f>
        <v/>
      </c>
      <c r="N40" s="7" t="str">
        <f aca="false">IF($E40="","",IF(AND(G40="",N(IFERROR(INDEX(Recetas!$T$6:$T$115,MATCH($E40,Recetas!$A$6:$A$115,0)),1))=0),"—",IF(G40="",IFERROR(INDEX(Recetas!$L$6:$L$115,MATCH($E40,Recetas!$A$6:$A$115,0))&amp;"",""),G40)))</f>
        <v/>
      </c>
      <c r="O40" s="7" t="str">
        <f aca="false">IF($E40="","",IF(AND(H40="",N(IFERROR(INDEX(Recetas!$W$6:$W$115,MATCH($E40,Recetas!$A$6:$A$115,0)),1))=0),"—",IF(H40="",IFERROR(IF(INDEX(Recetas!$M$6:$M$115,MATCH($E40,Recetas!$A$6:$A$115,0))&amp;""="",M40,INDEX(Recetas!$M$6:$M$115,MATCH($E40,Recetas!$A$6:$A$115,0))&amp;""),""),H40)))</f>
        <v/>
      </c>
      <c r="P40" s="9" t="str">
        <f aca="false">IF($E40="","",IFERROR(INDEX(Recetas!$Q$6:$Q$115,MATCH($E40,Recetas!$A$6:$A$115,0)),""))</f>
        <v/>
      </c>
      <c r="Q40" s="10" t="str">
        <f aca="false">IF($E40="","",IFERROR(INDEX(Telas!$I$6:$I$105,MATCH(M40,Telas!$A$6:$A$105,0)),""))</f>
        <v/>
      </c>
      <c r="R40" s="10" t="str">
        <f aca="false">IF($E40="","",IFERROR(IF(ISNUMBER(P40),IF(P40=0,0,P40*INDEX(Telas!$I$6:$I$105,MATCH(M40,Telas!$A$6:$A$105,0))),NA())+IF(ISNUMBER(INDEX(Recetas!$T$6:$T$115,MATCH($E40,Recetas!$A$6:$A$115,0))),IF(INDEX(Recetas!$T$6:$T$115,MATCH($E40,Recetas!$A$6:$A$115,0))=0,0,INDEX(Recetas!$T$6:$T$115,MATCH($E40,Recetas!$A$6:$A$115,0))*INDEX(Telas!$I$6:$I$105,MATCH(N40,Telas!$A$6:$A$105,0))),NA())+IF(ISNUMBER(INDEX(Recetas!$W$6:$W$115,MATCH($E40,Recetas!$A$6:$A$115,0))),IF(INDEX(Recetas!$W$6:$W$115,MATCH($E40,Recetas!$A$6:$A$115,0))=0,0,INDEX(Recetas!$W$6:$W$115,MATCH($E40,Recetas!$A$6:$A$115,0))*INDEX(Telas!$I$6:$I$105,MATCH(O40,Telas!$A$6:$A$105,0))),NA()),""))</f>
        <v/>
      </c>
      <c r="S40" s="10" t="str">
        <f aca="false">IF($E40="","",IFERROR(INDEX(Recetas!$AA$6:$AA$115,MATCH($E40,Recetas!$A$6:$A$115,0))*1,""))</f>
        <v/>
      </c>
      <c r="T40" s="10" t="str">
        <f aca="false">IF($E40="","",IFERROR(INDEX(Recetas!$AB$6:$AB$115,MATCH($E40,Recetas!$A$6:$A$115,0))*1,""))</f>
        <v/>
      </c>
      <c r="U40" s="10" t="str">
        <f aca="false">IF($E40="","",IFERROR(INDEX(Recetas!$AC$6:$AC$115,MATCH($E40,Recetas!$A$6:$A$115,0))+N(I40),""))</f>
        <v/>
      </c>
      <c r="V40" s="11" t="str">
        <f aca="false">IF($E40="","",IFERROR(R40+S40+T40+U40,""))</f>
        <v/>
      </c>
      <c r="W40" s="11" t="str">
        <f aca="false">IF(ISNUMBER(V40),V40*Parametros!$B$12,"")</f>
        <v/>
      </c>
      <c r="X40" s="30" t="str">
        <f aca="false">IF(AND(ISNUMBER(V40),N(J40)&gt;0),(J40-V40-J40*Parametros!$B$8)/J40,"")</f>
        <v/>
      </c>
      <c r="Y40" s="10" t="str">
        <f aca="false">IF(AND(ISNUMBER(V40),N(J40)&gt;0),J40-V40-J40*Parametros!$B$8,"")</f>
        <v/>
      </c>
      <c r="Z40" s="29" t="str">
        <f aca="false">IF(AND(ISNUMBER(P40),M40&lt;&gt;""),IFERROR(1/(P40*INDEX(Telas!$G$6:$G$105,MATCH(M40,Telas!$A$6:$A$105,0))),""),"")</f>
        <v/>
      </c>
      <c r="AA40" s="7" t="str">
        <f aca="false">IF($E40="","",IF(ISNUMBER(V40),"OK",IF(Q40="","Precio o peso por metro de "&amp;M40&amp;". ","")&amp;IFERROR(INDEX(Recetas!$AG$6:$AG$115,MATCH($E40,Recetas!$A$6:$A$115,0)),"Molde no existe en Recetas.")))</f>
        <v/>
      </c>
    </row>
    <row r="41" customFormat="false" ht="15" hidden="false" customHeight="false" outlineLevel="0" collapsed="false">
      <c r="A41" s="27" t="s">
        <v>328</v>
      </c>
      <c r="B41" s="27" t="s">
        <v>329</v>
      </c>
      <c r="C41" s="27" t="s">
        <v>248</v>
      </c>
      <c r="D41" s="27" t="n">
        <v>25</v>
      </c>
      <c r="E41" s="27"/>
      <c r="F41" s="8"/>
      <c r="G41" s="8"/>
      <c r="H41" s="8"/>
      <c r="I41" s="15"/>
      <c r="J41" s="15" t="n">
        <v>19244</v>
      </c>
      <c r="K41" s="27" t="s">
        <v>249</v>
      </c>
      <c r="L41" s="27" t="s">
        <v>259</v>
      </c>
      <c r="M41" s="7" t="str">
        <f aca="false">IF($E41="","",IF(F41="",IFERROR(INDEX(Recetas!$K$6:$K$115,MATCH($E41,Recetas!$A$6:$A$115,0))&amp;"",""),F41))</f>
        <v/>
      </c>
      <c r="N41" s="7" t="str">
        <f aca="false">IF($E41="","",IF(AND(G41="",N(IFERROR(INDEX(Recetas!$T$6:$T$115,MATCH($E41,Recetas!$A$6:$A$115,0)),1))=0),"—",IF(G41="",IFERROR(INDEX(Recetas!$L$6:$L$115,MATCH($E41,Recetas!$A$6:$A$115,0))&amp;"",""),G41)))</f>
        <v/>
      </c>
      <c r="O41" s="7" t="str">
        <f aca="false">IF($E41="","",IF(AND(H41="",N(IFERROR(INDEX(Recetas!$W$6:$W$115,MATCH($E41,Recetas!$A$6:$A$115,0)),1))=0),"—",IF(H41="",IFERROR(IF(INDEX(Recetas!$M$6:$M$115,MATCH($E41,Recetas!$A$6:$A$115,0))&amp;""="",M41,INDEX(Recetas!$M$6:$M$115,MATCH($E41,Recetas!$A$6:$A$115,0))&amp;""),""),H41)))</f>
        <v/>
      </c>
      <c r="P41" s="9" t="str">
        <f aca="false">IF($E41="","",IFERROR(INDEX(Recetas!$Q$6:$Q$115,MATCH($E41,Recetas!$A$6:$A$115,0)),""))</f>
        <v/>
      </c>
      <c r="Q41" s="10" t="str">
        <f aca="false">IF($E41="","",IFERROR(INDEX(Telas!$I$6:$I$105,MATCH(M41,Telas!$A$6:$A$105,0)),""))</f>
        <v/>
      </c>
      <c r="R41" s="10" t="str">
        <f aca="false">IF($E41="","",IFERROR(IF(ISNUMBER(P41),IF(P41=0,0,P41*INDEX(Telas!$I$6:$I$105,MATCH(M41,Telas!$A$6:$A$105,0))),NA())+IF(ISNUMBER(INDEX(Recetas!$T$6:$T$115,MATCH($E41,Recetas!$A$6:$A$115,0))),IF(INDEX(Recetas!$T$6:$T$115,MATCH($E41,Recetas!$A$6:$A$115,0))=0,0,INDEX(Recetas!$T$6:$T$115,MATCH($E41,Recetas!$A$6:$A$115,0))*INDEX(Telas!$I$6:$I$105,MATCH(N41,Telas!$A$6:$A$105,0))),NA())+IF(ISNUMBER(INDEX(Recetas!$W$6:$W$115,MATCH($E41,Recetas!$A$6:$A$115,0))),IF(INDEX(Recetas!$W$6:$W$115,MATCH($E41,Recetas!$A$6:$A$115,0))=0,0,INDEX(Recetas!$W$6:$W$115,MATCH($E41,Recetas!$A$6:$A$115,0))*INDEX(Telas!$I$6:$I$105,MATCH(O41,Telas!$A$6:$A$105,0))),NA()),""))</f>
        <v/>
      </c>
      <c r="S41" s="10" t="str">
        <f aca="false">IF($E41="","",IFERROR(INDEX(Recetas!$AA$6:$AA$115,MATCH($E41,Recetas!$A$6:$A$115,0))*1,""))</f>
        <v/>
      </c>
      <c r="T41" s="10" t="str">
        <f aca="false">IF($E41="","",IFERROR(INDEX(Recetas!$AB$6:$AB$115,MATCH($E41,Recetas!$A$6:$A$115,0))*1,""))</f>
        <v/>
      </c>
      <c r="U41" s="10" t="str">
        <f aca="false">IF($E41="","",IFERROR(INDEX(Recetas!$AC$6:$AC$115,MATCH($E41,Recetas!$A$6:$A$115,0))+N(I41),""))</f>
        <v/>
      </c>
      <c r="V41" s="11" t="str">
        <f aca="false">IF($E41="","",IFERROR(R41+S41+T41+U41,""))</f>
        <v/>
      </c>
      <c r="W41" s="11" t="str">
        <f aca="false">IF(ISNUMBER(V41),V41*Parametros!$B$12,"")</f>
        <v/>
      </c>
      <c r="X41" s="30" t="str">
        <f aca="false">IF(AND(ISNUMBER(V41),N(J41)&gt;0),(J41-V41-J41*Parametros!$B$8)/J41,"")</f>
        <v/>
      </c>
      <c r="Y41" s="10" t="str">
        <f aca="false">IF(AND(ISNUMBER(V41),N(J41)&gt;0),J41-V41-J41*Parametros!$B$8,"")</f>
        <v/>
      </c>
      <c r="Z41" s="29" t="str">
        <f aca="false">IF(AND(ISNUMBER(P41),M41&lt;&gt;""),IFERROR(1/(P41*INDEX(Telas!$G$6:$G$105,MATCH(M41,Telas!$A$6:$A$105,0))),""),"")</f>
        <v/>
      </c>
      <c r="AA41" s="7" t="str">
        <f aca="false">IF($E41="","",IF(ISNUMBER(V41),"OK",IF(Q41="","Precio o peso por metro de "&amp;M41&amp;". ","")&amp;IFERROR(INDEX(Recetas!$AG$6:$AG$115,MATCH($E41,Recetas!$A$6:$A$115,0)),"Molde no existe en Recetas.")))</f>
        <v/>
      </c>
    </row>
    <row r="42" customFormat="false" ht="15" hidden="false" customHeight="false" outlineLevel="0" collapsed="false">
      <c r="A42" s="27" t="s">
        <v>330</v>
      </c>
      <c r="B42" s="27" t="s">
        <v>331</v>
      </c>
      <c r="C42" s="27" t="s">
        <v>268</v>
      </c>
      <c r="D42" s="27" t="n">
        <v>25</v>
      </c>
      <c r="E42" s="27"/>
      <c r="F42" s="8"/>
      <c r="G42" s="8"/>
      <c r="H42" s="8"/>
      <c r="I42" s="15"/>
      <c r="J42" s="15" t="n">
        <v>15882</v>
      </c>
      <c r="K42" s="27" t="s">
        <v>249</v>
      </c>
      <c r="L42" s="27" t="s">
        <v>259</v>
      </c>
      <c r="M42" s="7" t="str">
        <f aca="false">IF($E42="","",IF(F42="",IFERROR(INDEX(Recetas!$K$6:$K$115,MATCH($E42,Recetas!$A$6:$A$115,0))&amp;"",""),F42))</f>
        <v/>
      </c>
      <c r="N42" s="7" t="str">
        <f aca="false">IF($E42="","",IF(AND(G42="",N(IFERROR(INDEX(Recetas!$T$6:$T$115,MATCH($E42,Recetas!$A$6:$A$115,0)),1))=0),"—",IF(G42="",IFERROR(INDEX(Recetas!$L$6:$L$115,MATCH($E42,Recetas!$A$6:$A$115,0))&amp;"",""),G42)))</f>
        <v/>
      </c>
      <c r="O42" s="7" t="str">
        <f aca="false">IF($E42="","",IF(AND(H42="",N(IFERROR(INDEX(Recetas!$W$6:$W$115,MATCH($E42,Recetas!$A$6:$A$115,0)),1))=0),"—",IF(H42="",IFERROR(IF(INDEX(Recetas!$M$6:$M$115,MATCH($E42,Recetas!$A$6:$A$115,0))&amp;""="",M42,INDEX(Recetas!$M$6:$M$115,MATCH($E42,Recetas!$A$6:$A$115,0))&amp;""),""),H42)))</f>
        <v/>
      </c>
      <c r="P42" s="9" t="str">
        <f aca="false">IF($E42="","",IFERROR(INDEX(Recetas!$Q$6:$Q$115,MATCH($E42,Recetas!$A$6:$A$115,0)),""))</f>
        <v/>
      </c>
      <c r="Q42" s="10" t="str">
        <f aca="false">IF($E42="","",IFERROR(INDEX(Telas!$I$6:$I$105,MATCH(M42,Telas!$A$6:$A$105,0)),""))</f>
        <v/>
      </c>
      <c r="R42" s="10" t="str">
        <f aca="false">IF($E42="","",IFERROR(IF(ISNUMBER(P42),IF(P42=0,0,P42*INDEX(Telas!$I$6:$I$105,MATCH(M42,Telas!$A$6:$A$105,0))),NA())+IF(ISNUMBER(INDEX(Recetas!$T$6:$T$115,MATCH($E42,Recetas!$A$6:$A$115,0))),IF(INDEX(Recetas!$T$6:$T$115,MATCH($E42,Recetas!$A$6:$A$115,0))=0,0,INDEX(Recetas!$T$6:$T$115,MATCH($E42,Recetas!$A$6:$A$115,0))*INDEX(Telas!$I$6:$I$105,MATCH(N42,Telas!$A$6:$A$105,0))),NA())+IF(ISNUMBER(INDEX(Recetas!$W$6:$W$115,MATCH($E42,Recetas!$A$6:$A$115,0))),IF(INDEX(Recetas!$W$6:$W$115,MATCH($E42,Recetas!$A$6:$A$115,0))=0,0,INDEX(Recetas!$W$6:$W$115,MATCH($E42,Recetas!$A$6:$A$115,0))*INDEX(Telas!$I$6:$I$105,MATCH(O42,Telas!$A$6:$A$105,0))),NA()),""))</f>
        <v/>
      </c>
      <c r="S42" s="10" t="str">
        <f aca="false">IF($E42="","",IFERROR(INDEX(Recetas!$AA$6:$AA$115,MATCH($E42,Recetas!$A$6:$A$115,0))*1,""))</f>
        <v/>
      </c>
      <c r="T42" s="10" t="str">
        <f aca="false">IF($E42="","",IFERROR(INDEX(Recetas!$AB$6:$AB$115,MATCH($E42,Recetas!$A$6:$A$115,0))*1,""))</f>
        <v/>
      </c>
      <c r="U42" s="10" t="str">
        <f aca="false">IF($E42="","",IFERROR(INDEX(Recetas!$AC$6:$AC$115,MATCH($E42,Recetas!$A$6:$A$115,0))+N(I42),""))</f>
        <v/>
      </c>
      <c r="V42" s="11" t="str">
        <f aca="false">IF($E42="","",IFERROR(R42+S42+T42+U42,""))</f>
        <v/>
      </c>
      <c r="W42" s="11" t="str">
        <f aca="false">IF(ISNUMBER(V42),V42*Parametros!$B$12,"")</f>
        <v/>
      </c>
      <c r="X42" s="30" t="str">
        <f aca="false">IF(AND(ISNUMBER(V42),N(J42)&gt;0),(J42-V42-J42*Parametros!$B$8)/J42,"")</f>
        <v/>
      </c>
      <c r="Y42" s="10" t="str">
        <f aca="false">IF(AND(ISNUMBER(V42),N(J42)&gt;0),J42-V42-J42*Parametros!$B$8,"")</f>
        <v/>
      </c>
      <c r="Z42" s="29" t="str">
        <f aca="false">IF(AND(ISNUMBER(P42),M42&lt;&gt;""),IFERROR(1/(P42*INDEX(Telas!$G$6:$G$105,MATCH(M42,Telas!$A$6:$A$105,0))),""),"")</f>
        <v/>
      </c>
      <c r="AA42" s="7" t="str">
        <f aca="false">IF($E42="","",IF(ISNUMBER(V42),"OK",IF(Q42="","Precio o peso por metro de "&amp;M42&amp;". ","")&amp;IFERROR(INDEX(Recetas!$AG$6:$AG$115,MATCH($E42,Recetas!$A$6:$A$115,0)),"Molde no existe en Recetas.")))</f>
        <v/>
      </c>
    </row>
    <row r="43" customFormat="false" ht="15" hidden="false" customHeight="false" outlineLevel="0" collapsed="false">
      <c r="A43" s="27" t="s">
        <v>332</v>
      </c>
      <c r="B43" s="27" t="s">
        <v>333</v>
      </c>
      <c r="C43" s="27" t="s">
        <v>248</v>
      </c>
      <c r="D43" s="27" t="n">
        <v>24</v>
      </c>
      <c r="E43" s="27" t="s">
        <v>114</v>
      </c>
      <c r="F43" s="8"/>
      <c r="G43" s="8"/>
      <c r="H43" s="8"/>
      <c r="I43" s="15"/>
      <c r="J43" s="15" t="n">
        <v>18403</v>
      </c>
      <c r="K43" s="27" t="s">
        <v>249</v>
      </c>
      <c r="L43" s="27" t="s">
        <v>334</v>
      </c>
      <c r="M43" s="7" t="str">
        <f aca="false">IF($E43="","",IF(F43="",IFERROR(INDEX(Recetas!$K$6:$K$115,MATCH($E43,Recetas!$A$6:$A$115,0))&amp;"",""),F43))</f>
        <v/>
      </c>
      <c r="N43" s="7" t="str">
        <f aca="false">IF($E43="","",IF(AND(G43="",N(IFERROR(INDEX(Recetas!$T$6:$T$115,MATCH($E43,Recetas!$A$6:$A$115,0)),1))=0),"—",IF(G43="",IFERROR(INDEX(Recetas!$L$6:$L$115,MATCH($E43,Recetas!$A$6:$A$115,0))&amp;"",""),G43)))</f>
        <v>—</v>
      </c>
      <c r="O43" s="7" t="str">
        <f aca="false">IF($E43="","",IF(AND(H43="",N(IFERROR(INDEX(Recetas!$W$6:$W$115,MATCH($E43,Recetas!$A$6:$A$115,0)),1))=0),"—",IF(H43="",IFERROR(IF(INDEX(Recetas!$M$6:$M$115,MATCH($E43,Recetas!$A$6:$A$115,0))&amp;""="",M43,INDEX(Recetas!$M$6:$M$115,MATCH($E43,Recetas!$A$6:$A$115,0))&amp;""),""),H43)))</f>
        <v>—</v>
      </c>
      <c r="P43" s="9" t="str">
        <f aca="false">IF($E43="","",IFERROR(INDEX(Recetas!$Q$6:$Q$115,MATCH($E43,Recetas!$A$6:$A$115,0)),""))</f>
        <v/>
      </c>
      <c r="Q43" s="10" t="str">
        <f aca="false">IF($E43="","",IFERROR(INDEX(Telas!$I$6:$I$105,MATCH(M43,Telas!$A$6:$A$105,0)),""))</f>
        <v/>
      </c>
      <c r="R43" s="10" t="str">
        <f aca="false">IF($E43="","",IFERROR(IF(ISNUMBER(P43),IF(P43=0,0,P43*INDEX(Telas!$I$6:$I$105,MATCH(M43,Telas!$A$6:$A$105,0))),NA())+IF(ISNUMBER(INDEX(Recetas!$T$6:$T$115,MATCH($E43,Recetas!$A$6:$A$115,0))),IF(INDEX(Recetas!$T$6:$T$115,MATCH($E43,Recetas!$A$6:$A$115,0))=0,0,INDEX(Recetas!$T$6:$T$115,MATCH($E43,Recetas!$A$6:$A$115,0))*INDEX(Telas!$I$6:$I$105,MATCH(N43,Telas!$A$6:$A$105,0))),NA())+IF(ISNUMBER(INDEX(Recetas!$W$6:$W$115,MATCH($E43,Recetas!$A$6:$A$115,0))),IF(INDEX(Recetas!$W$6:$W$115,MATCH($E43,Recetas!$A$6:$A$115,0))=0,0,INDEX(Recetas!$W$6:$W$115,MATCH($E43,Recetas!$A$6:$A$115,0))*INDEX(Telas!$I$6:$I$105,MATCH(O43,Telas!$A$6:$A$105,0))),NA()),""))</f>
        <v/>
      </c>
      <c r="S43" s="10" t="str">
        <f aca="false">IF($E43="","",IFERROR(INDEX(Recetas!$AA$6:$AA$115,MATCH($E43,Recetas!$A$6:$A$115,0))*1,""))</f>
        <v/>
      </c>
      <c r="T43" s="10" t="n">
        <f aca="false">IF($E43="","",IFERROR(INDEX(Recetas!$AB$6:$AB$115,MATCH($E43,Recetas!$A$6:$A$115,0))*1,""))</f>
        <v>2000</v>
      </c>
      <c r="U43" s="10" t="n">
        <f aca="false">IF($E43="","",IFERROR(INDEX(Recetas!$AC$6:$AC$115,MATCH($E43,Recetas!$A$6:$A$115,0))+N(I43),""))</f>
        <v>0</v>
      </c>
      <c r="V43" s="11" t="str">
        <f aca="false">IF($E43="","",IFERROR(R43+S43+T43+U43,""))</f>
        <v/>
      </c>
      <c r="W43" s="11" t="str">
        <f aca="false">IF(ISNUMBER(V43),V43*Parametros!$B$12,"")</f>
        <v/>
      </c>
      <c r="X43" s="30" t="str">
        <f aca="false">IF(AND(ISNUMBER(V43),N(J43)&gt;0),(J43-V43-J43*Parametros!$B$8)/J43,"")</f>
        <v/>
      </c>
      <c r="Y43" s="10" t="str">
        <f aca="false">IF(AND(ISNUMBER(V43),N(J43)&gt;0),J43-V43-J43*Parametros!$B$8,"")</f>
        <v/>
      </c>
      <c r="Z43" s="29" t="str">
        <f aca="false">IF(AND(ISNUMBER(P43),M43&lt;&gt;""),IFERROR(1/(P43*INDEX(Telas!$G$6:$G$105,MATCH(M43,Telas!$A$6:$A$105,0))),""),"")</f>
        <v/>
      </c>
      <c r="AA43" s="7" t="str">
        <f aca="false">IF($E43="","",IF(ISNUMBER(V43),"OK",IF(Q43="","Precio o peso por metro de "&amp;M43&amp;". ","")&amp;IFERROR(INDEX(Recetas!$AG$6:$AG$115,MATCH($E43,Recetas!$A$6:$A$115,0)),"Molde no existe en Recetas.")))</f>
        <v>Precio o peso por metro de . Consumo tela principal (Despiece o Mediciones). Elegir tela principal. Metros impresos. </v>
      </c>
    </row>
    <row r="44" customFormat="false" ht="15" hidden="false" customHeight="false" outlineLevel="0" collapsed="false">
      <c r="A44" s="27" t="s">
        <v>335</v>
      </c>
      <c r="B44" s="27" t="s">
        <v>336</v>
      </c>
      <c r="C44" s="27" t="s">
        <v>248</v>
      </c>
      <c r="D44" s="27" t="n">
        <v>23</v>
      </c>
      <c r="E44" s="27" t="s">
        <v>125</v>
      </c>
      <c r="F44" s="8" t="s">
        <v>120</v>
      </c>
      <c r="G44" s="8" t="s">
        <v>104</v>
      </c>
      <c r="H44" s="8"/>
      <c r="I44" s="15"/>
      <c r="J44" s="15" t="n">
        <v>19244</v>
      </c>
      <c r="K44" s="27" t="s">
        <v>249</v>
      </c>
      <c r="L44" s="27" t="s">
        <v>337</v>
      </c>
      <c r="M44" s="7" t="str">
        <f aca="false">IF($E44="","",IF(F44="",IFERROR(INDEX(Recetas!$K$6:$K$115,MATCH($E44,Recetas!$A$6:$A$115,0))&amp;"",""),F44))</f>
        <v>MONTESIMONE TRAINING (fut pro)</v>
      </c>
      <c r="N44" s="7" t="str">
        <f aca="false">IF($E44="","",IF(AND(G44="",N(IFERROR(INDEX(Recetas!$T$6:$T$115,MATCH($E44,Recetas!$A$6:$A$115,0)),1))=0),"—",IF(G44="",IFERROR(INDEX(Recetas!$L$6:$L$115,MATCH($E44,Recetas!$A$6:$A$115,0))&amp;"",""),G44)))</f>
        <v>MESH</v>
      </c>
      <c r="O44" s="7" t="str">
        <f aca="false">IF($E44="","",IF(AND(H44="",N(IFERROR(INDEX(Recetas!$W$6:$W$115,MATCH($E44,Recetas!$A$6:$A$115,0)),1))=0),"—",IF(H44="",IFERROR(IF(INDEX(Recetas!$M$6:$M$115,MATCH($E44,Recetas!$A$6:$A$115,0))&amp;""="",M44,INDEX(Recetas!$M$6:$M$115,MATCH($E44,Recetas!$A$6:$A$115,0))&amp;""),""),H44)))</f>
        <v>—</v>
      </c>
      <c r="P44" s="9" t="str">
        <f aca="false">IF($E44="","",IFERROR(INDEX(Recetas!$Q$6:$Q$115,MATCH($E44,Recetas!$A$6:$A$115,0)),""))</f>
        <v/>
      </c>
      <c r="Q44" s="10" t="n">
        <f aca="false">IF($E44="","",IFERROR(INDEX(Telas!$I$6:$I$105,MATCH(M44,Telas!$A$6:$A$105,0)),""))</f>
        <v>695.607</v>
      </c>
      <c r="R44" s="10" t="str">
        <f aca="false">IF($E44="","",IFERROR(IF(ISNUMBER(P44),IF(P44=0,0,P44*INDEX(Telas!$I$6:$I$105,MATCH(M44,Telas!$A$6:$A$105,0))),NA())+IF(ISNUMBER(INDEX(Recetas!$T$6:$T$115,MATCH($E44,Recetas!$A$6:$A$115,0))),IF(INDEX(Recetas!$T$6:$T$115,MATCH($E44,Recetas!$A$6:$A$115,0))=0,0,INDEX(Recetas!$T$6:$T$115,MATCH($E44,Recetas!$A$6:$A$115,0))*INDEX(Telas!$I$6:$I$105,MATCH(N44,Telas!$A$6:$A$105,0))),NA())+IF(ISNUMBER(INDEX(Recetas!$W$6:$W$115,MATCH($E44,Recetas!$A$6:$A$115,0))),IF(INDEX(Recetas!$W$6:$W$115,MATCH($E44,Recetas!$A$6:$A$115,0))=0,0,INDEX(Recetas!$W$6:$W$115,MATCH($E44,Recetas!$A$6:$A$115,0))*INDEX(Telas!$I$6:$I$105,MATCH(O44,Telas!$A$6:$A$105,0))),NA()),""))</f>
        <v/>
      </c>
      <c r="S44" s="10" t="str">
        <f aca="false">IF($E44="","",IFERROR(INDEX(Recetas!$AA$6:$AA$115,MATCH($E44,Recetas!$A$6:$A$115,0))*1,""))</f>
        <v/>
      </c>
      <c r="T44" s="10" t="n">
        <f aca="false">IF($E44="","",IFERROR(INDEX(Recetas!$AB$6:$AB$115,MATCH($E44,Recetas!$A$6:$A$115,0))*1,""))</f>
        <v>2000</v>
      </c>
      <c r="U44" s="10" t="n">
        <f aca="false">IF($E44="","",IFERROR(INDEX(Recetas!$AC$6:$AC$115,MATCH($E44,Recetas!$A$6:$A$115,0))+N(I44),""))</f>
        <v>0</v>
      </c>
      <c r="V44" s="11" t="str">
        <f aca="false">IF($E44="","",IFERROR(R44+S44+T44+U44,""))</f>
        <v/>
      </c>
      <c r="W44" s="11" t="str">
        <f aca="false">IF(ISNUMBER(V44),V44*Parametros!$B$12,"")</f>
        <v/>
      </c>
      <c r="X44" s="30" t="str">
        <f aca="false">IF(AND(ISNUMBER(V44),N(J44)&gt;0),(J44-V44-J44*Parametros!$B$8)/J44,"")</f>
        <v/>
      </c>
      <c r="Y44" s="10" t="str">
        <f aca="false">IF(AND(ISNUMBER(V44),N(J44)&gt;0),J44-V44-J44*Parametros!$B$8,"")</f>
        <v/>
      </c>
      <c r="Z44" s="29" t="str">
        <f aca="false">IF(AND(ISNUMBER(P44),M44&lt;&gt;""),IFERROR(1/(P44*INDEX(Telas!$G$6:$G$105,MATCH(M44,Telas!$A$6:$A$105,0))),""),"")</f>
        <v/>
      </c>
      <c r="AA44" s="7" t="str">
        <f aca="false">IF($E44="","",IF(ISNUMBER(V44),"OK",IF(Q44="","Precio o peso por metro de "&amp;M44&amp;". ","")&amp;IFERROR(INDEX(Recetas!$AG$6:$AG$115,MATCH($E44,Recetas!$A$6:$A$115,0)),"Molde no existe en Recetas.")))</f>
        <v>Consumo tela principal (Despiece o Mediciones). Consumo Tela 2. Elegir tela principal. Metros impresos. </v>
      </c>
    </row>
    <row r="45" customFormat="false" ht="15" hidden="false" customHeight="false" outlineLevel="0" collapsed="false">
      <c r="A45" s="27" t="s">
        <v>338</v>
      </c>
      <c r="B45" s="27" t="s">
        <v>339</v>
      </c>
      <c r="C45" s="27" t="s">
        <v>248</v>
      </c>
      <c r="D45" s="27" t="n">
        <v>21</v>
      </c>
      <c r="E45" s="27" t="s">
        <v>149</v>
      </c>
      <c r="F45" s="8" t="s">
        <v>150</v>
      </c>
      <c r="G45" s="8"/>
      <c r="H45" s="8"/>
      <c r="I45" s="15"/>
      <c r="J45" s="15" t="n">
        <v>17563</v>
      </c>
      <c r="K45" s="27" t="s">
        <v>249</v>
      </c>
      <c r="L45" s="27" t="s">
        <v>340</v>
      </c>
      <c r="M45" s="7" t="str">
        <f aca="false">IF($E45="","",IF(F45="",IFERROR(INDEX(Recetas!$K$6:$K$115,MATCH($E45,Recetas!$A$6:$A$115,0))&amp;"",""),F45))</f>
        <v>QUICKDRY</v>
      </c>
      <c r="N45" s="7" t="str">
        <f aca="false">IF($E45="","",IF(AND(G45="",N(IFERROR(INDEX(Recetas!$T$6:$T$115,MATCH($E45,Recetas!$A$6:$A$115,0)),1))=0),"—",IF(G45="",IFERROR(INDEX(Recetas!$L$6:$L$115,MATCH($E45,Recetas!$A$6:$A$115,0))&amp;"",""),G45)))</f>
        <v>—</v>
      </c>
      <c r="O45" s="7" t="str">
        <f aca="false">IF($E45="","",IF(AND(H45="",N(IFERROR(INDEX(Recetas!$W$6:$W$115,MATCH($E45,Recetas!$A$6:$A$115,0)),1))=0),"—",IF(H45="",IFERROR(IF(INDEX(Recetas!$M$6:$M$115,MATCH($E45,Recetas!$A$6:$A$115,0))&amp;""="",M45,INDEX(Recetas!$M$6:$M$115,MATCH($E45,Recetas!$A$6:$A$115,0))&amp;""),""),H45)))</f>
        <v>—</v>
      </c>
      <c r="P45" s="9" t="str">
        <f aca="false">IF($E45="","",IFERROR(INDEX(Recetas!$Q$6:$Q$115,MATCH($E45,Recetas!$A$6:$A$115,0)),""))</f>
        <v/>
      </c>
      <c r="Q45" s="10" t="str">
        <f aca="false">IF($E45="","",IFERROR(INDEX(Telas!$I$6:$I$105,MATCH(M45,Telas!$A$6:$A$105,0)),""))</f>
        <v/>
      </c>
      <c r="R45" s="10" t="str">
        <f aca="false">IF($E45="","",IFERROR(IF(ISNUMBER(P45),IF(P45=0,0,P45*INDEX(Telas!$I$6:$I$105,MATCH(M45,Telas!$A$6:$A$105,0))),NA())+IF(ISNUMBER(INDEX(Recetas!$T$6:$T$115,MATCH($E45,Recetas!$A$6:$A$115,0))),IF(INDEX(Recetas!$T$6:$T$115,MATCH($E45,Recetas!$A$6:$A$115,0))=0,0,INDEX(Recetas!$T$6:$T$115,MATCH($E45,Recetas!$A$6:$A$115,0))*INDEX(Telas!$I$6:$I$105,MATCH(N45,Telas!$A$6:$A$105,0))),NA())+IF(ISNUMBER(INDEX(Recetas!$W$6:$W$115,MATCH($E45,Recetas!$A$6:$A$115,0))),IF(INDEX(Recetas!$W$6:$W$115,MATCH($E45,Recetas!$A$6:$A$115,0))=0,0,INDEX(Recetas!$W$6:$W$115,MATCH($E45,Recetas!$A$6:$A$115,0))*INDEX(Telas!$I$6:$I$105,MATCH(O45,Telas!$A$6:$A$105,0))),NA()),""))</f>
        <v/>
      </c>
      <c r="S45" s="10" t="str">
        <f aca="false">IF($E45="","",IFERROR(INDEX(Recetas!$AA$6:$AA$115,MATCH($E45,Recetas!$A$6:$A$115,0))*1,""))</f>
        <v/>
      </c>
      <c r="T45" s="10" t="n">
        <f aca="false">IF($E45="","",IFERROR(INDEX(Recetas!$AB$6:$AB$115,MATCH($E45,Recetas!$A$6:$A$115,0))*1,""))</f>
        <v>1900</v>
      </c>
      <c r="U45" s="10" t="n">
        <f aca="false">IF($E45="","",IFERROR(INDEX(Recetas!$AC$6:$AC$115,MATCH($E45,Recetas!$A$6:$A$115,0))+N(I45),""))</f>
        <v>0</v>
      </c>
      <c r="V45" s="11" t="str">
        <f aca="false">IF($E45="","",IFERROR(R45+S45+T45+U45,""))</f>
        <v/>
      </c>
      <c r="W45" s="11" t="str">
        <f aca="false">IF(ISNUMBER(V45),V45*Parametros!$B$12,"")</f>
        <v/>
      </c>
      <c r="X45" s="30" t="str">
        <f aca="false">IF(AND(ISNUMBER(V45),N(J45)&gt;0),(J45-V45-J45*Parametros!$B$8)/J45,"")</f>
        <v/>
      </c>
      <c r="Y45" s="10" t="str">
        <f aca="false">IF(AND(ISNUMBER(V45),N(J45)&gt;0),J45-V45-J45*Parametros!$B$8,"")</f>
        <v/>
      </c>
      <c r="Z45" s="29" t="str">
        <f aca="false">IF(AND(ISNUMBER(P45),M45&lt;&gt;""),IFERROR(1/(P45*INDEX(Telas!$G$6:$G$105,MATCH(M45,Telas!$A$6:$A$105,0))),""),"")</f>
        <v/>
      </c>
      <c r="AA45" s="7" t="str">
        <f aca="false">IF($E45="","",IF(ISNUMBER(V45),"OK",IF(Q45="","Precio o peso por metro de "&amp;M45&amp;". ","")&amp;IFERROR(INDEX(Recetas!$AG$6:$AG$115,MATCH($E45,Recetas!$A$6:$A$115,0)),"Molde no existe en Recetas.")))</f>
        <v>Precio o peso por metro de QUICKDRY. Consumo tela principal (Despiece o Mediciones). Pesar 1 m de la tela medida (Telas, kg por metro). Precio o peso por metro de QUICKDRY. Metros impresos. </v>
      </c>
    </row>
    <row r="46" customFormat="false" ht="15" hidden="false" customHeight="false" outlineLevel="0" collapsed="false">
      <c r="A46" s="27" t="s">
        <v>341</v>
      </c>
      <c r="B46" s="27" t="s">
        <v>342</v>
      </c>
      <c r="C46" s="27" t="s">
        <v>248</v>
      </c>
      <c r="D46" s="27" t="n">
        <v>20</v>
      </c>
      <c r="E46" s="27" t="s">
        <v>194</v>
      </c>
      <c r="F46" s="8" t="s">
        <v>103</v>
      </c>
      <c r="G46" s="8"/>
      <c r="H46" s="8"/>
      <c r="I46" s="15"/>
      <c r="J46" s="15" t="n">
        <v>12521</v>
      </c>
      <c r="K46" s="27" t="s">
        <v>249</v>
      </c>
      <c r="L46" s="27" t="s">
        <v>343</v>
      </c>
      <c r="M46" s="7" t="str">
        <f aca="false">IF($E46="","",IF(F46="",IFERROR(INDEX(Recetas!$K$6:$K$115,MATCH($E46,Recetas!$A$6:$A$115,0))&amp;"",""),F46))</f>
        <v>CIRE BLANCO</v>
      </c>
      <c r="N46" s="7" t="str">
        <f aca="false">IF($E46="","",IF(AND(G46="",N(IFERROR(INDEX(Recetas!$T$6:$T$115,MATCH($E46,Recetas!$A$6:$A$115,0)),1))=0),"—",IF(G46="",IFERROR(INDEX(Recetas!$L$6:$L$115,MATCH($E46,Recetas!$A$6:$A$115,0))&amp;"",""),G46)))</f>
        <v>—</v>
      </c>
      <c r="O46" s="7" t="str">
        <f aca="false">IF($E46="","",IF(AND(H46="",N(IFERROR(INDEX(Recetas!$W$6:$W$115,MATCH($E46,Recetas!$A$6:$A$115,0)),1))=0),"—",IF(H46="",IFERROR(IF(INDEX(Recetas!$M$6:$M$115,MATCH($E46,Recetas!$A$6:$A$115,0))&amp;""="",M46,INDEX(Recetas!$M$6:$M$115,MATCH($E46,Recetas!$A$6:$A$115,0))&amp;""),""),H46)))</f>
        <v>—</v>
      </c>
      <c r="P46" s="9" t="str">
        <f aca="false">IF($E46="","",IFERROR(INDEX(Recetas!$Q$6:$Q$115,MATCH($E46,Recetas!$A$6:$A$115,0)),""))</f>
        <v/>
      </c>
      <c r="Q46" s="10" t="str">
        <f aca="false">IF($E46="","",IFERROR(INDEX(Telas!$I$6:$I$105,MATCH(M46,Telas!$A$6:$A$105,0)),""))</f>
        <v/>
      </c>
      <c r="R46" s="10" t="str">
        <f aca="false">IF($E46="","",IFERROR(IF(ISNUMBER(P46),IF(P46=0,0,P46*INDEX(Telas!$I$6:$I$105,MATCH(M46,Telas!$A$6:$A$105,0))),NA())+IF(ISNUMBER(INDEX(Recetas!$T$6:$T$115,MATCH($E46,Recetas!$A$6:$A$115,0))),IF(INDEX(Recetas!$T$6:$T$115,MATCH($E46,Recetas!$A$6:$A$115,0))=0,0,INDEX(Recetas!$T$6:$T$115,MATCH($E46,Recetas!$A$6:$A$115,0))*INDEX(Telas!$I$6:$I$105,MATCH(N46,Telas!$A$6:$A$105,0))),NA())+IF(ISNUMBER(INDEX(Recetas!$W$6:$W$115,MATCH($E46,Recetas!$A$6:$A$115,0))),IF(INDEX(Recetas!$W$6:$W$115,MATCH($E46,Recetas!$A$6:$A$115,0))=0,0,INDEX(Recetas!$W$6:$W$115,MATCH($E46,Recetas!$A$6:$A$115,0))*INDEX(Telas!$I$6:$I$105,MATCH(O46,Telas!$A$6:$A$105,0))),NA()),""))</f>
        <v/>
      </c>
      <c r="S46" s="10" t="n">
        <f aca="false">IF($E46="","",IFERROR(INDEX(Recetas!$AA$6:$AA$115,MATCH($E46,Recetas!$A$6:$A$115,0))*1,""))</f>
        <v>0</v>
      </c>
      <c r="T46" s="10" t="n">
        <f aca="false">IF($E46="","",IFERROR(INDEX(Recetas!$AB$6:$AB$115,MATCH($E46,Recetas!$A$6:$A$115,0))*1,""))</f>
        <v>1700</v>
      </c>
      <c r="U46" s="10" t="n">
        <f aca="false">IF($E46="","",IFERROR(INDEX(Recetas!$AC$6:$AC$115,MATCH($E46,Recetas!$A$6:$A$115,0))+N(I46),""))</f>
        <v>0</v>
      </c>
      <c r="V46" s="11" t="str">
        <f aca="false">IF($E46="","",IFERROR(R46+S46+T46+U46,""))</f>
        <v/>
      </c>
      <c r="W46" s="11" t="str">
        <f aca="false">IF(ISNUMBER(V46),V46*Parametros!$B$12,"")</f>
        <v/>
      </c>
      <c r="X46" s="30" t="str">
        <f aca="false">IF(AND(ISNUMBER(V46),N(J46)&gt;0),(J46-V46-J46*Parametros!$B$8)/J46,"")</f>
        <v/>
      </c>
      <c r="Y46" s="10" t="str">
        <f aca="false">IF(AND(ISNUMBER(V46),N(J46)&gt;0),J46-V46-J46*Parametros!$B$8,"")</f>
        <v/>
      </c>
      <c r="Z46" s="29" t="str">
        <f aca="false">IF(AND(ISNUMBER(P46),M46&lt;&gt;""),IFERROR(1/(P46*INDEX(Telas!$G$6:$G$105,MATCH(M46,Telas!$A$6:$A$105,0))),""),"")</f>
        <v/>
      </c>
      <c r="AA46" s="7" t="str">
        <f aca="false">IF($E46="","",IF(ISNUMBER(V46),"OK",IF(Q46="","Precio o peso por metro de "&amp;M46&amp;". ","")&amp;IFERROR(INDEX(Recetas!$AG$6:$AG$115,MATCH($E46,Recetas!$A$6:$A$115,0)),"Molde no existe en Recetas.")))</f>
        <v>Precio o peso por metro de CIRE BLANCO. Consumo tela principal (Despiece o Mediciones). Pesar 1 m de la tela medida (Telas, kg por metro). Precio o peso por metro de CIRE BLANCO. </v>
      </c>
    </row>
    <row r="47" customFormat="false" ht="15" hidden="false" customHeight="false" outlineLevel="0" collapsed="false">
      <c r="A47" s="27" t="s">
        <v>344</v>
      </c>
      <c r="B47" s="27" t="s">
        <v>345</v>
      </c>
      <c r="C47" s="27" t="s">
        <v>248</v>
      </c>
      <c r="D47" s="27" t="n">
        <v>20</v>
      </c>
      <c r="E47" s="27"/>
      <c r="F47" s="8"/>
      <c r="G47" s="8"/>
      <c r="H47" s="8"/>
      <c r="I47" s="15"/>
      <c r="J47" s="15" t="n">
        <v>18403</v>
      </c>
      <c r="K47" s="27" t="s">
        <v>249</v>
      </c>
      <c r="L47" s="27" t="s">
        <v>259</v>
      </c>
      <c r="M47" s="7" t="str">
        <f aca="false">IF($E47="","",IF(F47="",IFERROR(INDEX(Recetas!$K$6:$K$115,MATCH($E47,Recetas!$A$6:$A$115,0))&amp;"",""),F47))</f>
        <v/>
      </c>
      <c r="N47" s="7" t="str">
        <f aca="false">IF($E47="","",IF(AND(G47="",N(IFERROR(INDEX(Recetas!$T$6:$T$115,MATCH($E47,Recetas!$A$6:$A$115,0)),1))=0),"—",IF(G47="",IFERROR(INDEX(Recetas!$L$6:$L$115,MATCH($E47,Recetas!$A$6:$A$115,0))&amp;"",""),G47)))</f>
        <v/>
      </c>
      <c r="O47" s="7" t="str">
        <f aca="false">IF($E47="","",IF(AND(H47="",N(IFERROR(INDEX(Recetas!$W$6:$W$115,MATCH($E47,Recetas!$A$6:$A$115,0)),1))=0),"—",IF(H47="",IFERROR(IF(INDEX(Recetas!$M$6:$M$115,MATCH($E47,Recetas!$A$6:$A$115,0))&amp;""="",M47,INDEX(Recetas!$M$6:$M$115,MATCH($E47,Recetas!$A$6:$A$115,0))&amp;""),""),H47)))</f>
        <v/>
      </c>
      <c r="P47" s="9" t="str">
        <f aca="false">IF($E47="","",IFERROR(INDEX(Recetas!$Q$6:$Q$115,MATCH($E47,Recetas!$A$6:$A$115,0)),""))</f>
        <v/>
      </c>
      <c r="Q47" s="10" t="str">
        <f aca="false">IF($E47="","",IFERROR(INDEX(Telas!$I$6:$I$105,MATCH(M47,Telas!$A$6:$A$105,0)),""))</f>
        <v/>
      </c>
      <c r="R47" s="10" t="str">
        <f aca="false">IF($E47="","",IFERROR(IF(ISNUMBER(P47),IF(P47=0,0,P47*INDEX(Telas!$I$6:$I$105,MATCH(M47,Telas!$A$6:$A$105,0))),NA())+IF(ISNUMBER(INDEX(Recetas!$T$6:$T$115,MATCH($E47,Recetas!$A$6:$A$115,0))),IF(INDEX(Recetas!$T$6:$T$115,MATCH($E47,Recetas!$A$6:$A$115,0))=0,0,INDEX(Recetas!$T$6:$T$115,MATCH($E47,Recetas!$A$6:$A$115,0))*INDEX(Telas!$I$6:$I$105,MATCH(N47,Telas!$A$6:$A$105,0))),NA())+IF(ISNUMBER(INDEX(Recetas!$W$6:$W$115,MATCH($E47,Recetas!$A$6:$A$115,0))),IF(INDEX(Recetas!$W$6:$W$115,MATCH($E47,Recetas!$A$6:$A$115,0))=0,0,INDEX(Recetas!$W$6:$W$115,MATCH($E47,Recetas!$A$6:$A$115,0))*INDEX(Telas!$I$6:$I$105,MATCH(O47,Telas!$A$6:$A$105,0))),NA()),""))</f>
        <v/>
      </c>
      <c r="S47" s="10" t="str">
        <f aca="false">IF($E47="","",IFERROR(INDEX(Recetas!$AA$6:$AA$115,MATCH($E47,Recetas!$A$6:$A$115,0))*1,""))</f>
        <v/>
      </c>
      <c r="T47" s="10" t="str">
        <f aca="false">IF($E47="","",IFERROR(INDEX(Recetas!$AB$6:$AB$115,MATCH($E47,Recetas!$A$6:$A$115,0))*1,""))</f>
        <v/>
      </c>
      <c r="U47" s="10" t="str">
        <f aca="false">IF($E47="","",IFERROR(INDEX(Recetas!$AC$6:$AC$115,MATCH($E47,Recetas!$A$6:$A$115,0))+N(I47),""))</f>
        <v/>
      </c>
      <c r="V47" s="11" t="str">
        <f aca="false">IF($E47="","",IFERROR(R47+S47+T47+U47,""))</f>
        <v/>
      </c>
      <c r="W47" s="11" t="str">
        <f aca="false">IF(ISNUMBER(V47),V47*Parametros!$B$12,"")</f>
        <v/>
      </c>
      <c r="X47" s="30" t="str">
        <f aca="false">IF(AND(ISNUMBER(V47),N(J47)&gt;0),(J47-V47-J47*Parametros!$B$8)/J47,"")</f>
        <v/>
      </c>
      <c r="Y47" s="10" t="str">
        <f aca="false">IF(AND(ISNUMBER(V47),N(J47)&gt;0),J47-V47-J47*Parametros!$B$8,"")</f>
        <v/>
      </c>
      <c r="Z47" s="29" t="str">
        <f aca="false">IF(AND(ISNUMBER(P47),M47&lt;&gt;""),IFERROR(1/(P47*INDEX(Telas!$G$6:$G$105,MATCH(M47,Telas!$A$6:$A$105,0))),""),"")</f>
        <v/>
      </c>
      <c r="AA47" s="7" t="str">
        <f aca="false">IF($E47="","",IF(ISNUMBER(V47),"OK",IF(Q47="","Precio o peso por metro de "&amp;M47&amp;". ","")&amp;IFERROR(INDEX(Recetas!$AG$6:$AG$115,MATCH($E47,Recetas!$A$6:$A$115,0)),"Molde no existe en Recetas.")))</f>
        <v/>
      </c>
    </row>
    <row r="48" customFormat="false" ht="15" hidden="false" customHeight="false" outlineLevel="0" collapsed="false">
      <c r="A48" s="27" t="s">
        <v>346</v>
      </c>
      <c r="B48" s="27" t="s">
        <v>347</v>
      </c>
      <c r="C48" s="27" t="s">
        <v>248</v>
      </c>
      <c r="D48" s="27" t="n">
        <v>20</v>
      </c>
      <c r="E48" s="27"/>
      <c r="F48" s="8"/>
      <c r="G48" s="8"/>
      <c r="H48" s="8"/>
      <c r="I48" s="15"/>
      <c r="J48" s="15" t="n">
        <v>30000</v>
      </c>
      <c r="K48" s="27" t="s">
        <v>249</v>
      </c>
      <c r="L48" s="27" t="s">
        <v>259</v>
      </c>
      <c r="M48" s="7" t="str">
        <f aca="false">IF($E48="","",IF(F48="",IFERROR(INDEX(Recetas!$K$6:$K$115,MATCH($E48,Recetas!$A$6:$A$115,0))&amp;"",""),F48))</f>
        <v/>
      </c>
      <c r="N48" s="7" t="str">
        <f aca="false">IF($E48="","",IF(AND(G48="",N(IFERROR(INDEX(Recetas!$T$6:$T$115,MATCH($E48,Recetas!$A$6:$A$115,0)),1))=0),"—",IF(G48="",IFERROR(INDEX(Recetas!$L$6:$L$115,MATCH($E48,Recetas!$A$6:$A$115,0))&amp;"",""),G48)))</f>
        <v/>
      </c>
      <c r="O48" s="7" t="str">
        <f aca="false">IF($E48="","",IF(AND(H48="",N(IFERROR(INDEX(Recetas!$W$6:$W$115,MATCH($E48,Recetas!$A$6:$A$115,0)),1))=0),"—",IF(H48="",IFERROR(IF(INDEX(Recetas!$M$6:$M$115,MATCH($E48,Recetas!$A$6:$A$115,0))&amp;""="",M48,INDEX(Recetas!$M$6:$M$115,MATCH($E48,Recetas!$A$6:$A$115,0))&amp;""),""),H48)))</f>
        <v/>
      </c>
      <c r="P48" s="9" t="str">
        <f aca="false">IF($E48="","",IFERROR(INDEX(Recetas!$Q$6:$Q$115,MATCH($E48,Recetas!$A$6:$A$115,0)),""))</f>
        <v/>
      </c>
      <c r="Q48" s="10" t="str">
        <f aca="false">IF($E48="","",IFERROR(INDEX(Telas!$I$6:$I$105,MATCH(M48,Telas!$A$6:$A$105,0)),""))</f>
        <v/>
      </c>
      <c r="R48" s="10" t="str">
        <f aca="false">IF($E48="","",IFERROR(IF(ISNUMBER(P48),IF(P48=0,0,P48*INDEX(Telas!$I$6:$I$105,MATCH(M48,Telas!$A$6:$A$105,0))),NA())+IF(ISNUMBER(INDEX(Recetas!$T$6:$T$115,MATCH($E48,Recetas!$A$6:$A$115,0))),IF(INDEX(Recetas!$T$6:$T$115,MATCH($E48,Recetas!$A$6:$A$115,0))=0,0,INDEX(Recetas!$T$6:$T$115,MATCH($E48,Recetas!$A$6:$A$115,0))*INDEX(Telas!$I$6:$I$105,MATCH(N48,Telas!$A$6:$A$105,0))),NA())+IF(ISNUMBER(INDEX(Recetas!$W$6:$W$115,MATCH($E48,Recetas!$A$6:$A$115,0))),IF(INDEX(Recetas!$W$6:$W$115,MATCH($E48,Recetas!$A$6:$A$115,0))=0,0,INDEX(Recetas!$W$6:$W$115,MATCH($E48,Recetas!$A$6:$A$115,0))*INDEX(Telas!$I$6:$I$105,MATCH(O48,Telas!$A$6:$A$105,0))),NA()),""))</f>
        <v/>
      </c>
      <c r="S48" s="10" t="str">
        <f aca="false">IF($E48="","",IFERROR(INDEX(Recetas!$AA$6:$AA$115,MATCH($E48,Recetas!$A$6:$A$115,0))*1,""))</f>
        <v/>
      </c>
      <c r="T48" s="10" t="str">
        <f aca="false">IF($E48="","",IFERROR(INDEX(Recetas!$AB$6:$AB$115,MATCH($E48,Recetas!$A$6:$A$115,0))*1,""))</f>
        <v/>
      </c>
      <c r="U48" s="10" t="str">
        <f aca="false">IF($E48="","",IFERROR(INDEX(Recetas!$AC$6:$AC$115,MATCH($E48,Recetas!$A$6:$A$115,0))+N(I48),""))</f>
        <v/>
      </c>
      <c r="V48" s="11" t="str">
        <f aca="false">IF($E48="","",IFERROR(R48+S48+T48+U48,""))</f>
        <v/>
      </c>
      <c r="W48" s="11" t="str">
        <f aca="false">IF(ISNUMBER(V48),V48*Parametros!$B$12,"")</f>
        <v/>
      </c>
      <c r="X48" s="30" t="str">
        <f aca="false">IF(AND(ISNUMBER(V48),N(J48)&gt;0),(J48-V48-J48*Parametros!$B$8)/J48,"")</f>
        <v/>
      </c>
      <c r="Y48" s="10" t="str">
        <f aca="false">IF(AND(ISNUMBER(V48),N(J48)&gt;0),J48-V48-J48*Parametros!$B$8,"")</f>
        <v/>
      </c>
      <c r="Z48" s="29" t="str">
        <f aca="false">IF(AND(ISNUMBER(P48),M48&lt;&gt;""),IFERROR(1/(P48*INDEX(Telas!$G$6:$G$105,MATCH(M48,Telas!$A$6:$A$105,0))),""),"")</f>
        <v/>
      </c>
      <c r="AA48" s="7" t="str">
        <f aca="false">IF($E48="","",IF(ISNUMBER(V48),"OK",IF(Q48="","Precio o peso por metro de "&amp;M48&amp;". ","")&amp;IFERROR(INDEX(Recetas!$AG$6:$AG$115,MATCH($E48,Recetas!$A$6:$A$115,0)),"Molde no existe en Recetas.")))</f>
        <v/>
      </c>
    </row>
    <row r="49" customFormat="false" ht="15" hidden="false" customHeight="false" outlineLevel="0" collapsed="false">
      <c r="A49" s="27" t="s">
        <v>348</v>
      </c>
      <c r="B49" s="27" t="s">
        <v>349</v>
      </c>
      <c r="C49" s="27" t="s">
        <v>248</v>
      </c>
      <c r="D49" s="27" t="n">
        <v>20</v>
      </c>
      <c r="E49" s="27"/>
      <c r="F49" s="8"/>
      <c r="G49" s="8"/>
      <c r="H49" s="8"/>
      <c r="I49" s="15"/>
      <c r="J49" s="15" t="n">
        <v>6000</v>
      </c>
      <c r="K49" s="27" t="s">
        <v>249</v>
      </c>
      <c r="L49" s="27" t="s">
        <v>259</v>
      </c>
      <c r="M49" s="7" t="str">
        <f aca="false">IF($E49="","",IF(F49="",IFERROR(INDEX(Recetas!$K$6:$K$115,MATCH($E49,Recetas!$A$6:$A$115,0))&amp;"",""),F49))</f>
        <v/>
      </c>
      <c r="N49" s="7" t="str">
        <f aca="false">IF($E49="","",IF(AND(G49="",N(IFERROR(INDEX(Recetas!$T$6:$T$115,MATCH($E49,Recetas!$A$6:$A$115,0)),1))=0),"—",IF(G49="",IFERROR(INDEX(Recetas!$L$6:$L$115,MATCH($E49,Recetas!$A$6:$A$115,0))&amp;"",""),G49)))</f>
        <v/>
      </c>
      <c r="O49" s="7" t="str">
        <f aca="false">IF($E49="","",IF(AND(H49="",N(IFERROR(INDEX(Recetas!$W$6:$W$115,MATCH($E49,Recetas!$A$6:$A$115,0)),1))=0),"—",IF(H49="",IFERROR(IF(INDEX(Recetas!$M$6:$M$115,MATCH($E49,Recetas!$A$6:$A$115,0))&amp;""="",M49,INDEX(Recetas!$M$6:$M$115,MATCH($E49,Recetas!$A$6:$A$115,0))&amp;""),""),H49)))</f>
        <v/>
      </c>
      <c r="P49" s="9" t="str">
        <f aca="false">IF($E49="","",IFERROR(INDEX(Recetas!$Q$6:$Q$115,MATCH($E49,Recetas!$A$6:$A$115,0)),""))</f>
        <v/>
      </c>
      <c r="Q49" s="10" t="str">
        <f aca="false">IF($E49="","",IFERROR(INDEX(Telas!$I$6:$I$105,MATCH(M49,Telas!$A$6:$A$105,0)),""))</f>
        <v/>
      </c>
      <c r="R49" s="10" t="str">
        <f aca="false">IF($E49="","",IFERROR(IF(ISNUMBER(P49),IF(P49=0,0,P49*INDEX(Telas!$I$6:$I$105,MATCH(M49,Telas!$A$6:$A$105,0))),NA())+IF(ISNUMBER(INDEX(Recetas!$T$6:$T$115,MATCH($E49,Recetas!$A$6:$A$115,0))),IF(INDEX(Recetas!$T$6:$T$115,MATCH($E49,Recetas!$A$6:$A$115,0))=0,0,INDEX(Recetas!$T$6:$T$115,MATCH($E49,Recetas!$A$6:$A$115,0))*INDEX(Telas!$I$6:$I$105,MATCH(N49,Telas!$A$6:$A$105,0))),NA())+IF(ISNUMBER(INDEX(Recetas!$W$6:$W$115,MATCH($E49,Recetas!$A$6:$A$115,0))),IF(INDEX(Recetas!$W$6:$W$115,MATCH($E49,Recetas!$A$6:$A$115,0))=0,0,INDEX(Recetas!$W$6:$W$115,MATCH($E49,Recetas!$A$6:$A$115,0))*INDEX(Telas!$I$6:$I$105,MATCH(O49,Telas!$A$6:$A$105,0))),NA()),""))</f>
        <v/>
      </c>
      <c r="S49" s="10" t="str">
        <f aca="false">IF($E49="","",IFERROR(INDEX(Recetas!$AA$6:$AA$115,MATCH($E49,Recetas!$A$6:$A$115,0))*1,""))</f>
        <v/>
      </c>
      <c r="T49" s="10" t="str">
        <f aca="false">IF($E49="","",IFERROR(INDEX(Recetas!$AB$6:$AB$115,MATCH($E49,Recetas!$A$6:$A$115,0))*1,""))</f>
        <v/>
      </c>
      <c r="U49" s="10" t="str">
        <f aca="false">IF($E49="","",IFERROR(INDEX(Recetas!$AC$6:$AC$115,MATCH($E49,Recetas!$A$6:$A$115,0))+N(I49),""))</f>
        <v/>
      </c>
      <c r="V49" s="11" t="str">
        <f aca="false">IF($E49="","",IFERROR(R49+S49+T49+U49,""))</f>
        <v/>
      </c>
      <c r="W49" s="11" t="str">
        <f aca="false">IF(ISNUMBER(V49),V49*Parametros!$B$12,"")</f>
        <v/>
      </c>
      <c r="X49" s="30" t="str">
        <f aca="false">IF(AND(ISNUMBER(V49),N(J49)&gt;0),(J49-V49-J49*Parametros!$B$8)/J49,"")</f>
        <v/>
      </c>
      <c r="Y49" s="10" t="str">
        <f aca="false">IF(AND(ISNUMBER(V49),N(J49)&gt;0),J49-V49-J49*Parametros!$B$8,"")</f>
        <v/>
      </c>
      <c r="Z49" s="29" t="str">
        <f aca="false">IF(AND(ISNUMBER(P49),M49&lt;&gt;""),IFERROR(1/(P49*INDEX(Telas!$G$6:$G$105,MATCH(M49,Telas!$A$6:$A$105,0))),""),"")</f>
        <v/>
      </c>
      <c r="AA49" s="7" t="str">
        <f aca="false">IF($E49="","",IF(ISNUMBER(V49),"OK",IF(Q49="","Precio o peso por metro de "&amp;M49&amp;". ","")&amp;IFERROR(INDEX(Recetas!$AG$6:$AG$115,MATCH($E49,Recetas!$A$6:$A$115,0)),"Molde no existe en Recetas.")))</f>
        <v/>
      </c>
    </row>
    <row r="50" customFormat="false" ht="15" hidden="false" customHeight="false" outlineLevel="0" collapsed="false">
      <c r="A50" s="27" t="s">
        <v>350</v>
      </c>
      <c r="B50" s="27" t="s">
        <v>351</v>
      </c>
      <c r="C50" s="27" t="s">
        <v>248</v>
      </c>
      <c r="D50" s="27" t="n">
        <v>19</v>
      </c>
      <c r="E50" s="27"/>
      <c r="F50" s="8"/>
      <c r="G50" s="8"/>
      <c r="H50" s="8"/>
      <c r="I50" s="15"/>
      <c r="J50" s="15" t="n">
        <v>15882</v>
      </c>
      <c r="K50" s="27" t="s">
        <v>249</v>
      </c>
      <c r="L50" s="27" t="s">
        <v>259</v>
      </c>
      <c r="M50" s="7" t="str">
        <f aca="false">IF($E50="","",IF(F50="",IFERROR(INDEX(Recetas!$K$6:$K$115,MATCH($E50,Recetas!$A$6:$A$115,0))&amp;"",""),F50))</f>
        <v/>
      </c>
      <c r="N50" s="7" t="str">
        <f aca="false">IF($E50="","",IF(AND(G50="",N(IFERROR(INDEX(Recetas!$T$6:$T$115,MATCH($E50,Recetas!$A$6:$A$115,0)),1))=0),"—",IF(G50="",IFERROR(INDEX(Recetas!$L$6:$L$115,MATCH($E50,Recetas!$A$6:$A$115,0))&amp;"",""),G50)))</f>
        <v/>
      </c>
      <c r="O50" s="7" t="str">
        <f aca="false">IF($E50="","",IF(AND(H50="",N(IFERROR(INDEX(Recetas!$W$6:$W$115,MATCH($E50,Recetas!$A$6:$A$115,0)),1))=0),"—",IF(H50="",IFERROR(IF(INDEX(Recetas!$M$6:$M$115,MATCH($E50,Recetas!$A$6:$A$115,0))&amp;""="",M50,INDEX(Recetas!$M$6:$M$115,MATCH($E50,Recetas!$A$6:$A$115,0))&amp;""),""),H50)))</f>
        <v/>
      </c>
      <c r="P50" s="9" t="str">
        <f aca="false">IF($E50="","",IFERROR(INDEX(Recetas!$Q$6:$Q$115,MATCH($E50,Recetas!$A$6:$A$115,0)),""))</f>
        <v/>
      </c>
      <c r="Q50" s="10" t="str">
        <f aca="false">IF($E50="","",IFERROR(INDEX(Telas!$I$6:$I$105,MATCH(M50,Telas!$A$6:$A$105,0)),""))</f>
        <v/>
      </c>
      <c r="R50" s="10" t="str">
        <f aca="false">IF($E50="","",IFERROR(IF(ISNUMBER(P50),IF(P50=0,0,P50*INDEX(Telas!$I$6:$I$105,MATCH(M50,Telas!$A$6:$A$105,0))),NA())+IF(ISNUMBER(INDEX(Recetas!$T$6:$T$115,MATCH($E50,Recetas!$A$6:$A$115,0))),IF(INDEX(Recetas!$T$6:$T$115,MATCH($E50,Recetas!$A$6:$A$115,0))=0,0,INDEX(Recetas!$T$6:$T$115,MATCH($E50,Recetas!$A$6:$A$115,0))*INDEX(Telas!$I$6:$I$105,MATCH(N50,Telas!$A$6:$A$105,0))),NA())+IF(ISNUMBER(INDEX(Recetas!$W$6:$W$115,MATCH($E50,Recetas!$A$6:$A$115,0))),IF(INDEX(Recetas!$W$6:$W$115,MATCH($E50,Recetas!$A$6:$A$115,0))=0,0,INDEX(Recetas!$W$6:$W$115,MATCH($E50,Recetas!$A$6:$A$115,0))*INDEX(Telas!$I$6:$I$105,MATCH(O50,Telas!$A$6:$A$105,0))),NA()),""))</f>
        <v/>
      </c>
      <c r="S50" s="10" t="str">
        <f aca="false">IF($E50="","",IFERROR(INDEX(Recetas!$AA$6:$AA$115,MATCH($E50,Recetas!$A$6:$A$115,0))*1,""))</f>
        <v/>
      </c>
      <c r="T50" s="10" t="str">
        <f aca="false">IF($E50="","",IFERROR(INDEX(Recetas!$AB$6:$AB$115,MATCH($E50,Recetas!$A$6:$A$115,0))*1,""))</f>
        <v/>
      </c>
      <c r="U50" s="10" t="str">
        <f aca="false">IF($E50="","",IFERROR(INDEX(Recetas!$AC$6:$AC$115,MATCH($E50,Recetas!$A$6:$A$115,0))+N(I50),""))</f>
        <v/>
      </c>
      <c r="V50" s="11" t="str">
        <f aca="false">IF($E50="","",IFERROR(R50+S50+T50+U50,""))</f>
        <v/>
      </c>
      <c r="W50" s="11" t="str">
        <f aca="false">IF(ISNUMBER(V50),V50*Parametros!$B$12,"")</f>
        <v/>
      </c>
      <c r="X50" s="30" t="str">
        <f aca="false">IF(AND(ISNUMBER(V50),N(J50)&gt;0),(J50-V50-J50*Parametros!$B$8)/J50,"")</f>
        <v/>
      </c>
      <c r="Y50" s="10" t="str">
        <f aca="false">IF(AND(ISNUMBER(V50),N(J50)&gt;0),J50-V50-J50*Parametros!$B$8,"")</f>
        <v/>
      </c>
      <c r="Z50" s="29" t="str">
        <f aca="false">IF(AND(ISNUMBER(P50),M50&lt;&gt;""),IFERROR(1/(P50*INDEX(Telas!$G$6:$G$105,MATCH(M50,Telas!$A$6:$A$105,0))),""),"")</f>
        <v/>
      </c>
      <c r="AA50" s="7" t="str">
        <f aca="false">IF($E50="","",IF(ISNUMBER(V50),"OK",IF(Q50="","Precio o peso por metro de "&amp;M50&amp;". ","")&amp;IFERROR(INDEX(Recetas!$AG$6:$AG$115,MATCH($E50,Recetas!$A$6:$A$115,0)),"Molde no existe en Recetas.")))</f>
        <v/>
      </c>
    </row>
    <row r="51" customFormat="false" ht="15" hidden="false" customHeight="false" outlineLevel="0" collapsed="false">
      <c r="A51" s="27" t="s">
        <v>352</v>
      </c>
      <c r="B51" s="27" t="s">
        <v>353</v>
      </c>
      <c r="C51" s="27" t="s">
        <v>268</v>
      </c>
      <c r="D51" s="27" t="n">
        <v>19</v>
      </c>
      <c r="E51" s="27"/>
      <c r="F51" s="8"/>
      <c r="G51" s="8"/>
      <c r="H51" s="8"/>
      <c r="I51" s="15"/>
      <c r="J51" s="15" t="n">
        <v>15042</v>
      </c>
      <c r="K51" s="27" t="s">
        <v>249</v>
      </c>
      <c r="L51" s="27" t="s">
        <v>259</v>
      </c>
      <c r="M51" s="7" t="str">
        <f aca="false">IF($E51="","",IF(F51="",IFERROR(INDEX(Recetas!$K$6:$K$115,MATCH($E51,Recetas!$A$6:$A$115,0))&amp;"",""),F51))</f>
        <v/>
      </c>
      <c r="N51" s="7" t="str">
        <f aca="false">IF($E51="","",IF(AND(G51="",N(IFERROR(INDEX(Recetas!$T$6:$T$115,MATCH($E51,Recetas!$A$6:$A$115,0)),1))=0),"—",IF(G51="",IFERROR(INDEX(Recetas!$L$6:$L$115,MATCH($E51,Recetas!$A$6:$A$115,0))&amp;"",""),G51)))</f>
        <v/>
      </c>
      <c r="O51" s="7" t="str">
        <f aca="false">IF($E51="","",IF(AND(H51="",N(IFERROR(INDEX(Recetas!$W$6:$W$115,MATCH($E51,Recetas!$A$6:$A$115,0)),1))=0),"—",IF(H51="",IFERROR(IF(INDEX(Recetas!$M$6:$M$115,MATCH($E51,Recetas!$A$6:$A$115,0))&amp;""="",M51,INDEX(Recetas!$M$6:$M$115,MATCH($E51,Recetas!$A$6:$A$115,0))&amp;""),""),H51)))</f>
        <v/>
      </c>
      <c r="P51" s="9" t="str">
        <f aca="false">IF($E51="","",IFERROR(INDEX(Recetas!$Q$6:$Q$115,MATCH($E51,Recetas!$A$6:$A$115,0)),""))</f>
        <v/>
      </c>
      <c r="Q51" s="10" t="str">
        <f aca="false">IF($E51="","",IFERROR(INDEX(Telas!$I$6:$I$105,MATCH(M51,Telas!$A$6:$A$105,0)),""))</f>
        <v/>
      </c>
      <c r="R51" s="10" t="str">
        <f aca="false">IF($E51="","",IFERROR(IF(ISNUMBER(P51),IF(P51=0,0,P51*INDEX(Telas!$I$6:$I$105,MATCH(M51,Telas!$A$6:$A$105,0))),NA())+IF(ISNUMBER(INDEX(Recetas!$T$6:$T$115,MATCH($E51,Recetas!$A$6:$A$115,0))),IF(INDEX(Recetas!$T$6:$T$115,MATCH($E51,Recetas!$A$6:$A$115,0))=0,0,INDEX(Recetas!$T$6:$T$115,MATCH($E51,Recetas!$A$6:$A$115,0))*INDEX(Telas!$I$6:$I$105,MATCH(N51,Telas!$A$6:$A$105,0))),NA())+IF(ISNUMBER(INDEX(Recetas!$W$6:$W$115,MATCH($E51,Recetas!$A$6:$A$115,0))),IF(INDEX(Recetas!$W$6:$W$115,MATCH($E51,Recetas!$A$6:$A$115,0))=0,0,INDEX(Recetas!$W$6:$W$115,MATCH($E51,Recetas!$A$6:$A$115,0))*INDEX(Telas!$I$6:$I$105,MATCH(O51,Telas!$A$6:$A$105,0))),NA()),""))</f>
        <v/>
      </c>
      <c r="S51" s="10" t="str">
        <f aca="false">IF($E51="","",IFERROR(INDEX(Recetas!$AA$6:$AA$115,MATCH($E51,Recetas!$A$6:$A$115,0))*1,""))</f>
        <v/>
      </c>
      <c r="T51" s="10" t="str">
        <f aca="false">IF($E51="","",IFERROR(INDEX(Recetas!$AB$6:$AB$115,MATCH($E51,Recetas!$A$6:$A$115,0))*1,""))</f>
        <v/>
      </c>
      <c r="U51" s="10" t="str">
        <f aca="false">IF($E51="","",IFERROR(INDEX(Recetas!$AC$6:$AC$115,MATCH($E51,Recetas!$A$6:$A$115,0))+N(I51),""))</f>
        <v/>
      </c>
      <c r="V51" s="11" t="str">
        <f aca="false">IF($E51="","",IFERROR(R51+S51+T51+U51,""))</f>
        <v/>
      </c>
      <c r="W51" s="11" t="str">
        <f aca="false">IF(ISNUMBER(V51),V51*Parametros!$B$12,"")</f>
        <v/>
      </c>
      <c r="X51" s="30" t="str">
        <f aca="false">IF(AND(ISNUMBER(V51),N(J51)&gt;0),(J51-V51-J51*Parametros!$B$8)/J51,"")</f>
        <v/>
      </c>
      <c r="Y51" s="10" t="str">
        <f aca="false">IF(AND(ISNUMBER(V51),N(J51)&gt;0),J51-V51-J51*Parametros!$B$8,"")</f>
        <v/>
      </c>
      <c r="Z51" s="29" t="str">
        <f aca="false">IF(AND(ISNUMBER(P51),M51&lt;&gt;""),IFERROR(1/(P51*INDEX(Telas!$G$6:$G$105,MATCH(M51,Telas!$A$6:$A$105,0))),""),"")</f>
        <v/>
      </c>
      <c r="AA51" s="7" t="str">
        <f aca="false">IF($E51="","",IF(ISNUMBER(V51),"OK",IF(Q51="","Precio o peso por metro de "&amp;M51&amp;". ","")&amp;IFERROR(INDEX(Recetas!$AG$6:$AG$115,MATCH($E51,Recetas!$A$6:$A$115,0)),"Molde no existe en Recetas.")))</f>
        <v/>
      </c>
    </row>
    <row r="52" customFormat="false" ht="15" hidden="false" customHeight="false" outlineLevel="0" collapsed="false">
      <c r="A52" s="27" t="s">
        <v>354</v>
      </c>
      <c r="B52" s="27" t="s">
        <v>355</v>
      </c>
      <c r="C52" s="27" t="s">
        <v>268</v>
      </c>
      <c r="D52" s="27" t="n">
        <v>17</v>
      </c>
      <c r="E52" s="27"/>
      <c r="F52" s="8"/>
      <c r="G52" s="8"/>
      <c r="H52" s="8"/>
      <c r="I52" s="15"/>
      <c r="J52" s="15" t="n">
        <v>24328</v>
      </c>
      <c r="K52" s="27" t="s">
        <v>249</v>
      </c>
      <c r="L52" s="27" t="s">
        <v>259</v>
      </c>
      <c r="M52" s="7" t="str">
        <f aca="false">IF($E52="","",IF(F52="",IFERROR(INDEX(Recetas!$K$6:$K$115,MATCH($E52,Recetas!$A$6:$A$115,0))&amp;"",""),F52))</f>
        <v/>
      </c>
      <c r="N52" s="7" t="str">
        <f aca="false">IF($E52="","",IF(AND(G52="",N(IFERROR(INDEX(Recetas!$T$6:$T$115,MATCH($E52,Recetas!$A$6:$A$115,0)),1))=0),"—",IF(G52="",IFERROR(INDEX(Recetas!$L$6:$L$115,MATCH($E52,Recetas!$A$6:$A$115,0))&amp;"",""),G52)))</f>
        <v/>
      </c>
      <c r="O52" s="7" t="str">
        <f aca="false">IF($E52="","",IF(AND(H52="",N(IFERROR(INDEX(Recetas!$W$6:$W$115,MATCH($E52,Recetas!$A$6:$A$115,0)),1))=0),"—",IF(H52="",IFERROR(IF(INDEX(Recetas!$M$6:$M$115,MATCH($E52,Recetas!$A$6:$A$115,0))&amp;""="",M52,INDEX(Recetas!$M$6:$M$115,MATCH($E52,Recetas!$A$6:$A$115,0))&amp;""),""),H52)))</f>
        <v/>
      </c>
      <c r="P52" s="9" t="str">
        <f aca="false">IF($E52="","",IFERROR(INDEX(Recetas!$Q$6:$Q$115,MATCH($E52,Recetas!$A$6:$A$115,0)),""))</f>
        <v/>
      </c>
      <c r="Q52" s="10" t="str">
        <f aca="false">IF($E52="","",IFERROR(INDEX(Telas!$I$6:$I$105,MATCH(M52,Telas!$A$6:$A$105,0)),""))</f>
        <v/>
      </c>
      <c r="R52" s="10" t="str">
        <f aca="false">IF($E52="","",IFERROR(IF(ISNUMBER(P52),IF(P52=0,0,P52*INDEX(Telas!$I$6:$I$105,MATCH(M52,Telas!$A$6:$A$105,0))),NA())+IF(ISNUMBER(INDEX(Recetas!$T$6:$T$115,MATCH($E52,Recetas!$A$6:$A$115,0))),IF(INDEX(Recetas!$T$6:$T$115,MATCH($E52,Recetas!$A$6:$A$115,0))=0,0,INDEX(Recetas!$T$6:$T$115,MATCH($E52,Recetas!$A$6:$A$115,0))*INDEX(Telas!$I$6:$I$105,MATCH(N52,Telas!$A$6:$A$105,0))),NA())+IF(ISNUMBER(INDEX(Recetas!$W$6:$W$115,MATCH($E52,Recetas!$A$6:$A$115,0))),IF(INDEX(Recetas!$W$6:$W$115,MATCH($E52,Recetas!$A$6:$A$115,0))=0,0,INDEX(Recetas!$W$6:$W$115,MATCH($E52,Recetas!$A$6:$A$115,0))*INDEX(Telas!$I$6:$I$105,MATCH(O52,Telas!$A$6:$A$105,0))),NA()),""))</f>
        <v/>
      </c>
      <c r="S52" s="10" t="str">
        <f aca="false">IF($E52="","",IFERROR(INDEX(Recetas!$AA$6:$AA$115,MATCH($E52,Recetas!$A$6:$A$115,0))*1,""))</f>
        <v/>
      </c>
      <c r="T52" s="10" t="str">
        <f aca="false">IF($E52="","",IFERROR(INDEX(Recetas!$AB$6:$AB$115,MATCH($E52,Recetas!$A$6:$A$115,0))*1,""))</f>
        <v/>
      </c>
      <c r="U52" s="10" t="str">
        <f aca="false">IF($E52="","",IFERROR(INDEX(Recetas!$AC$6:$AC$115,MATCH($E52,Recetas!$A$6:$A$115,0))+N(I52),""))</f>
        <v/>
      </c>
      <c r="V52" s="11" t="str">
        <f aca="false">IF($E52="","",IFERROR(R52+S52+T52+U52,""))</f>
        <v/>
      </c>
      <c r="W52" s="11" t="str">
        <f aca="false">IF(ISNUMBER(V52),V52*Parametros!$B$12,"")</f>
        <v/>
      </c>
      <c r="X52" s="30" t="str">
        <f aca="false">IF(AND(ISNUMBER(V52),N(J52)&gt;0),(J52-V52-J52*Parametros!$B$8)/J52,"")</f>
        <v/>
      </c>
      <c r="Y52" s="10" t="str">
        <f aca="false">IF(AND(ISNUMBER(V52),N(J52)&gt;0),J52-V52-J52*Parametros!$B$8,"")</f>
        <v/>
      </c>
      <c r="Z52" s="29" t="str">
        <f aca="false">IF(AND(ISNUMBER(P52),M52&lt;&gt;""),IFERROR(1/(P52*INDEX(Telas!$G$6:$G$105,MATCH(M52,Telas!$A$6:$A$105,0))),""),"")</f>
        <v/>
      </c>
      <c r="AA52" s="7" t="str">
        <f aca="false">IF($E52="","",IF(ISNUMBER(V52),"OK",IF(Q52="","Precio o peso por metro de "&amp;M52&amp;". ","")&amp;IFERROR(INDEX(Recetas!$AG$6:$AG$115,MATCH($E52,Recetas!$A$6:$A$115,0)),"Molde no existe en Recetas.")))</f>
        <v/>
      </c>
    </row>
    <row r="53" customFormat="false" ht="15" hidden="false" customHeight="false" outlineLevel="0" collapsed="false">
      <c r="A53" s="27" t="s">
        <v>356</v>
      </c>
      <c r="B53" s="27" t="s">
        <v>357</v>
      </c>
      <c r="C53" s="27" t="s">
        <v>248</v>
      </c>
      <c r="D53" s="27" t="n">
        <v>16</v>
      </c>
      <c r="E53" s="27"/>
      <c r="F53" s="8"/>
      <c r="G53" s="8"/>
      <c r="H53" s="8"/>
      <c r="I53" s="15"/>
      <c r="J53" s="15" t="n">
        <v>15882</v>
      </c>
      <c r="K53" s="27" t="s">
        <v>249</v>
      </c>
      <c r="L53" s="27" t="s">
        <v>259</v>
      </c>
      <c r="M53" s="7" t="str">
        <f aca="false">IF($E53="","",IF(F53="",IFERROR(INDEX(Recetas!$K$6:$K$115,MATCH($E53,Recetas!$A$6:$A$115,0))&amp;"",""),F53))</f>
        <v/>
      </c>
      <c r="N53" s="7" t="str">
        <f aca="false">IF($E53="","",IF(AND(G53="",N(IFERROR(INDEX(Recetas!$T$6:$T$115,MATCH($E53,Recetas!$A$6:$A$115,0)),1))=0),"—",IF(G53="",IFERROR(INDEX(Recetas!$L$6:$L$115,MATCH($E53,Recetas!$A$6:$A$115,0))&amp;"",""),G53)))</f>
        <v/>
      </c>
      <c r="O53" s="7" t="str">
        <f aca="false">IF($E53="","",IF(AND(H53="",N(IFERROR(INDEX(Recetas!$W$6:$W$115,MATCH($E53,Recetas!$A$6:$A$115,0)),1))=0),"—",IF(H53="",IFERROR(IF(INDEX(Recetas!$M$6:$M$115,MATCH($E53,Recetas!$A$6:$A$115,0))&amp;""="",M53,INDEX(Recetas!$M$6:$M$115,MATCH($E53,Recetas!$A$6:$A$115,0))&amp;""),""),H53)))</f>
        <v/>
      </c>
      <c r="P53" s="9" t="str">
        <f aca="false">IF($E53="","",IFERROR(INDEX(Recetas!$Q$6:$Q$115,MATCH($E53,Recetas!$A$6:$A$115,0)),""))</f>
        <v/>
      </c>
      <c r="Q53" s="10" t="str">
        <f aca="false">IF($E53="","",IFERROR(INDEX(Telas!$I$6:$I$105,MATCH(M53,Telas!$A$6:$A$105,0)),""))</f>
        <v/>
      </c>
      <c r="R53" s="10" t="str">
        <f aca="false">IF($E53="","",IFERROR(IF(ISNUMBER(P53),IF(P53=0,0,P53*INDEX(Telas!$I$6:$I$105,MATCH(M53,Telas!$A$6:$A$105,0))),NA())+IF(ISNUMBER(INDEX(Recetas!$T$6:$T$115,MATCH($E53,Recetas!$A$6:$A$115,0))),IF(INDEX(Recetas!$T$6:$T$115,MATCH($E53,Recetas!$A$6:$A$115,0))=0,0,INDEX(Recetas!$T$6:$T$115,MATCH($E53,Recetas!$A$6:$A$115,0))*INDEX(Telas!$I$6:$I$105,MATCH(N53,Telas!$A$6:$A$105,0))),NA())+IF(ISNUMBER(INDEX(Recetas!$W$6:$W$115,MATCH($E53,Recetas!$A$6:$A$115,0))),IF(INDEX(Recetas!$W$6:$W$115,MATCH($E53,Recetas!$A$6:$A$115,0))=0,0,INDEX(Recetas!$W$6:$W$115,MATCH($E53,Recetas!$A$6:$A$115,0))*INDEX(Telas!$I$6:$I$105,MATCH(O53,Telas!$A$6:$A$105,0))),NA()),""))</f>
        <v/>
      </c>
      <c r="S53" s="10" t="str">
        <f aca="false">IF($E53="","",IFERROR(INDEX(Recetas!$AA$6:$AA$115,MATCH($E53,Recetas!$A$6:$A$115,0))*1,""))</f>
        <v/>
      </c>
      <c r="T53" s="10" t="str">
        <f aca="false">IF($E53="","",IFERROR(INDEX(Recetas!$AB$6:$AB$115,MATCH($E53,Recetas!$A$6:$A$115,0))*1,""))</f>
        <v/>
      </c>
      <c r="U53" s="10" t="str">
        <f aca="false">IF($E53="","",IFERROR(INDEX(Recetas!$AC$6:$AC$115,MATCH($E53,Recetas!$A$6:$A$115,0))+N(I53),""))</f>
        <v/>
      </c>
      <c r="V53" s="11" t="str">
        <f aca="false">IF($E53="","",IFERROR(R53+S53+T53+U53,""))</f>
        <v/>
      </c>
      <c r="W53" s="11" t="str">
        <f aca="false">IF(ISNUMBER(V53),V53*Parametros!$B$12,"")</f>
        <v/>
      </c>
      <c r="X53" s="30" t="str">
        <f aca="false">IF(AND(ISNUMBER(V53),N(J53)&gt;0),(J53-V53-J53*Parametros!$B$8)/J53,"")</f>
        <v/>
      </c>
      <c r="Y53" s="10" t="str">
        <f aca="false">IF(AND(ISNUMBER(V53),N(J53)&gt;0),J53-V53-J53*Parametros!$B$8,"")</f>
        <v/>
      </c>
      <c r="Z53" s="29" t="str">
        <f aca="false">IF(AND(ISNUMBER(P53),M53&lt;&gt;""),IFERROR(1/(P53*INDEX(Telas!$G$6:$G$105,MATCH(M53,Telas!$A$6:$A$105,0))),""),"")</f>
        <v/>
      </c>
      <c r="AA53" s="7" t="str">
        <f aca="false">IF($E53="","",IF(ISNUMBER(V53),"OK",IF(Q53="","Precio o peso por metro de "&amp;M53&amp;". ","")&amp;IFERROR(INDEX(Recetas!$AG$6:$AG$115,MATCH($E53,Recetas!$A$6:$A$115,0)),"Molde no existe en Recetas.")))</f>
        <v/>
      </c>
    </row>
    <row r="54" customFormat="false" ht="15" hidden="false" customHeight="false" outlineLevel="0" collapsed="false">
      <c r="A54" s="27" t="s">
        <v>358</v>
      </c>
      <c r="B54" s="27" t="s">
        <v>359</v>
      </c>
      <c r="C54" s="27" t="s">
        <v>248</v>
      </c>
      <c r="D54" s="27" t="n">
        <v>15</v>
      </c>
      <c r="E54" s="27"/>
      <c r="F54" s="8"/>
      <c r="G54" s="8"/>
      <c r="H54" s="8"/>
      <c r="I54" s="15"/>
      <c r="J54" s="15" t="n">
        <v>17563</v>
      </c>
      <c r="K54" s="27" t="s">
        <v>249</v>
      </c>
      <c r="L54" s="27" t="s">
        <v>259</v>
      </c>
      <c r="M54" s="7" t="str">
        <f aca="false">IF($E54="","",IF(F54="",IFERROR(INDEX(Recetas!$K$6:$K$115,MATCH($E54,Recetas!$A$6:$A$115,0))&amp;"",""),F54))</f>
        <v/>
      </c>
      <c r="N54" s="7" t="str">
        <f aca="false">IF($E54="","",IF(AND(G54="",N(IFERROR(INDEX(Recetas!$T$6:$T$115,MATCH($E54,Recetas!$A$6:$A$115,0)),1))=0),"—",IF(G54="",IFERROR(INDEX(Recetas!$L$6:$L$115,MATCH($E54,Recetas!$A$6:$A$115,0))&amp;"",""),G54)))</f>
        <v/>
      </c>
      <c r="O54" s="7" t="str">
        <f aca="false">IF($E54="","",IF(AND(H54="",N(IFERROR(INDEX(Recetas!$W$6:$W$115,MATCH($E54,Recetas!$A$6:$A$115,0)),1))=0),"—",IF(H54="",IFERROR(IF(INDEX(Recetas!$M$6:$M$115,MATCH($E54,Recetas!$A$6:$A$115,0))&amp;""="",M54,INDEX(Recetas!$M$6:$M$115,MATCH($E54,Recetas!$A$6:$A$115,0))&amp;""),""),H54)))</f>
        <v/>
      </c>
      <c r="P54" s="9" t="str">
        <f aca="false">IF($E54="","",IFERROR(INDEX(Recetas!$Q$6:$Q$115,MATCH($E54,Recetas!$A$6:$A$115,0)),""))</f>
        <v/>
      </c>
      <c r="Q54" s="10" t="str">
        <f aca="false">IF($E54="","",IFERROR(INDEX(Telas!$I$6:$I$105,MATCH(M54,Telas!$A$6:$A$105,0)),""))</f>
        <v/>
      </c>
      <c r="R54" s="10" t="str">
        <f aca="false">IF($E54="","",IFERROR(IF(ISNUMBER(P54),IF(P54=0,0,P54*INDEX(Telas!$I$6:$I$105,MATCH(M54,Telas!$A$6:$A$105,0))),NA())+IF(ISNUMBER(INDEX(Recetas!$T$6:$T$115,MATCH($E54,Recetas!$A$6:$A$115,0))),IF(INDEX(Recetas!$T$6:$T$115,MATCH($E54,Recetas!$A$6:$A$115,0))=0,0,INDEX(Recetas!$T$6:$T$115,MATCH($E54,Recetas!$A$6:$A$115,0))*INDEX(Telas!$I$6:$I$105,MATCH(N54,Telas!$A$6:$A$105,0))),NA())+IF(ISNUMBER(INDEX(Recetas!$W$6:$W$115,MATCH($E54,Recetas!$A$6:$A$115,0))),IF(INDEX(Recetas!$W$6:$W$115,MATCH($E54,Recetas!$A$6:$A$115,0))=0,0,INDEX(Recetas!$W$6:$W$115,MATCH($E54,Recetas!$A$6:$A$115,0))*INDEX(Telas!$I$6:$I$105,MATCH(O54,Telas!$A$6:$A$105,0))),NA()),""))</f>
        <v/>
      </c>
      <c r="S54" s="10" t="str">
        <f aca="false">IF($E54="","",IFERROR(INDEX(Recetas!$AA$6:$AA$115,MATCH($E54,Recetas!$A$6:$A$115,0))*1,""))</f>
        <v/>
      </c>
      <c r="T54" s="10" t="str">
        <f aca="false">IF($E54="","",IFERROR(INDEX(Recetas!$AB$6:$AB$115,MATCH($E54,Recetas!$A$6:$A$115,0))*1,""))</f>
        <v/>
      </c>
      <c r="U54" s="10" t="str">
        <f aca="false">IF($E54="","",IFERROR(INDEX(Recetas!$AC$6:$AC$115,MATCH($E54,Recetas!$A$6:$A$115,0))+N(I54),""))</f>
        <v/>
      </c>
      <c r="V54" s="11" t="str">
        <f aca="false">IF($E54="","",IFERROR(R54+S54+T54+U54,""))</f>
        <v/>
      </c>
      <c r="W54" s="11" t="str">
        <f aca="false">IF(ISNUMBER(V54),V54*Parametros!$B$12,"")</f>
        <v/>
      </c>
      <c r="X54" s="30" t="str">
        <f aca="false">IF(AND(ISNUMBER(V54),N(J54)&gt;0),(J54-V54-J54*Parametros!$B$8)/J54,"")</f>
        <v/>
      </c>
      <c r="Y54" s="10" t="str">
        <f aca="false">IF(AND(ISNUMBER(V54),N(J54)&gt;0),J54-V54-J54*Parametros!$B$8,"")</f>
        <v/>
      </c>
      <c r="Z54" s="29" t="str">
        <f aca="false">IF(AND(ISNUMBER(P54),M54&lt;&gt;""),IFERROR(1/(P54*INDEX(Telas!$G$6:$G$105,MATCH(M54,Telas!$A$6:$A$105,0))),""),"")</f>
        <v/>
      </c>
      <c r="AA54" s="7" t="str">
        <f aca="false">IF($E54="","",IF(ISNUMBER(V54),"OK",IF(Q54="","Precio o peso por metro de "&amp;M54&amp;". ","")&amp;IFERROR(INDEX(Recetas!$AG$6:$AG$115,MATCH($E54,Recetas!$A$6:$A$115,0)),"Molde no existe en Recetas.")))</f>
        <v/>
      </c>
    </row>
    <row r="55" customFormat="false" ht="15" hidden="false" customHeight="false" outlineLevel="0" collapsed="false">
      <c r="A55" s="27" t="s">
        <v>360</v>
      </c>
      <c r="B55" s="27" t="s">
        <v>361</v>
      </c>
      <c r="C55" s="27" t="s">
        <v>248</v>
      </c>
      <c r="D55" s="27" t="n">
        <v>15</v>
      </c>
      <c r="E55" s="27"/>
      <c r="F55" s="8"/>
      <c r="G55" s="8"/>
      <c r="H55" s="8"/>
      <c r="I55" s="15"/>
      <c r="J55" s="15" t="n">
        <v>14202</v>
      </c>
      <c r="K55" s="27" t="s">
        <v>249</v>
      </c>
      <c r="L55" s="27" t="s">
        <v>259</v>
      </c>
      <c r="M55" s="7" t="str">
        <f aca="false">IF($E55="","",IF(F55="",IFERROR(INDEX(Recetas!$K$6:$K$115,MATCH($E55,Recetas!$A$6:$A$115,0))&amp;"",""),F55))</f>
        <v/>
      </c>
      <c r="N55" s="7" t="str">
        <f aca="false">IF($E55="","",IF(AND(G55="",N(IFERROR(INDEX(Recetas!$T$6:$T$115,MATCH($E55,Recetas!$A$6:$A$115,0)),1))=0),"—",IF(G55="",IFERROR(INDEX(Recetas!$L$6:$L$115,MATCH($E55,Recetas!$A$6:$A$115,0))&amp;"",""),G55)))</f>
        <v/>
      </c>
      <c r="O55" s="7" t="str">
        <f aca="false">IF($E55="","",IF(AND(H55="",N(IFERROR(INDEX(Recetas!$W$6:$W$115,MATCH($E55,Recetas!$A$6:$A$115,0)),1))=0),"—",IF(H55="",IFERROR(IF(INDEX(Recetas!$M$6:$M$115,MATCH($E55,Recetas!$A$6:$A$115,0))&amp;""="",M55,INDEX(Recetas!$M$6:$M$115,MATCH($E55,Recetas!$A$6:$A$115,0))&amp;""),""),H55)))</f>
        <v/>
      </c>
      <c r="P55" s="9" t="str">
        <f aca="false">IF($E55="","",IFERROR(INDEX(Recetas!$Q$6:$Q$115,MATCH($E55,Recetas!$A$6:$A$115,0)),""))</f>
        <v/>
      </c>
      <c r="Q55" s="10" t="str">
        <f aca="false">IF($E55="","",IFERROR(INDEX(Telas!$I$6:$I$105,MATCH(M55,Telas!$A$6:$A$105,0)),""))</f>
        <v/>
      </c>
      <c r="R55" s="10" t="str">
        <f aca="false">IF($E55="","",IFERROR(IF(ISNUMBER(P55),IF(P55=0,0,P55*INDEX(Telas!$I$6:$I$105,MATCH(M55,Telas!$A$6:$A$105,0))),NA())+IF(ISNUMBER(INDEX(Recetas!$T$6:$T$115,MATCH($E55,Recetas!$A$6:$A$115,0))),IF(INDEX(Recetas!$T$6:$T$115,MATCH($E55,Recetas!$A$6:$A$115,0))=0,0,INDEX(Recetas!$T$6:$T$115,MATCH($E55,Recetas!$A$6:$A$115,0))*INDEX(Telas!$I$6:$I$105,MATCH(N55,Telas!$A$6:$A$105,0))),NA())+IF(ISNUMBER(INDEX(Recetas!$W$6:$W$115,MATCH($E55,Recetas!$A$6:$A$115,0))),IF(INDEX(Recetas!$W$6:$W$115,MATCH($E55,Recetas!$A$6:$A$115,0))=0,0,INDEX(Recetas!$W$6:$W$115,MATCH($E55,Recetas!$A$6:$A$115,0))*INDEX(Telas!$I$6:$I$105,MATCH(O55,Telas!$A$6:$A$105,0))),NA()),""))</f>
        <v/>
      </c>
      <c r="S55" s="10" t="str">
        <f aca="false">IF($E55="","",IFERROR(INDEX(Recetas!$AA$6:$AA$115,MATCH($E55,Recetas!$A$6:$A$115,0))*1,""))</f>
        <v/>
      </c>
      <c r="T55" s="10" t="str">
        <f aca="false">IF($E55="","",IFERROR(INDEX(Recetas!$AB$6:$AB$115,MATCH($E55,Recetas!$A$6:$A$115,0))*1,""))</f>
        <v/>
      </c>
      <c r="U55" s="10" t="str">
        <f aca="false">IF($E55="","",IFERROR(INDEX(Recetas!$AC$6:$AC$115,MATCH($E55,Recetas!$A$6:$A$115,0))+N(I55),""))</f>
        <v/>
      </c>
      <c r="V55" s="11" t="str">
        <f aca="false">IF($E55="","",IFERROR(R55+S55+T55+U55,""))</f>
        <v/>
      </c>
      <c r="W55" s="11" t="str">
        <f aca="false">IF(ISNUMBER(V55),V55*Parametros!$B$12,"")</f>
        <v/>
      </c>
      <c r="X55" s="30" t="str">
        <f aca="false">IF(AND(ISNUMBER(V55),N(J55)&gt;0),(J55-V55-J55*Parametros!$B$8)/J55,"")</f>
        <v/>
      </c>
      <c r="Y55" s="10" t="str">
        <f aca="false">IF(AND(ISNUMBER(V55),N(J55)&gt;0),J55-V55-J55*Parametros!$B$8,"")</f>
        <v/>
      </c>
      <c r="Z55" s="29" t="str">
        <f aca="false">IF(AND(ISNUMBER(P55),M55&lt;&gt;""),IFERROR(1/(P55*INDEX(Telas!$G$6:$G$105,MATCH(M55,Telas!$A$6:$A$105,0))),""),"")</f>
        <v/>
      </c>
      <c r="AA55" s="7" t="str">
        <f aca="false">IF($E55="","",IF(ISNUMBER(V55),"OK",IF(Q55="","Precio o peso por metro de "&amp;M55&amp;". ","")&amp;IFERROR(INDEX(Recetas!$AG$6:$AG$115,MATCH($E55,Recetas!$A$6:$A$115,0)),"Molde no existe en Recetas.")))</f>
        <v/>
      </c>
    </row>
    <row r="56" customFormat="false" ht="15" hidden="false" customHeight="false" outlineLevel="0" collapsed="false">
      <c r="A56" s="27" t="s">
        <v>362</v>
      </c>
      <c r="B56" s="27" t="s">
        <v>363</v>
      </c>
      <c r="C56" s="27" t="s">
        <v>248</v>
      </c>
      <c r="D56" s="27" t="n">
        <v>14</v>
      </c>
      <c r="E56" s="27"/>
      <c r="F56" s="8"/>
      <c r="G56" s="8"/>
      <c r="H56" s="8"/>
      <c r="I56" s="15"/>
      <c r="J56" s="15" t="n">
        <v>11681</v>
      </c>
      <c r="K56" s="27" t="s">
        <v>249</v>
      </c>
      <c r="L56" s="27" t="s">
        <v>259</v>
      </c>
      <c r="M56" s="7" t="str">
        <f aca="false">IF($E56="","",IF(F56="",IFERROR(INDEX(Recetas!$K$6:$K$115,MATCH($E56,Recetas!$A$6:$A$115,0))&amp;"",""),F56))</f>
        <v/>
      </c>
      <c r="N56" s="7" t="str">
        <f aca="false">IF($E56="","",IF(AND(G56="",N(IFERROR(INDEX(Recetas!$T$6:$T$115,MATCH($E56,Recetas!$A$6:$A$115,0)),1))=0),"—",IF(G56="",IFERROR(INDEX(Recetas!$L$6:$L$115,MATCH($E56,Recetas!$A$6:$A$115,0))&amp;"",""),G56)))</f>
        <v/>
      </c>
      <c r="O56" s="7" t="str">
        <f aca="false">IF($E56="","",IF(AND(H56="",N(IFERROR(INDEX(Recetas!$W$6:$W$115,MATCH($E56,Recetas!$A$6:$A$115,0)),1))=0),"—",IF(H56="",IFERROR(IF(INDEX(Recetas!$M$6:$M$115,MATCH($E56,Recetas!$A$6:$A$115,0))&amp;""="",M56,INDEX(Recetas!$M$6:$M$115,MATCH($E56,Recetas!$A$6:$A$115,0))&amp;""),""),H56)))</f>
        <v/>
      </c>
      <c r="P56" s="9" t="str">
        <f aca="false">IF($E56="","",IFERROR(INDEX(Recetas!$Q$6:$Q$115,MATCH($E56,Recetas!$A$6:$A$115,0)),""))</f>
        <v/>
      </c>
      <c r="Q56" s="10" t="str">
        <f aca="false">IF($E56="","",IFERROR(INDEX(Telas!$I$6:$I$105,MATCH(M56,Telas!$A$6:$A$105,0)),""))</f>
        <v/>
      </c>
      <c r="R56" s="10" t="str">
        <f aca="false">IF($E56="","",IFERROR(IF(ISNUMBER(P56),IF(P56=0,0,P56*INDEX(Telas!$I$6:$I$105,MATCH(M56,Telas!$A$6:$A$105,0))),NA())+IF(ISNUMBER(INDEX(Recetas!$T$6:$T$115,MATCH($E56,Recetas!$A$6:$A$115,0))),IF(INDEX(Recetas!$T$6:$T$115,MATCH($E56,Recetas!$A$6:$A$115,0))=0,0,INDEX(Recetas!$T$6:$T$115,MATCH($E56,Recetas!$A$6:$A$115,0))*INDEX(Telas!$I$6:$I$105,MATCH(N56,Telas!$A$6:$A$105,0))),NA())+IF(ISNUMBER(INDEX(Recetas!$W$6:$W$115,MATCH($E56,Recetas!$A$6:$A$115,0))),IF(INDEX(Recetas!$W$6:$W$115,MATCH($E56,Recetas!$A$6:$A$115,0))=0,0,INDEX(Recetas!$W$6:$W$115,MATCH($E56,Recetas!$A$6:$A$115,0))*INDEX(Telas!$I$6:$I$105,MATCH(O56,Telas!$A$6:$A$105,0))),NA()),""))</f>
        <v/>
      </c>
      <c r="S56" s="10" t="str">
        <f aca="false">IF($E56="","",IFERROR(INDEX(Recetas!$AA$6:$AA$115,MATCH($E56,Recetas!$A$6:$A$115,0))*1,""))</f>
        <v/>
      </c>
      <c r="T56" s="10" t="str">
        <f aca="false">IF($E56="","",IFERROR(INDEX(Recetas!$AB$6:$AB$115,MATCH($E56,Recetas!$A$6:$A$115,0))*1,""))</f>
        <v/>
      </c>
      <c r="U56" s="10" t="str">
        <f aca="false">IF($E56="","",IFERROR(INDEX(Recetas!$AC$6:$AC$115,MATCH($E56,Recetas!$A$6:$A$115,0))+N(I56),""))</f>
        <v/>
      </c>
      <c r="V56" s="11" t="str">
        <f aca="false">IF($E56="","",IFERROR(R56+S56+T56+U56,""))</f>
        <v/>
      </c>
      <c r="W56" s="11" t="str">
        <f aca="false">IF(ISNUMBER(V56),V56*Parametros!$B$12,"")</f>
        <v/>
      </c>
      <c r="X56" s="30" t="str">
        <f aca="false">IF(AND(ISNUMBER(V56),N(J56)&gt;0),(J56-V56-J56*Parametros!$B$8)/J56,"")</f>
        <v/>
      </c>
      <c r="Y56" s="10" t="str">
        <f aca="false">IF(AND(ISNUMBER(V56),N(J56)&gt;0),J56-V56-J56*Parametros!$B$8,"")</f>
        <v/>
      </c>
      <c r="Z56" s="29" t="str">
        <f aca="false">IF(AND(ISNUMBER(P56),M56&lt;&gt;""),IFERROR(1/(P56*INDEX(Telas!$G$6:$G$105,MATCH(M56,Telas!$A$6:$A$105,0))),""),"")</f>
        <v/>
      </c>
      <c r="AA56" s="7" t="str">
        <f aca="false">IF($E56="","",IF(ISNUMBER(V56),"OK",IF(Q56="","Precio o peso por metro de "&amp;M56&amp;". ","")&amp;IFERROR(INDEX(Recetas!$AG$6:$AG$115,MATCH($E56,Recetas!$A$6:$A$115,0)),"Molde no existe en Recetas.")))</f>
        <v/>
      </c>
    </row>
    <row r="57" customFormat="false" ht="15" hidden="false" customHeight="false" outlineLevel="0" collapsed="false">
      <c r="A57" s="27" t="s">
        <v>364</v>
      </c>
      <c r="B57" s="27" t="s">
        <v>365</v>
      </c>
      <c r="C57" s="27" t="s">
        <v>268</v>
      </c>
      <c r="D57" s="27" t="n">
        <v>14</v>
      </c>
      <c r="E57" s="27"/>
      <c r="F57" s="8"/>
      <c r="G57" s="8"/>
      <c r="H57" s="8"/>
      <c r="I57" s="15"/>
      <c r="J57" s="15" t="n">
        <v>31092</v>
      </c>
      <c r="K57" s="27" t="s">
        <v>249</v>
      </c>
      <c r="L57" s="27" t="s">
        <v>259</v>
      </c>
      <c r="M57" s="7" t="str">
        <f aca="false">IF($E57="","",IF(F57="",IFERROR(INDEX(Recetas!$K$6:$K$115,MATCH($E57,Recetas!$A$6:$A$115,0))&amp;"",""),F57))</f>
        <v/>
      </c>
      <c r="N57" s="7" t="str">
        <f aca="false">IF($E57="","",IF(AND(G57="",N(IFERROR(INDEX(Recetas!$T$6:$T$115,MATCH($E57,Recetas!$A$6:$A$115,0)),1))=0),"—",IF(G57="",IFERROR(INDEX(Recetas!$L$6:$L$115,MATCH($E57,Recetas!$A$6:$A$115,0))&amp;"",""),G57)))</f>
        <v/>
      </c>
      <c r="O57" s="7" t="str">
        <f aca="false">IF($E57="","",IF(AND(H57="",N(IFERROR(INDEX(Recetas!$W$6:$W$115,MATCH($E57,Recetas!$A$6:$A$115,0)),1))=0),"—",IF(H57="",IFERROR(IF(INDEX(Recetas!$M$6:$M$115,MATCH($E57,Recetas!$A$6:$A$115,0))&amp;""="",M57,INDEX(Recetas!$M$6:$M$115,MATCH($E57,Recetas!$A$6:$A$115,0))&amp;""),""),H57)))</f>
        <v/>
      </c>
      <c r="P57" s="9" t="str">
        <f aca="false">IF($E57="","",IFERROR(INDEX(Recetas!$Q$6:$Q$115,MATCH($E57,Recetas!$A$6:$A$115,0)),""))</f>
        <v/>
      </c>
      <c r="Q57" s="10" t="str">
        <f aca="false">IF($E57="","",IFERROR(INDEX(Telas!$I$6:$I$105,MATCH(M57,Telas!$A$6:$A$105,0)),""))</f>
        <v/>
      </c>
      <c r="R57" s="10" t="str">
        <f aca="false">IF($E57="","",IFERROR(IF(ISNUMBER(P57),IF(P57=0,0,P57*INDEX(Telas!$I$6:$I$105,MATCH(M57,Telas!$A$6:$A$105,0))),NA())+IF(ISNUMBER(INDEX(Recetas!$T$6:$T$115,MATCH($E57,Recetas!$A$6:$A$115,0))),IF(INDEX(Recetas!$T$6:$T$115,MATCH($E57,Recetas!$A$6:$A$115,0))=0,0,INDEX(Recetas!$T$6:$T$115,MATCH($E57,Recetas!$A$6:$A$115,0))*INDEX(Telas!$I$6:$I$105,MATCH(N57,Telas!$A$6:$A$105,0))),NA())+IF(ISNUMBER(INDEX(Recetas!$W$6:$W$115,MATCH($E57,Recetas!$A$6:$A$115,0))),IF(INDEX(Recetas!$W$6:$W$115,MATCH($E57,Recetas!$A$6:$A$115,0))=0,0,INDEX(Recetas!$W$6:$W$115,MATCH($E57,Recetas!$A$6:$A$115,0))*INDEX(Telas!$I$6:$I$105,MATCH(O57,Telas!$A$6:$A$105,0))),NA()),""))</f>
        <v/>
      </c>
      <c r="S57" s="10" t="str">
        <f aca="false">IF($E57="","",IFERROR(INDEX(Recetas!$AA$6:$AA$115,MATCH($E57,Recetas!$A$6:$A$115,0))*1,""))</f>
        <v/>
      </c>
      <c r="T57" s="10" t="str">
        <f aca="false">IF($E57="","",IFERROR(INDEX(Recetas!$AB$6:$AB$115,MATCH($E57,Recetas!$A$6:$A$115,0))*1,""))</f>
        <v/>
      </c>
      <c r="U57" s="10" t="str">
        <f aca="false">IF($E57="","",IFERROR(INDEX(Recetas!$AC$6:$AC$115,MATCH($E57,Recetas!$A$6:$A$115,0))+N(I57),""))</f>
        <v/>
      </c>
      <c r="V57" s="11" t="str">
        <f aca="false">IF($E57="","",IFERROR(R57+S57+T57+U57,""))</f>
        <v/>
      </c>
      <c r="W57" s="11" t="str">
        <f aca="false">IF(ISNUMBER(V57),V57*Parametros!$B$12,"")</f>
        <v/>
      </c>
      <c r="X57" s="30" t="str">
        <f aca="false">IF(AND(ISNUMBER(V57),N(J57)&gt;0),(J57-V57-J57*Parametros!$B$8)/J57,"")</f>
        <v/>
      </c>
      <c r="Y57" s="10" t="str">
        <f aca="false">IF(AND(ISNUMBER(V57),N(J57)&gt;0),J57-V57-J57*Parametros!$B$8,"")</f>
        <v/>
      </c>
      <c r="Z57" s="29" t="str">
        <f aca="false">IF(AND(ISNUMBER(P57),M57&lt;&gt;""),IFERROR(1/(P57*INDEX(Telas!$G$6:$G$105,MATCH(M57,Telas!$A$6:$A$105,0))),""),"")</f>
        <v/>
      </c>
      <c r="AA57" s="7" t="str">
        <f aca="false">IF($E57="","",IF(ISNUMBER(V57),"OK",IF(Q57="","Precio o peso por metro de "&amp;M57&amp;". ","")&amp;IFERROR(INDEX(Recetas!$AG$6:$AG$115,MATCH($E57,Recetas!$A$6:$A$115,0)),"Molde no existe en Recetas.")))</f>
        <v/>
      </c>
    </row>
    <row r="58" customFormat="false" ht="15" hidden="false" customHeight="false" outlineLevel="0" collapsed="false">
      <c r="A58" s="27" t="s">
        <v>366</v>
      </c>
      <c r="B58" s="27" t="s">
        <v>367</v>
      </c>
      <c r="C58" s="27" t="s">
        <v>268</v>
      </c>
      <c r="D58" s="27" t="n">
        <v>13</v>
      </c>
      <c r="E58" s="27"/>
      <c r="F58" s="8"/>
      <c r="G58" s="8"/>
      <c r="H58" s="8"/>
      <c r="I58" s="15"/>
      <c r="J58" s="15" t="n">
        <v>17646</v>
      </c>
      <c r="K58" s="27" t="s">
        <v>249</v>
      </c>
      <c r="L58" s="27" t="s">
        <v>259</v>
      </c>
      <c r="M58" s="7" t="str">
        <f aca="false">IF($E58="","",IF(F58="",IFERROR(INDEX(Recetas!$K$6:$K$115,MATCH($E58,Recetas!$A$6:$A$115,0))&amp;"",""),F58))</f>
        <v/>
      </c>
      <c r="N58" s="7" t="str">
        <f aca="false">IF($E58="","",IF(AND(G58="",N(IFERROR(INDEX(Recetas!$T$6:$T$115,MATCH($E58,Recetas!$A$6:$A$115,0)),1))=0),"—",IF(G58="",IFERROR(INDEX(Recetas!$L$6:$L$115,MATCH($E58,Recetas!$A$6:$A$115,0))&amp;"",""),G58)))</f>
        <v/>
      </c>
      <c r="O58" s="7" t="str">
        <f aca="false">IF($E58="","",IF(AND(H58="",N(IFERROR(INDEX(Recetas!$W$6:$W$115,MATCH($E58,Recetas!$A$6:$A$115,0)),1))=0),"—",IF(H58="",IFERROR(IF(INDEX(Recetas!$M$6:$M$115,MATCH($E58,Recetas!$A$6:$A$115,0))&amp;""="",M58,INDEX(Recetas!$M$6:$M$115,MATCH($E58,Recetas!$A$6:$A$115,0))&amp;""),""),H58)))</f>
        <v/>
      </c>
      <c r="P58" s="9" t="str">
        <f aca="false">IF($E58="","",IFERROR(INDEX(Recetas!$Q$6:$Q$115,MATCH($E58,Recetas!$A$6:$A$115,0)),""))</f>
        <v/>
      </c>
      <c r="Q58" s="10" t="str">
        <f aca="false">IF($E58="","",IFERROR(INDEX(Telas!$I$6:$I$105,MATCH(M58,Telas!$A$6:$A$105,0)),""))</f>
        <v/>
      </c>
      <c r="R58" s="10" t="str">
        <f aca="false">IF($E58="","",IFERROR(IF(ISNUMBER(P58),IF(P58=0,0,P58*INDEX(Telas!$I$6:$I$105,MATCH(M58,Telas!$A$6:$A$105,0))),NA())+IF(ISNUMBER(INDEX(Recetas!$T$6:$T$115,MATCH($E58,Recetas!$A$6:$A$115,0))),IF(INDEX(Recetas!$T$6:$T$115,MATCH($E58,Recetas!$A$6:$A$115,0))=0,0,INDEX(Recetas!$T$6:$T$115,MATCH($E58,Recetas!$A$6:$A$115,0))*INDEX(Telas!$I$6:$I$105,MATCH(N58,Telas!$A$6:$A$105,0))),NA())+IF(ISNUMBER(INDEX(Recetas!$W$6:$W$115,MATCH($E58,Recetas!$A$6:$A$115,0))),IF(INDEX(Recetas!$W$6:$W$115,MATCH($E58,Recetas!$A$6:$A$115,0))=0,0,INDEX(Recetas!$W$6:$W$115,MATCH($E58,Recetas!$A$6:$A$115,0))*INDEX(Telas!$I$6:$I$105,MATCH(O58,Telas!$A$6:$A$105,0))),NA()),""))</f>
        <v/>
      </c>
      <c r="S58" s="10" t="str">
        <f aca="false">IF($E58="","",IFERROR(INDEX(Recetas!$AA$6:$AA$115,MATCH($E58,Recetas!$A$6:$A$115,0))*1,""))</f>
        <v/>
      </c>
      <c r="T58" s="10" t="str">
        <f aca="false">IF($E58="","",IFERROR(INDEX(Recetas!$AB$6:$AB$115,MATCH($E58,Recetas!$A$6:$A$115,0))*1,""))</f>
        <v/>
      </c>
      <c r="U58" s="10" t="str">
        <f aca="false">IF($E58="","",IFERROR(INDEX(Recetas!$AC$6:$AC$115,MATCH($E58,Recetas!$A$6:$A$115,0))+N(I58),""))</f>
        <v/>
      </c>
      <c r="V58" s="11" t="str">
        <f aca="false">IF($E58="","",IFERROR(R58+S58+T58+U58,""))</f>
        <v/>
      </c>
      <c r="W58" s="11" t="str">
        <f aca="false">IF(ISNUMBER(V58),V58*Parametros!$B$12,"")</f>
        <v/>
      </c>
      <c r="X58" s="30" t="str">
        <f aca="false">IF(AND(ISNUMBER(V58),N(J58)&gt;0),(J58-V58-J58*Parametros!$B$8)/J58,"")</f>
        <v/>
      </c>
      <c r="Y58" s="10" t="str">
        <f aca="false">IF(AND(ISNUMBER(V58),N(J58)&gt;0),J58-V58-J58*Parametros!$B$8,"")</f>
        <v/>
      </c>
      <c r="Z58" s="29" t="str">
        <f aca="false">IF(AND(ISNUMBER(P58),M58&lt;&gt;""),IFERROR(1/(P58*INDEX(Telas!$G$6:$G$105,MATCH(M58,Telas!$A$6:$A$105,0))),""),"")</f>
        <v/>
      </c>
      <c r="AA58" s="7" t="str">
        <f aca="false">IF($E58="","",IF(ISNUMBER(V58),"OK",IF(Q58="","Precio o peso por metro de "&amp;M58&amp;". ","")&amp;IFERROR(INDEX(Recetas!$AG$6:$AG$115,MATCH($E58,Recetas!$A$6:$A$115,0)),"Molde no existe en Recetas.")))</f>
        <v/>
      </c>
    </row>
    <row r="59" customFormat="false" ht="15" hidden="false" customHeight="false" outlineLevel="0" collapsed="false">
      <c r="A59" s="27" t="s">
        <v>368</v>
      </c>
      <c r="B59" s="27" t="s">
        <v>369</v>
      </c>
      <c r="C59" s="27" t="s">
        <v>248</v>
      </c>
      <c r="D59" s="27" t="n">
        <v>13</v>
      </c>
      <c r="E59" s="27"/>
      <c r="F59" s="8"/>
      <c r="G59" s="8"/>
      <c r="H59" s="8"/>
      <c r="I59" s="15"/>
      <c r="J59" s="15" t="n">
        <v>16723</v>
      </c>
      <c r="K59" s="27" t="s">
        <v>249</v>
      </c>
      <c r="L59" s="27" t="s">
        <v>259</v>
      </c>
      <c r="M59" s="7" t="str">
        <f aca="false">IF($E59="","",IF(F59="",IFERROR(INDEX(Recetas!$K$6:$K$115,MATCH($E59,Recetas!$A$6:$A$115,0))&amp;"",""),F59))</f>
        <v/>
      </c>
      <c r="N59" s="7" t="str">
        <f aca="false">IF($E59="","",IF(AND(G59="",N(IFERROR(INDEX(Recetas!$T$6:$T$115,MATCH($E59,Recetas!$A$6:$A$115,0)),1))=0),"—",IF(G59="",IFERROR(INDEX(Recetas!$L$6:$L$115,MATCH($E59,Recetas!$A$6:$A$115,0))&amp;"",""),G59)))</f>
        <v/>
      </c>
      <c r="O59" s="7" t="str">
        <f aca="false">IF($E59="","",IF(AND(H59="",N(IFERROR(INDEX(Recetas!$W$6:$W$115,MATCH($E59,Recetas!$A$6:$A$115,0)),1))=0),"—",IF(H59="",IFERROR(IF(INDEX(Recetas!$M$6:$M$115,MATCH($E59,Recetas!$A$6:$A$115,0))&amp;""="",M59,INDEX(Recetas!$M$6:$M$115,MATCH($E59,Recetas!$A$6:$A$115,0))&amp;""),""),H59)))</f>
        <v/>
      </c>
      <c r="P59" s="9" t="str">
        <f aca="false">IF($E59="","",IFERROR(INDEX(Recetas!$Q$6:$Q$115,MATCH($E59,Recetas!$A$6:$A$115,0)),""))</f>
        <v/>
      </c>
      <c r="Q59" s="10" t="str">
        <f aca="false">IF($E59="","",IFERROR(INDEX(Telas!$I$6:$I$105,MATCH(M59,Telas!$A$6:$A$105,0)),""))</f>
        <v/>
      </c>
      <c r="R59" s="10" t="str">
        <f aca="false">IF($E59="","",IFERROR(IF(ISNUMBER(P59),IF(P59=0,0,P59*INDEX(Telas!$I$6:$I$105,MATCH(M59,Telas!$A$6:$A$105,0))),NA())+IF(ISNUMBER(INDEX(Recetas!$T$6:$T$115,MATCH($E59,Recetas!$A$6:$A$115,0))),IF(INDEX(Recetas!$T$6:$T$115,MATCH($E59,Recetas!$A$6:$A$115,0))=0,0,INDEX(Recetas!$T$6:$T$115,MATCH($E59,Recetas!$A$6:$A$115,0))*INDEX(Telas!$I$6:$I$105,MATCH(N59,Telas!$A$6:$A$105,0))),NA())+IF(ISNUMBER(INDEX(Recetas!$W$6:$W$115,MATCH($E59,Recetas!$A$6:$A$115,0))),IF(INDEX(Recetas!$W$6:$W$115,MATCH($E59,Recetas!$A$6:$A$115,0))=0,0,INDEX(Recetas!$W$6:$W$115,MATCH($E59,Recetas!$A$6:$A$115,0))*INDEX(Telas!$I$6:$I$105,MATCH(O59,Telas!$A$6:$A$105,0))),NA()),""))</f>
        <v/>
      </c>
      <c r="S59" s="10" t="str">
        <f aca="false">IF($E59="","",IFERROR(INDEX(Recetas!$AA$6:$AA$115,MATCH($E59,Recetas!$A$6:$A$115,0))*1,""))</f>
        <v/>
      </c>
      <c r="T59" s="10" t="str">
        <f aca="false">IF($E59="","",IFERROR(INDEX(Recetas!$AB$6:$AB$115,MATCH($E59,Recetas!$A$6:$A$115,0))*1,""))</f>
        <v/>
      </c>
      <c r="U59" s="10" t="str">
        <f aca="false">IF($E59="","",IFERROR(INDEX(Recetas!$AC$6:$AC$115,MATCH($E59,Recetas!$A$6:$A$115,0))+N(I59),""))</f>
        <v/>
      </c>
      <c r="V59" s="11" t="str">
        <f aca="false">IF($E59="","",IFERROR(R59+S59+T59+U59,""))</f>
        <v/>
      </c>
      <c r="W59" s="11" t="str">
        <f aca="false">IF(ISNUMBER(V59),V59*Parametros!$B$12,"")</f>
        <v/>
      </c>
      <c r="X59" s="30" t="str">
        <f aca="false">IF(AND(ISNUMBER(V59),N(J59)&gt;0),(J59-V59-J59*Parametros!$B$8)/J59,"")</f>
        <v/>
      </c>
      <c r="Y59" s="10" t="str">
        <f aca="false">IF(AND(ISNUMBER(V59),N(J59)&gt;0),J59-V59-J59*Parametros!$B$8,"")</f>
        <v/>
      </c>
      <c r="Z59" s="29" t="str">
        <f aca="false">IF(AND(ISNUMBER(P59),M59&lt;&gt;""),IFERROR(1/(P59*INDEX(Telas!$G$6:$G$105,MATCH(M59,Telas!$A$6:$A$105,0))),""),"")</f>
        <v/>
      </c>
      <c r="AA59" s="7" t="str">
        <f aca="false">IF($E59="","",IF(ISNUMBER(V59),"OK",IF(Q59="","Precio o peso por metro de "&amp;M59&amp;". ","")&amp;IFERROR(INDEX(Recetas!$AG$6:$AG$115,MATCH($E59,Recetas!$A$6:$A$115,0)),"Molde no existe en Recetas.")))</f>
        <v/>
      </c>
    </row>
    <row r="60" customFormat="false" ht="15" hidden="false" customHeight="false" outlineLevel="0" collapsed="false">
      <c r="A60" s="27" t="s">
        <v>370</v>
      </c>
      <c r="B60" s="27" t="s">
        <v>371</v>
      </c>
      <c r="C60" s="27" t="s">
        <v>268</v>
      </c>
      <c r="D60" s="27" t="n">
        <v>13</v>
      </c>
      <c r="E60" s="27"/>
      <c r="F60" s="8"/>
      <c r="G60" s="8"/>
      <c r="H60" s="8"/>
      <c r="I60" s="15"/>
      <c r="J60" s="15" t="n">
        <v>17563</v>
      </c>
      <c r="K60" s="27" t="s">
        <v>249</v>
      </c>
      <c r="L60" s="27" t="s">
        <v>259</v>
      </c>
      <c r="M60" s="7" t="str">
        <f aca="false">IF($E60="","",IF(F60="",IFERROR(INDEX(Recetas!$K$6:$K$115,MATCH($E60,Recetas!$A$6:$A$115,0))&amp;"",""),F60))</f>
        <v/>
      </c>
      <c r="N60" s="7" t="str">
        <f aca="false">IF($E60="","",IF(AND(G60="",N(IFERROR(INDEX(Recetas!$T$6:$T$115,MATCH($E60,Recetas!$A$6:$A$115,0)),1))=0),"—",IF(G60="",IFERROR(INDEX(Recetas!$L$6:$L$115,MATCH($E60,Recetas!$A$6:$A$115,0))&amp;"",""),G60)))</f>
        <v/>
      </c>
      <c r="O60" s="7" t="str">
        <f aca="false">IF($E60="","",IF(AND(H60="",N(IFERROR(INDEX(Recetas!$W$6:$W$115,MATCH($E60,Recetas!$A$6:$A$115,0)),1))=0),"—",IF(H60="",IFERROR(IF(INDEX(Recetas!$M$6:$M$115,MATCH($E60,Recetas!$A$6:$A$115,0))&amp;""="",M60,INDEX(Recetas!$M$6:$M$115,MATCH($E60,Recetas!$A$6:$A$115,0))&amp;""),""),H60)))</f>
        <v/>
      </c>
      <c r="P60" s="9" t="str">
        <f aca="false">IF($E60="","",IFERROR(INDEX(Recetas!$Q$6:$Q$115,MATCH($E60,Recetas!$A$6:$A$115,0)),""))</f>
        <v/>
      </c>
      <c r="Q60" s="10" t="str">
        <f aca="false">IF($E60="","",IFERROR(INDEX(Telas!$I$6:$I$105,MATCH(M60,Telas!$A$6:$A$105,0)),""))</f>
        <v/>
      </c>
      <c r="R60" s="10" t="str">
        <f aca="false">IF($E60="","",IFERROR(IF(ISNUMBER(P60),IF(P60=0,0,P60*INDEX(Telas!$I$6:$I$105,MATCH(M60,Telas!$A$6:$A$105,0))),NA())+IF(ISNUMBER(INDEX(Recetas!$T$6:$T$115,MATCH($E60,Recetas!$A$6:$A$115,0))),IF(INDEX(Recetas!$T$6:$T$115,MATCH($E60,Recetas!$A$6:$A$115,0))=0,0,INDEX(Recetas!$T$6:$T$115,MATCH($E60,Recetas!$A$6:$A$115,0))*INDEX(Telas!$I$6:$I$105,MATCH(N60,Telas!$A$6:$A$105,0))),NA())+IF(ISNUMBER(INDEX(Recetas!$W$6:$W$115,MATCH($E60,Recetas!$A$6:$A$115,0))),IF(INDEX(Recetas!$W$6:$W$115,MATCH($E60,Recetas!$A$6:$A$115,0))=0,0,INDEX(Recetas!$W$6:$W$115,MATCH($E60,Recetas!$A$6:$A$115,0))*INDEX(Telas!$I$6:$I$105,MATCH(O60,Telas!$A$6:$A$105,0))),NA()),""))</f>
        <v/>
      </c>
      <c r="S60" s="10" t="str">
        <f aca="false">IF($E60="","",IFERROR(INDEX(Recetas!$AA$6:$AA$115,MATCH($E60,Recetas!$A$6:$A$115,0))*1,""))</f>
        <v/>
      </c>
      <c r="T60" s="10" t="str">
        <f aca="false">IF($E60="","",IFERROR(INDEX(Recetas!$AB$6:$AB$115,MATCH($E60,Recetas!$A$6:$A$115,0))*1,""))</f>
        <v/>
      </c>
      <c r="U60" s="10" t="str">
        <f aca="false">IF($E60="","",IFERROR(INDEX(Recetas!$AC$6:$AC$115,MATCH($E60,Recetas!$A$6:$A$115,0))+N(I60),""))</f>
        <v/>
      </c>
      <c r="V60" s="11" t="str">
        <f aca="false">IF($E60="","",IFERROR(R60+S60+T60+U60,""))</f>
        <v/>
      </c>
      <c r="W60" s="11" t="str">
        <f aca="false">IF(ISNUMBER(V60),V60*Parametros!$B$12,"")</f>
        <v/>
      </c>
      <c r="X60" s="30" t="str">
        <f aca="false">IF(AND(ISNUMBER(V60),N(J60)&gt;0),(J60-V60-J60*Parametros!$B$8)/J60,"")</f>
        <v/>
      </c>
      <c r="Y60" s="10" t="str">
        <f aca="false">IF(AND(ISNUMBER(V60),N(J60)&gt;0),J60-V60-J60*Parametros!$B$8,"")</f>
        <v/>
      </c>
      <c r="Z60" s="29" t="str">
        <f aca="false">IF(AND(ISNUMBER(P60),M60&lt;&gt;""),IFERROR(1/(P60*INDEX(Telas!$G$6:$G$105,MATCH(M60,Telas!$A$6:$A$105,0))),""),"")</f>
        <v/>
      </c>
      <c r="AA60" s="7" t="str">
        <f aca="false">IF($E60="","",IF(ISNUMBER(V60),"OK",IF(Q60="","Precio o peso por metro de "&amp;M60&amp;". ","")&amp;IFERROR(INDEX(Recetas!$AG$6:$AG$115,MATCH($E60,Recetas!$A$6:$A$115,0)),"Molde no existe en Recetas.")))</f>
        <v/>
      </c>
    </row>
    <row r="61" customFormat="false" ht="15" hidden="false" customHeight="false" outlineLevel="0" collapsed="false">
      <c r="A61" s="27" t="s">
        <v>372</v>
      </c>
      <c r="B61" s="27" t="s">
        <v>373</v>
      </c>
      <c r="C61" s="27" t="s">
        <v>248</v>
      </c>
      <c r="D61" s="27" t="n">
        <v>12</v>
      </c>
      <c r="E61" s="27"/>
      <c r="F61" s="8"/>
      <c r="G61" s="8"/>
      <c r="H61" s="8"/>
      <c r="I61" s="15"/>
      <c r="J61" s="15" t="n">
        <v>16554</v>
      </c>
      <c r="K61" s="27" t="s">
        <v>249</v>
      </c>
      <c r="L61" s="27" t="s">
        <v>259</v>
      </c>
      <c r="M61" s="7" t="str">
        <f aca="false">IF($E61="","",IF(F61="",IFERROR(INDEX(Recetas!$K$6:$K$115,MATCH($E61,Recetas!$A$6:$A$115,0))&amp;"",""),F61))</f>
        <v/>
      </c>
      <c r="N61" s="7" t="str">
        <f aca="false">IF($E61="","",IF(AND(G61="",N(IFERROR(INDEX(Recetas!$T$6:$T$115,MATCH($E61,Recetas!$A$6:$A$115,0)),1))=0),"—",IF(G61="",IFERROR(INDEX(Recetas!$L$6:$L$115,MATCH($E61,Recetas!$A$6:$A$115,0))&amp;"",""),G61)))</f>
        <v/>
      </c>
      <c r="O61" s="7" t="str">
        <f aca="false">IF($E61="","",IF(AND(H61="",N(IFERROR(INDEX(Recetas!$W$6:$W$115,MATCH($E61,Recetas!$A$6:$A$115,0)),1))=0),"—",IF(H61="",IFERROR(IF(INDEX(Recetas!$M$6:$M$115,MATCH($E61,Recetas!$A$6:$A$115,0))&amp;""="",M61,INDEX(Recetas!$M$6:$M$115,MATCH($E61,Recetas!$A$6:$A$115,0))&amp;""),""),H61)))</f>
        <v/>
      </c>
      <c r="P61" s="9" t="str">
        <f aca="false">IF($E61="","",IFERROR(INDEX(Recetas!$Q$6:$Q$115,MATCH($E61,Recetas!$A$6:$A$115,0)),""))</f>
        <v/>
      </c>
      <c r="Q61" s="10" t="str">
        <f aca="false">IF($E61="","",IFERROR(INDEX(Telas!$I$6:$I$105,MATCH(M61,Telas!$A$6:$A$105,0)),""))</f>
        <v/>
      </c>
      <c r="R61" s="10" t="str">
        <f aca="false">IF($E61="","",IFERROR(IF(ISNUMBER(P61),IF(P61=0,0,P61*INDEX(Telas!$I$6:$I$105,MATCH(M61,Telas!$A$6:$A$105,0))),NA())+IF(ISNUMBER(INDEX(Recetas!$T$6:$T$115,MATCH($E61,Recetas!$A$6:$A$115,0))),IF(INDEX(Recetas!$T$6:$T$115,MATCH($E61,Recetas!$A$6:$A$115,0))=0,0,INDEX(Recetas!$T$6:$T$115,MATCH($E61,Recetas!$A$6:$A$115,0))*INDEX(Telas!$I$6:$I$105,MATCH(N61,Telas!$A$6:$A$105,0))),NA())+IF(ISNUMBER(INDEX(Recetas!$W$6:$W$115,MATCH($E61,Recetas!$A$6:$A$115,0))),IF(INDEX(Recetas!$W$6:$W$115,MATCH($E61,Recetas!$A$6:$A$115,0))=0,0,INDEX(Recetas!$W$6:$W$115,MATCH($E61,Recetas!$A$6:$A$115,0))*INDEX(Telas!$I$6:$I$105,MATCH(O61,Telas!$A$6:$A$105,0))),NA()),""))</f>
        <v/>
      </c>
      <c r="S61" s="10" t="str">
        <f aca="false">IF($E61="","",IFERROR(INDEX(Recetas!$AA$6:$AA$115,MATCH($E61,Recetas!$A$6:$A$115,0))*1,""))</f>
        <v/>
      </c>
      <c r="T61" s="10" t="str">
        <f aca="false">IF($E61="","",IFERROR(INDEX(Recetas!$AB$6:$AB$115,MATCH($E61,Recetas!$A$6:$A$115,0))*1,""))</f>
        <v/>
      </c>
      <c r="U61" s="10" t="str">
        <f aca="false">IF($E61="","",IFERROR(INDEX(Recetas!$AC$6:$AC$115,MATCH($E61,Recetas!$A$6:$A$115,0))+N(I61),""))</f>
        <v/>
      </c>
      <c r="V61" s="11" t="str">
        <f aca="false">IF($E61="","",IFERROR(R61+S61+T61+U61,""))</f>
        <v/>
      </c>
      <c r="W61" s="11" t="str">
        <f aca="false">IF(ISNUMBER(V61),V61*Parametros!$B$12,"")</f>
        <v/>
      </c>
      <c r="X61" s="30" t="str">
        <f aca="false">IF(AND(ISNUMBER(V61),N(J61)&gt;0),(J61-V61-J61*Parametros!$B$8)/J61,"")</f>
        <v/>
      </c>
      <c r="Y61" s="10" t="str">
        <f aca="false">IF(AND(ISNUMBER(V61),N(J61)&gt;0),J61-V61-J61*Parametros!$B$8,"")</f>
        <v/>
      </c>
      <c r="Z61" s="29" t="str">
        <f aca="false">IF(AND(ISNUMBER(P61),M61&lt;&gt;""),IFERROR(1/(P61*INDEX(Telas!$G$6:$G$105,MATCH(M61,Telas!$A$6:$A$105,0))),""),"")</f>
        <v/>
      </c>
      <c r="AA61" s="7" t="str">
        <f aca="false">IF($E61="","",IF(ISNUMBER(V61),"OK",IF(Q61="","Precio o peso por metro de "&amp;M61&amp;". ","")&amp;IFERROR(INDEX(Recetas!$AG$6:$AG$115,MATCH($E61,Recetas!$A$6:$A$115,0)),"Molde no existe en Recetas.")))</f>
        <v/>
      </c>
    </row>
    <row r="62" customFormat="false" ht="15" hidden="false" customHeight="false" outlineLevel="0" collapsed="false">
      <c r="A62" s="27" t="s">
        <v>374</v>
      </c>
      <c r="B62" s="27" t="s">
        <v>375</v>
      </c>
      <c r="C62" s="27" t="s">
        <v>268</v>
      </c>
      <c r="D62" s="27" t="n">
        <v>12</v>
      </c>
      <c r="E62" s="27"/>
      <c r="F62" s="8"/>
      <c r="G62" s="8"/>
      <c r="H62" s="8"/>
      <c r="I62" s="15"/>
      <c r="J62" s="15" t="n">
        <v>30168</v>
      </c>
      <c r="K62" s="27" t="s">
        <v>249</v>
      </c>
      <c r="L62" s="27" t="s">
        <v>259</v>
      </c>
      <c r="M62" s="7" t="str">
        <f aca="false">IF($E62="","",IF(F62="",IFERROR(INDEX(Recetas!$K$6:$K$115,MATCH($E62,Recetas!$A$6:$A$115,0))&amp;"",""),F62))</f>
        <v/>
      </c>
      <c r="N62" s="7" t="str">
        <f aca="false">IF($E62="","",IF(AND(G62="",N(IFERROR(INDEX(Recetas!$T$6:$T$115,MATCH($E62,Recetas!$A$6:$A$115,0)),1))=0),"—",IF(G62="",IFERROR(INDEX(Recetas!$L$6:$L$115,MATCH($E62,Recetas!$A$6:$A$115,0))&amp;"",""),G62)))</f>
        <v/>
      </c>
      <c r="O62" s="7" t="str">
        <f aca="false">IF($E62="","",IF(AND(H62="",N(IFERROR(INDEX(Recetas!$W$6:$W$115,MATCH($E62,Recetas!$A$6:$A$115,0)),1))=0),"—",IF(H62="",IFERROR(IF(INDEX(Recetas!$M$6:$M$115,MATCH($E62,Recetas!$A$6:$A$115,0))&amp;""="",M62,INDEX(Recetas!$M$6:$M$115,MATCH($E62,Recetas!$A$6:$A$115,0))&amp;""),""),H62)))</f>
        <v/>
      </c>
      <c r="P62" s="9" t="str">
        <f aca="false">IF($E62="","",IFERROR(INDEX(Recetas!$Q$6:$Q$115,MATCH($E62,Recetas!$A$6:$A$115,0)),""))</f>
        <v/>
      </c>
      <c r="Q62" s="10" t="str">
        <f aca="false">IF($E62="","",IFERROR(INDEX(Telas!$I$6:$I$105,MATCH(M62,Telas!$A$6:$A$105,0)),""))</f>
        <v/>
      </c>
      <c r="R62" s="10" t="str">
        <f aca="false">IF($E62="","",IFERROR(IF(ISNUMBER(P62),IF(P62=0,0,P62*INDEX(Telas!$I$6:$I$105,MATCH(M62,Telas!$A$6:$A$105,0))),NA())+IF(ISNUMBER(INDEX(Recetas!$T$6:$T$115,MATCH($E62,Recetas!$A$6:$A$115,0))),IF(INDEX(Recetas!$T$6:$T$115,MATCH($E62,Recetas!$A$6:$A$115,0))=0,0,INDEX(Recetas!$T$6:$T$115,MATCH($E62,Recetas!$A$6:$A$115,0))*INDEX(Telas!$I$6:$I$105,MATCH(N62,Telas!$A$6:$A$105,0))),NA())+IF(ISNUMBER(INDEX(Recetas!$W$6:$W$115,MATCH($E62,Recetas!$A$6:$A$115,0))),IF(INDEX(Recetas!$W$6:$W$115,MATCH($E62,Recetas!$A$6:$A$115,0))=0,0,INDEX(Recetas!$W$6:$W$115,MATCH($E62,Recetas!$A$6:$A$115,0))*INDEX(Telas!$I$6:$I$105,MATCH(O62,Telas!$A$6:$A$105,0))),NA()),""))</f>
        <v/>
      </c>
      <c r="S62" s="10" t="str">
        <f aca="false">IF($E62="","",IFERROR(INDEX(Recetas!$AA$6:$AA$115,MATCH($E62,Recetas!$A$6:$A$115,0))*1,""))</f>
        <v/>
      </c>
      <c r="T62" s="10" t="str">
        <f aca="false">IF($E62="","",IFERROR(INDEX(Recetas!$AB$6:$AB$115,MATCH($E62,Recetas!$A$6:$A$115,0))*1,""))</f>
        <v/>
      </c>
      <c r="U62" s="10" t="str">
        <f aca="false">IF($E62="","",IFERROR(INDEX(Recetas!$AC$6:$AC$115,MATCH($E62,Recetas!$A$6:$A$115,0))+N(I62),""))</f>
        <v/>
      </c>
      <c r="V62" s="11" t="str">
        <f aca="false">IF($E62="","",IFERROR(R62+S62+T62+U62,""))</f>
        <v/>
      </c>
      <c r="W62" s="11" t="str">
        <f aca="false">IF(ISNUMBER(V62),V62*Parametros!$B$12,"")</f>
        <v/>
      </c>
      <c r="X62" s="30" t="str">
        <f aca="false">IF(AND(ISNUMBER(V62),N(J62)&gt;0),(J62-V62-J62*Parametros!$B$8)/J62,"")</f>
        <v/>
      </c>
      <c r="Y62" s="10" t="str">
        <f aca="false">IF(AND(ISNUMBER(V62),N(J62)&gt;0),J62-V62-J62*Parametros!$B$8,"")</f>
        <v/>
      </c>
      <c r="Z62" s="29" t="str">
        <f aca="false">IF(AND(ISNUMBER(P62),M62&lt;&gt;""),IFERROR(1/(P62*INDEX(Telas!$G$6:$G$105,MATCH(M62,Telas!$A$6:$A$105,0))),""),"")</f>
        <v/>
      </c>
      <c r="AA62" s="7" t="str">
        <f aca="false">IF($E62="","",IF(ISNUMBER(V62),"OK",IF(Q62="","Precio o peso por metro de "&amp;M62&amp;". ","")&amp;IFERROR(INDEX(Recetas!$AG$6:$AG$115,MATCH($E62,Recetas!$A$6:$A$115,0)),"Molde no existe en Recetas.")))</f>
        <v/>
      </c>
    </row>
    <row r="63" customFormat="false" ht="15" hidden="false" customHeight="false" outlineLevel="0" collapsed="false">
      <c r="A63" s="27" t="s">
        <v>376</v>
      </c>
      <c r="B63" s="27" t="s">
        <v>377</v>
      </c>
      <c r="C63" s="27" t="s">
        <v>248</v>
      </c>
      <c r="D63" s="27" t="n">
        <v>12</v>
      </c>
      <c r="E63" s="27"/>
      <c r="F63" s="8"/>
      <c r="G63" s="8"/>
      <c r="H63" s="8"/>
      <c r="I63" s="15"/>
      <c r="J63" s="15" t="n">
        <v>17563</v>
      </c>
      <c r="K63" s="27" t="s">
        <v>249</v>
      </c>
      <c r="L63" s="27" t="s">
        <v>259</v>
      </c>
      <c r="M63" s="7" t="str">
        <f aca="false">IF($E63="","",IF(F63="",IFERROR(INDEX(Recetas!$K$6:$K$115,MATCH($E63,Recetas!$A$6:$A$115,0))&amp;"",""),F63))</f>
        <v/>
      </c>
      <c r="N63" s="7" t="str">
        <f aca="false">IF($E63="","",IF(AND(G63="",N(IFERROR(INDEX(Recetas!$T$6:$T$115,MATCH($E63,Recetas!$A$6:$A$115,0)),1))=0),"—",IF(G63="",IFERROR(INDEX(Recetas!$L$6:$L$115,MATCH($E63,Recetas!$A$6:$A$115,0))&amp;"",""),G63)))</f>
        <v/>
      </c>
      <c r="O63" s="7" t="str">
        <f aca="false">IF($E63="","",IF(AND(H63="",N(IFERROR(INDEX(Recetas!$W$6:$W$115,MATCH($E63,Recetas!$A$6:$A$115,0)),1))=0),"—",IF(H63="",IFERROR(IF(INDEX(Recetas!$M$6:$M$115,MATCH($E63,Recetas!$A$6:$A$115,0))&amp;""="",M63,INDEX(Recetas!$M$6:$M$115,MATCH($E63,Recetas!$A$6:$A$115,0))&amp;""),""),H63)))</f>
        <v/>
      </c>
      <c r="P63" s="9" t="str">
        <f aca="false">IF($E63="","",IFERROR(INDEX(Recetas!$Q$6:$Q$115,MATCH($E63,Recetas!$A$6:$A$115,0)),""))</f>
        <v/>
      </c>
      <c r="Q63" s="10" t="str">
        <f aca="false">IF($E63="","",IFERROR(INDEX(Telas!$I$6:$I$105,MATCH(M63,Telas!$A$6:$A$105,0)),""))</f>
        <v/>
      </c>
      <c r="R63" s="10" t="str">
        <f aca="false">IF($E63="","",IFERROR(IF(ISNUMBER(P63),IF(P63=0,0,P63*INDEX(Telas!$I$6:$I$105,MATCH(M63,Telas!$A$6:$A$105,0))),NA())+IF(ISNUMBER(INDEX(Recetas!$T$6:$T$115,MATCH($E63,Recetas!$A$6:$A$115,0))),IF(INDEX(Recetas!$T$6:$T$115,MATCH($E63,Recetas!$A$6:$A$115,0))=0,0,INDEX(Recetas!$T$6:$T$115,MATCH($E63,Recetas!$A$6:$A$115,0))*INDEX(Telas!$I$6:$I$105,MATCH(N63,Telas!$A$6:$A$105,0))),NA())+IF(ISNUMBER(INDEX(Recetas!$W$6:$W$115,MATCH($E63,Recetas!$A$6:$A$115,0))),IF(INDEX(Recetas!$W$6:$W$115,MATCH($E63,Recetas!$A$6:$A$115,0))=0,0,INDEX(Recetas!$W$6:$W$115,MATCH($E63,Recetas!$A$6:$A$115,0))*INDEX(Telas!$I$6:$I$105,MATCH(O63,Telas!$A$6:$A$105,0))),NA()),""))</f>
        <v/>
      </c>
      <c r="S63" s="10" t="str">
        <f aca="false">IF($E63="","",IFERROR(INDEX(Recetas!$AA$6:$AA$115,MATCH($E63,Recetas!$A$6:$A$115,0))*1,""))</f>
        <v/>
      </c>
      <c r="T63" s="10" t="str">
        <f aca="false">IF($E63="","",IFERROR(INDEX(Recetas!$AB$6:$AB$115,MATCH($E63,Recetas!$A$6:$A$115,0))*1,""))</f>
        <v/>
      </c>
      <c r="U63" s="10" t="str">
        <f aca="false">IF($E63="","",IFERROR(INDEX(Recetas!$AC$6:$AC$115,MATCH($E63,Recetas!$A$6:$A$115,0))+N(I63),""))</f>
        <v/>
      </c>
      <c r="V63" s="11" t="str">
        <f aca="false">IF($E63="","",IFERROR(R63+S63+T63+U63,""))</f>
        <v/>
      </c>
      <c r="W63" s="11" t="str">
        <f aca="false">IF(ISNUMBER(V63),V63*Parametros!$B$12,"")</f>
        <v/>
      </c>
      <c r="X63" s="30" t="str">
        <f aca="false">IF(AND(ISNUMBER(V63),N(J63)&gt;0),(J63-V63-J63*Parametros!$B$8)/J63,"")</f>
        <v/>
      </c>
      <c r="Y63" s="10" t="str">
        <f aca="false">IF(AND(ISNUMBER(V63),N(J63)&gt;0),J63-V63-J63*Parametros!$B$8,"")</f>
        <v/>
      </c>
      <c r="Z63" s="29" t="str">
        <f aca="false">IF(AND(ISNUMBER(P63),M63&lt;&gt;""),IFERROR(1/(P63*INDEX(Telas!$G$6:$G$105,MATCH(M63,Telas!$A$6:$A$105,0))),""),"")</f>
        <v/>
      </c>
      <c r="AA63" s="7" t="str">
        <f aca="false">IF($E63="","",IF(ISNUMBER(V63),"OK",IF(Q63="","Precio o peso por metro de "&amp;M63&amp;". ","")&amp;IFERROR(INDEX(Recetas!$AG$6:$AG$115,MATCH($E63,Recetas!$A$6:$A$115,0)),"Molde no existe en Recetas.")))</f>
        <v/>
      </c>
    </row>
    <row r="64" customFormat="false" ht="15" hidden="false" customHeight="false" outlineLevel="0" collapsed="false">
      <c r="A64" s="27" t="s">
        <v>378</v>
      </c>
      <c r="B64" s="27" t="s">
        <v>379</v>
      </c>
      <c r="C64" s="27" t="s">
        <v>248</v>
      </c>
      <c r="D64" s="27" t="n">
        <v>12</v>
      </c>
      <c r="E64" s="27"/>
      <c r="F64" s="8"/>
      <c r="G64" s="8"/>
      <c r="H64" s="8"/>
      <c r="I64" s="15"/>
      <c r="J64" s="15" t="n">
        <v>19244</v>
      </c>
      <c r="K64" s="27" t="s">
        <v>249</v>
      </c>
      <c r="L64" s="27" t="s">
        <v>259</v>
      </c>
      <c r="M64" s="7" t="str">
        <f aca="false">IF($E64="","",IF(F64="",IFERROR(INDEX(Recetas!$K$6:$K$115,MATCH($E64,Recetas!$A$6:$A$115,0))&amp;"",""),F64))</f>
        <v/>
      </c>
      <c r="N64" s="7" t="str">
        <f aca="false">IF($E64="","",IF(AND(G64="",N(IFERROR(INDEX(Recetas!$T$6:$T$115,MATCH($E64,Recetas!$A$6:$A$115,0)),1))=0),"—",IF(G64="",IFERROR(INDEX(Recetas!$L$6:$L$115,MATCH($E64,Recetas!$A$6:$A$115,0))&amp;"",""),G64)))</f>
        <v/>
      </c>
      <c r="O64" s="7" t="str">
        <f aca="false">IF($E64="","",IF(AND(H64="",N(IFERROR(INDEX(Recetas!$W$6:$W$115,MATCH($E64,Recetas!$A$6:$A$115,0)),1))=0),"—",IF(H64="",IFERROR(IF(INDEX(Recetas!$M$6:$M$115,MATCH($E64,Recetas!$A$6:$A$115,0))&amp;""="",M64,INDEX(Recetas!$M$6:$M$115,MATCH($E64,Recetas!$A$6:$A$115,0))&amp;""),""),H64)))</f>
        <v/>
      </c>
      <c r="P64" s="9" t="str">
        <f aca="false">IF($E64="","",IFERROR(INDEX(Recetas!$Q$6:$Q$115,MATCH($E64,Recetas!$A$6:$A$115,0)),""))</f>
        <v/>
      </c>
      <c r="Q64" s="10" t="str">
        <f aca="false">IF($E64="","",IFERROR(INDEX(Telas!$I$6:$I$105,MATCH(M64,Telas!$A$6:$A$105,0)),""))</f>
        <v/>
      </c>
      <c r="R64" s="10" t="str">
        <f aca="false">IF($E64="","",IFERROR(IF(ISNUMBER(P64),IF(P64=0,0,P64*INDEX(Telas!$I$6:$I$105,MATCH(M64,Telas!$A$6:$A$105,0))),NA())+IF(ISNUMBER(INDEX(Recetas!$T$6:$T$115,MATCH($E64,Recetas!$A$6:$A$115,0))),IF(INDEX(Recetas!$T$6:$T$115,MATCH($E64,Recetas!$A$6:$A$115,0))=0,0,INDEX(Recetas!$T$6:$T$115,MATCH($E64,Recetas!$A$6:$A$115,0))*INDEX(Telas!$I$6:$I$105,MATCH(N64,Telas!$A$6:$A$105,0))),NA())+IF(ISNUMBER(INDEX(Recetas!$W$6:$W$115,MATCH($E64,Recetas!$A$6:$A$115,0))),IF(INDEX(Recetas!$W$6:$W$115,MATCH($E64,Recetas!$A$6:$A$115,0))=0,0,INDEX(Recetas!$W$6:$W$115,MATCH($E64,Recetas!$A$6:$A$115,0))*INDEX(Telas!$I$6:$I$105,MATCH(O64,Telas!$A$6:$A$105,0))),NA()),""))</f>
        <v/>
      </c>
      <c r="S64" s="10" t="str">
        <f aca="false">IF($E64="","",IFERROR(INDEX(Recetas!$AA$6:$AA$115,MATCH($E64,Recetas!$A$6:$A$115,0))*1,""))</f>
        <v/>
      </c>
      <c r="T64" s="10" t="str">
        <f aca="false">IF($E64="","",IFERROR(INDEX(Recetas!$AB$6:$AB$115,MATCH($E64,Recetas!$A$6:$A$115,0))*1,""))</f>
        <v/>
      </c>
      <c r="U64" s="10" t="str">
        <f aca="false">IF($E64="","",IFERROR(INDEX(Recetas!$AC$6:$AC$115,MATCH($E64,Recetas!$A$6:$A$115,0))+N(I64),""))</f>
        <v/>
      </c>
      <c r="V64" s="11" t="str">
        <f aca="false">IF($E64="","",IFERROR(R64+S64+T64+U64,""))</f>
        <v/>
      </c>
      <c r="W64" s="11" t="str">
        <f aca="false">IF(ISNUMBER(V64),V64*Parametros!$B$12,"")</f>
        <v/>
      </c>
      <c r="X64" s="30" t="str">
        <f aca="false">IF(AND(ISNUMBER(V64),N(J64)&gt;0),(J64-V64-J64*Parametros!$B$8)/J64,"")</f>
        <v/>
      </c>
      <c r="Y64" s="10" t="str">
        <f aca="false">IF(AND(ISNUMBER(V64),N(J64)&gt;0),J64-V64-J64*Parametros!$B$8,"")</f>
        <v/>
      </c>
      <c r="Z64" s="29" t="str">
        <f aca="false">IF(AND(ISNUMBER(P64),M64&lt;&gt;""),IFERROR(1/(P64*INDEX(Telas!$G$6:$G$105,MATCH(M64,Telas!$A$6:$A$105,0))),""),"")</f>
        <v/>
      </c>
      <c r="AA64" s="7" t="str">
        <f aca="false">IF($E64="","",IF(ISNUMBER(V64),"OK",IF(Q64="","Precio o peso por metro de "&amp;M64&amp;". ","")&amp;IFERROR(INDEX(Recetas!$AG$6:$AG$115,MATCH($E64,Recetas!$A$6:$A$115,0)),"Molde no existe en Recetas.")))</f>
        <v/>
      </c>
    </row>
    <row r="65" customFormat="false" ht="15" hidden="false" customHeight="false" outlineLevel="0" collapsed="false">
      <c r="A65" s="27" t="s">
        <v>380</v>
      </c>
      <c r="B65" s="27" t="s">
        <v>381</v>
      </c>
      <c r="C65" s="27" t="s">
        <v>268</v>
      </c>
      <c r="D65" s="27" t="n">
        <v>11</v>
      </c>
      <c r="E65" s="27"/>
      <c r="F65" s="8"/>
      <c r="G65" s="8"/>
      <c r="H65" s="8"/>
      <c r="I65" s="15"/>
      <c r="J65" s="15" t="n">
        <v>20084</v>
      </c>
      <c r="K65" s="27" t="s">
        <v>249</v>
      </c>
      <c r="L65" s="27" t="s">
        <v>259</v>
      </c>
      <c r="M65" s="7" t="str">
        <f aca="false">IF($E65="","",IF(F65="",IFERROR(INDEX(Recetas!$K$6:$K$115,MATCH($E65,Recetas!$A$6:$A$115,0))&amp;"",""),F65))</f>
        <v/>
      </c>
      <c r="N65" s="7" t="str">
        <f aca="false">IF($E65="","",IF(AND(G65="",N(IFERROR(INDEX(Recetas!$T$6:$T$115,MATCH($E65,Recetas!$A$6:$A$115,0)),1))=0),"—",IF(G65="",IFERROR(INDEX(Recetas!$L$6:$L$115,MATCH($E65,Recetas!$A$6:$A$115,0))&amp;"",""),G65)))</f>
        <v/>
      </c>
      <c r="O65" s="7" t="str">
        <f aca="false">IF($E65="","",IF(AND(H65="",N(IFERROR(INDEX(Recetas!$W$6:$W$115,MATCH($E65,Recetas!$A$6:$A$115,0)),1))=0),"—",IF(H65="",IFERROR(IF(INDEX(Recetas!$M$6:$M$115,MATCH($E65,Recetas!$A$6:$A$115,0))&amp;""="",M65,INDEX(Recetas!$M$6:$M$115,MATCH($E65,Recetas!$A$6:$A$115,0))&amp;""),""),H65)))</f>
        <v/>
      </c>
      <c r="P65" s="9" t="str">
        <f aca="false">IF($E65="","",IFERROR(INDEX(Recetas!$Q$6:$Q$115,MATCH($E65,Recetas!$A$6:$A$115,0)),""))</f>
        <v/>
      </c>
      <c r="Q65" s="10" t="str">
        <f aca="false">IF($E65="","",IFERROR(INDEX(Telas!$I$6:$I$105,MATCH(M65,Telas!$A$6:$A$105,0)),""))</f>
        <v/>
      </c>
      <c r="R65" s="10" t="str">
        <f aca="false">IF($E65="","",IFERROR(IF(ISNUMBER(P65),IF(P65=0,0,P65*INDEX(Telas!$I$6:$I$105,MATCH(M65,Telas!$A$6:$A$105,0))),NA())+IF(ISNUMBER(INDEX(Recetas!$T$6:$T$115,MATCH($E65,Recetas!$A$6:$A$115,0))),IF(INDEX(Recetas!$T$6:$T$115,MATCH($E65,Recetas!$A$6:$A$115,0))=0,0,INDEX(Recetas!$T$6:$T$115,MATCH($E65,Recetas!$A$6:$A$115,0))*INDEX(Telas!$I$6:$I$105,MATCH(N65,Telas!$A$6:$A$105,0))),NA())+IF(ISNUMBER(INDEX(Recetas!$W$6:$W$115,MATCH($E65,Recetas!$A$6:$A$115,0))),IF(INDEX(Recetas!$W$6:$W$115,MATCH($E65,Recetas!$A$6:$A$115,0))=0,0,INDEX(Recetas!$W$6:$W$115,MATCH($E65,Recetas!$A$6:$A$115,0))*INDEX(Telas!$I$6:$I$105,MATCH(O65,Telas!$A$6:$A$105,0))),NA()),""))</f>
        <v/>
      </c>
      <c r="S65" s="10" t="str">
        <f aca="false">IF($E65="","",IFERROR(INDEX(Recetas!$AA$6:$AA$115,MATCH($E65,Recetas!$A$6:$A$115,0))*1,""))</f>
        <v/>
      </c>
      <c r="T65" s="10" t="str">
        <f aca="false">IF($E65="","",IFERROR(INDEX(Recetas!$AB$6:$AB$115,MATCH($E65,Recetas!$A$6:$A$115,0))*1,""))</f>
        <v/>
      </c>
      <c r="U65" s="10" t="str">
        <f aca="false">IF($E65="","",IFERROR(INDEX(Recetas!$AC$6:$AC$115,MATCH($E65,Recetas!$A$6:$A$115,0))+N(I65),""))</f>
        <v/>
      </c>
      <c r="V65" s="11" t="str">
        <f aca="false">IF($E65="","",IFERROR(R65+S65+T65+U65,""))</f>
        <v/>
      </c>
      <c r="W65" s="11" t="str">
        <f aca="false">IF(ISNUMBER(V65),V65*Parametros!$B$12,"")</f>
        <v/>
      </c>
      <c r="X65" s="30" t="str">
        <f aca="false">IF(AND(ISNUMBER(V65),N(J65)&gt;0),(J65-V65-J65*Parametros!$B$8)/J65,"")</f>
        <v/>
      </c>
      <c r="Y65" s="10" t="str">
        <f aca="false">IF(AND(ISNUMBER(V65),N(J65)&gt;0),J65-V65-J65*Parametros!$B$8,"")</f>
        <v/>
      </c>
      <c r="Z65" s="29" t="str">
        <f aca="false">IF(AND(ISNUMBER(P65),M65&lt;&gt;""),IFERROR(1/(P65*INDEX(Telas!$G$6:$G$105,MATCH(M65,Telas!$A$6:$A$105,0))),""),"")</f>
        <v/>
      </c>
      <c r="AA65" s="7" t="str">
        <f aca="false">IF($E65="","",IF(ISNUMBER(V65),"OK",IF(Q65="","Precio o peso por metro de "&amp;M65&amp;". ","")&amp;IFERROR(INDEX(Recetas!$AG$6:$AG$115,MATCH($E65,Recetas!$A$6:$A$115,0)),"Molde no existe en Recetas.")))</f>
        <v/>
      </c>
    </row>
    <row r="66" customFormat="false" ht="15" hidden="false" customHeight="false" outlineLevel="0" collapsed="false">
      <c r="A66" s="27" t="s">
        <v>382</v>
      </c>
      <c r="B66" s="27" t="s">
        <v>383</v>
      </c>
      <c r="C66" s="27" t="s">
        <v>248</v>
      </c>
      <c r="D66" s="27" t="n">
        <v>9</v>
      </c>
      <c r="E66" s="27"/>
      <c r="F66" s="8"/>
      <c r="G66" s="8"/>
      <c r="H66" s="8"/>
      <c r="I66" s="15"/>
      <c r="J66" s="15" t="n">
        <v>17143</v>
      </c>
      <c r="K66" s="27" t="s">
        <v>249</v>
      </c>
      <c r="L66" s="27" t="s">
        <v>259</v>
      </c>
      <c r="M66" s="7" t="str">
        <f aca="false">IF($E66="","",IF(F66="",IFERROR(INDEX(Recetas!$K$6:$K$115,MATCH($E66,Recetas!$A$6:$A$115,0))&amp;"",""),F66))</f>
        <v/>
      </c>
      <c r="N66" s="7" t="str">
        <f aca="false">IF($E66="","",IF(AND(G66="",N(IFERROR(INDEX(Recetas!$T$6:$T$115,MATCH($E66,Recetas!$A$6:$A$115,0)),1))=0),"—",IF(G66="",IFERROR(INDEX(Recetas!$L$6:$L$115,MATCH($E66,Recetas!$A$6:$A$115,0))&amp;"",""),G66)))</f>
        <v/>
      </c>
      <c r="O66" s="7" t="str">
        <f aca="false">IF($E66="","",IF(AND(H66="",N(IFERROR(INDEX(Recetas!$W$6:$W$115,MATCH($E66,Recetas!$A$6:$A$115,0)),1))=0),"—",IF(H66="",IFERROR(IF(INDEX(Recetas!$M$6:$M$115,MATCH($E66,Recetas!$A$6:$A$115,0))&amp;""="",M66,INDEX(Recetas!$M$6:$M$115,MATCH($E66,Recetas!$A$6:$A$115,0))&amp;""),""),H66)))</f>
        <v/>
      </c>
      <c r="P66" s="9" t="str">
        <f aca="false">IF($E66="","",IFERROR(INDEX(Recetas!$Q$6:$Q$115,MATCH($E66,Recetas!$A$6:$A$115,0)),""))</f>
        <v/>
      </c>
      <c r="Q66" s="10" t="str">
        <f aca="false">IF($E66="","",IFERROR(INDEX(Telas!$I$6:$I$105,MATCH(M66,Telas!$A$6:$A$105,0)),""))</f>
        <v/>
      </c>
      <c r="R66" s="10" t="str">
        <f aca="false">IF($E66="","",IFERROR(IF(ISNUMBER(P66),IF(P66=0,0,P66*INDEX(Telas!$I$6:$I$105,MATCH(M66,Telas!$A$6:$A$105,0))),NA())+IF(ISNUMBER(INDEX(Recetas!$T$6:$T$115,MATCH($E66,Recetas!$A$6:$A$115,0))),IF(INDEX(Recetas!$T$6:$T$115,MATCH($E66,Recetas!$A$6:$A$115,0))=0,0,INDEX(Recetas!$T$6:$T$115,MATCH($E66,Recetas!$A$6:$A$115,0))*INDEX(Telas!$I$6:$I$105,MATCH(N66,Telas!$A$6:$A$105,0))),NA())+IF(ISNUMBER(INDEX(Recetas!$W$6:$W$115,MATCH($E66,Recetas!$A$6:$A$115,0))),IF(INDEX(Recetas!$W$6:$W$115,MATCH($E66,Recetas!$A$6:$A$115,0))=0,0,INDEX(Recetas!$W$6:$W$115,MATCH($E66,Recetas!$A$6:$A$115,0))*INDEX(Telas!$I$6:$I$105,MATCH(O66,Telas!$A$6:$A$105,0))),NA()),""))</f>
        <v/>
      </c>
      <c r="S66" s="10" t="str">
        <f aca="false">IF($E66="","",IFERROR(INDEX(Recetas!$AA$6:$AA$115,MATCH($E66,Recetas!$A$6:$A$115,0))*1,""))</f>
        <v/>
      </c>
      <c r="T66" s="10" t="str">
        <f aca="false">IF($E66="","",IFERROR(INDEX(Recetas!$AB$6:$AB$115,MATCH($E66,Recetas!$A$6:$A$115,0))*1,""))</f>
        <v/>
      </c>
      <c r="U66" s="10" t="str">
        <f aca="false">IF($E66="","",IFERROR(INDEX(Recetas!$AC$6:$AC$115,MATCH($E66,Recetas!$A$6:$A$115,0))+N(I66),""))</f>
        <v/>
      </c>
      <c r="V66" s="11" t="str">
        <f aca="false">IF($E66="","",IFERROR(R66+S66+T66+U66,""))</f>
        <v/>
      </c>
      <c r="W66" s="11" t="str">
        <f aca="false">IF(ISNUMBER(V66),V66*Parametros!$B$12,"")</f>
        <v/>
      </c>
      <c r="X66" s="30" t="str">
        <f aca="false">IF(AND(ISNUMBER(V66),N(J66)&gt;0),(J66-V66-J66*Parametros!$B$8)/J66,"")</f>
        <v/>
      </c>
      <c r="Y66" s="10" t="str">
        <f aca="false">IF(AND(ISNUMBER(V66),N(J66)&gt;0),J66-V66-J66*Parametros!$B$8,"")</f>
        <v/>
      </c>
      <c r="Z66" s="29" t="str">
        <f aca="false">IF(AND(ISNUMBER(P66),M66&lt;&gt;""),IFERROR(1/(P66*INDEX(Telas!$G$6:$G$105,MATCH(M66,Telas!$A$6:$A$105,0))),""),"")</f>
        <v/>
      </c>
      <c r="AA66" s="7" t="str">
        <f aca="false">IF($E66="","",IF(ISNUMBER(V66),"OK",IF(Q66="","Precio o peso por metro de "&amp;M66&amp;". ","")&amp;IFERROR(INDEX(Recetas!$AG$6:$AG$115,MATCH($E66,Recetas!$A$6:$A$115,0)),"Molde no existe en Recetas.")))</f>
        <v/>
      </c>
    </row>
    <row r="67" customFormat="false" ht="15" hidden="false" customHeight="false" outlineLevel="0" collapsed="false">
      <c r="A67" s="27" t="s">
        <v>384</v>
      </c>
      <c r="B67" s="27" t="s">
        <v>385</v>
      </c>
      <c r="C67" s="27" t="s">
        <v>268</v>
      </c>
      <c r="D67" s="27" t="n">
        <v>6</v>
      </c>
      <c r="E67" s="27"/>
      <c r="F67" s="8"/>
      <c r="G67" s="8"/>
      <c r="H67" s="8"/>
      <c r="I67" s="15"/>
      <c r="J67" s="15" t="n">
        <v>32731</v>
      </c>
      <c r="K67" s="27" t="s">
        <v>249</v>
      </c>
      <c r="L67" s="27" t="s">
        <v>259</v>
      </c>
      <c r="M67" s="7" t="str">
        <f aca="false">IF($E67="","",IF(F67="",IFERROR(INDEX(Recetas!$K$6:$K$115,MATCH($E67,Recetas!$A$6:$A$115,0))&amp;"",""),F67))</f>
        <v/>
      </c>
      <c r="N67" s="7" t="str">
        <f aca="false">IF($E67="","",IF(AND(G67="",N(IFERROR(INDEX(Recetas!$T$6:$T$115,MATCH($E67,Recetas!$A$6:$A$115,0)),1))=0),"—",IF(G67="",IFERROR(INDEX(Recetas!$L$6:$L$115,MATCH($E67,Recetas!$A$6:$A$115,0))&amp;"",""),G67)))</f>
        <v/>
      </c>
      <c r="O67" s="7" t="str">
        <f aca="false">IF($E67="","",IF(AND(H67="",N(IFERROR(INDEX(Recetas!$W$6:$W$115,MATCH($E67,Recetas!$A$6:$A$115,0)),1))=0),"—",IF(H67="",IFERROR(IF(INDEX(Recetas!$M$6:$M$115,MATCH($E67,Recetas!$A$6:$A$115,0))&amp;""="",M67,INDEX(Recetas!$M$6:$M$115,MATCH($E67,Recetas!$A$6:$A$115,0))&amp;""),""),H67)))</f>
        <v/>
      </c>
      <c r="P67" s="9" t="str">
        <f aca="false">IF($E67="","",IFERROR(INDEX(Recetas!$Q$6:$Q$115,MATCH($E67,Recetas!$A$6:$A$115,0)),""))</f>
        <v/>
      </c>
      <c r="Q67" s="10" t="str">
        <f aca="false">IF($E67="","",IFERROR(INDEX(Telas!$I$6:$I$105,MATCH(M67,Telas!$A$6:$A$105,0)),""))</f>
        <v/>
      </c>
      <c r="R67" s="10" t="str">
        <f aca="false">IF($E67="","",IFERROR(IF(ISNUMBER(P67),IF(P67=0,0,P67*INDEX(Telas!$I$6:$I$105,MATCH(M67,Telas!$A$6:$A$105,0))),NA())+IF(ISNUMBER(INDEX(Recetas!$T$6:$T$115,MATCH($E67,Recetas!$A$6:$A$115,0))),IF(INDEX(Recetas!$T$6:$T$115,MATCH($E67,Recetas!$A$6:$A$115,0))=0,0,INDEX(Recetas!$T$6:$T$115,MATCH($E67,Recetas!$A$6:$A$115,0))*INDEX(Telas!$I$6:$I$105,MATCH(N67,Telas!$A$6:$A$105,0))),NA())+IF(ISNUMBER(INDEX(Recetas!$W$6:$W$115,MATCH($E67,Recetas!$A$6:$A$115,0))),IF(INDEX(Recetas!$W$6:$W$115,MATCH($E67,Recetas!$A$6:$A$115,0))=0,0,INDEX(Recetas!$W$6:$W$115,MATCH($E67,Recetas!$A$6:$A$115,0))*INDEX(Telas!$I$6:$I$105,MATCH(O67,Telas!$A$6:$A$105,0))),NA()),""))</f>
        <v/>
      </c>
      <c r="S67" s="10" t="str">
        <f aca="false">IF($E67="","",IFERROR(INDEX(Recetas!$AA$6:$AA$115,MATCH($E67,Recetas!$A$6:$A$115,0))*1,""))</f>
        <v/>
      </c>
      <c r="T67" s="10" t="str">
        <f aca="false">IF($E67="","",IFERROR(INDEX(Recetas!$AB$6:$AB$115,MATCH($E67,Recetas!$A$6:$A$115,0))*1,""))</f>
        <v/>
      </c>
      <c r="U67" s="10" t="str">
        <f aca="false">IF($E67="","",IFERROR(INDEX(Recetas!$AC$6:$AC$115,MATCH($E67,Recetas!$A$6:$A$115,0))+N(I67),""))</f>
        <v/>
      </c>
      <c r="V67" s="11" t="str">
        <f aca="false">IF($E67="","",IFERROR(R67+S67+T67+U67,""))</f>
        <v/>
      </c>
      <c r="W67" s="11" t="str">
        <f aca="false">IF(ISNUMBER(V67),V67*Parametros!$B$12,"")</f>
        <v/>
      </c>
      <c r="X67" s="30" t="str">
        <f aca="false">IF(AND(ISNUMBER(V67),N(J67)&gt;0),(J67-V67-J67*Parametros!$B$8)/J67,"")</f>
        <v/>
      </c>
      <c r="Y67" s="10" t="str">
        <f aca="false">IF(AND(ISNUMBER(V67),N(J67)&gt;0),J67-V67-J67*Parametros!$B$8,"")</f>
        <v/>
      </c>
      <c r="Z67" s="29" t="str">
        <f aca="false">IF(AND(ISNUMBER(P67),M67&lt;&gt;""),IFERROR(1/(P67*INDEX(Telas!$G$6:$G$105,MATCH(M67,Telas!$A$6:$A$105,0))),""),"")</f>
        <v/>
      </c>
      <c r="AA67" s="7" t="str">
        <f aca="false">IF($E67="","",IF(ISNUMBER(V67),"OK",IF(Q67="","Precio o peso por metro de "&amp;M67&amp;". ","")&amp;IFERROR(INDEX(Recetas!$AG$6:$AG$115,MATCH($E67,Recetas!$A$6:$A$115,0)),"Molde no existe en Recetas.")))</f>
        <v/>
      </c>
    </row>
    <row r="68" customFormat="false" ht="15" hidden="false" customHeight="false" outlineLevel="0" collapsed="false">
      <c r="A68" s="27" t="s">
        <v>386</v>
      </c>
      <c r="B68" s="27" t="s">
        <v>387</v>
      </c>
      <c r="C68" s="27" t="s">
        <v>248</v>
      </c>
      <c r="D68" s="27" t="n">
        <v>6</v>
      </c>
      <c r="E68" s="27"/>
      <c r="F68" s="8"/>
      <c r="G68" s="8"/>
      <c r="H68" s="8"/>
      <c r="I68" s="15"/>
      <c r="J68" s="15" t="n">
        <v>16723</v>
      </c>
      <c r="K68" s="27" t="s">
        <v>249</v>
      </c>
      <c r="L68" s="27" t="s">
        <v>259</v>
      </c>
      <c r="M68" s="7" t="str">
        <f aca="false">IF($E68="","",IF(F68="",IFERROR(INDEX(Recetas!$K$6:$K$115,MATCH($E68,Recetas!$A$6:$A$115,0))&amp;"",""),F68))</f>
        <v/>
      </c>
      <c r="N68" s="7" t="str">
        <f aca="false">IF($E68="","",IF(AND(G68="",N(IFERROR(INDEX(Recetas!$T$6:$T$115,MATCH($E68,Recetas!$A$6:$A$115,0)),1))=0),"—",IF(G68="",IFERROR(INDEX(Recetas!$L$6:$L$115,MATCH($E68,Recetas!$A$6:$A$115,0))&amp;"",""),G68)))</f>
        <v/>
      </c>
      <c r="O68" s="7" t="str">
        <f aca="false">IF($E68="","",IF(AND(H68="",N(IFERROR(INDEX(Recetas!$W$6:$W$115,MATCH($E68,Recetas!$A$6:$A$115,0)),1))=0),"—",IF(H68="",IFERROR(IF(INDEX(Recetas!$M$6:$M$115,MATCH($E68,Recetas!$A$6:$A$115,0))&amp;""="",M68,INDEX(Recetas!$M$6:$M$115,MATCH($E68,Recetas!$A$6:$A$115,0))&amp;""),""),H68)))</f>
        <v/>
      </c>
      <c r="P68" s="9" t="str">
        <f aca="false">IF($E68="","",IFERROR(INDEX(Recetas!$Q$6:$Q$115,MATCH($E68,Recetas!$A$6:$A$115,0)),""))</f>
        <v/>
      </c>
      <c r="Q68" s="10" t="str">
        <f aca="false">IF($E68="","",IFERROR(INDEX(Telas!$I$6:$I$105,MATCH(M68,Telas!$A$6:$A$105,0)),""))</f>
        <v/>
      </c>
      <c r="R68" s="10" t="str">
        <f aca="false">IF($E68="","",IFERROR(IF(ISNUMBER(P68),IF(P68=0,0,P68*INDEX(Telas!$I$6:$I$105,MATCH(M68,Telas!$A$6:$A$105,0))),NA())+IF(ISNUMBER(INDEX(Recetas!$T$6:$T$115,MATCH($E68,Recetas!$A$6:$A$115,0))),IF(INDEX(Recetas!$T$6:$T$115,MATCH($E68,Recetas!$A$6:$A$115,0))=0,0,INDEX(Recetas!$T$6:$T$115,MATCH($E68,Recetas!$A$6:$A$115,0))*INDEX(Telas!$I$6:$I$105,MATCH(N68,Telas!$A$6:$A$105,0))),NA())+IF(ISNUMBER(INDEX(Recetas!$W$6:$W$115,MATCH($E68,Recetas!$A$6:$A$115,0))),IF(INDEX(Recetas!$W$6:$W$115,MATCH($E68,Recetas!$A$6:$A$115,0))=0,0,INDEX(Recetas!$W$6:$W$115,MATCH($E68,Recetas!$A$6:$A$115,0))*INDEX(Telas!$I$6:$I$105,MATCH(O68,Telas!$A$6:$A$105,0))),NA()),""))</f>
        <v/>
      </c>
      <c r="S68" s="10" t="str">
        <f aca="false">IF($E68="","",IFERROR(INDEX(Recetas!$AA$6:$AA$115,MATCH($E68,Recetas!$A$6:$A$115,0))*1,""))</f>
        <v/>
      </c>
      <c r="T68" s="10" t="str">
        <f aca="false">IF($E68="","",IFERROR(INDEX(Recetas!$AB$6:$AB$115,MATCH($E68,Recetas!$A$6:$A$115,0))*1,""))</f>
        <v/>
      </c>
      <c r="U68" s="10" t="str">
        <f aca="false">IF($E68="","",IFERROR(INDEX(Recetas!$AC$6:$AC$115,MATCH($E68,Recetas!$A$6:$A$115,0))+N(I68),""))</f>
        <v/>
      </c>
      <c r="V68" s="11" t="str">
        <f aca="false">IF($E68="","",IFERROR(R68+S68+T68+U68,""))</f>
        <v/>
      </c>
      <c r="W68" s="11" t="str">
        <f aca="false">IF(ISNUMBER(V68),V68*Parametros!$B$12,"")</f>
        <v/>
      </c>
      <c r="X68" s="30" t="str">
        <f aca="false">IF(AND(ISNUMBER(V68),N(J68)&gt;0),(J68-V68-J68*Parametros!$B$8)/J68,"")</f>
        <v/>
      </c>
      <c r="Y68" s="10" t="str">
        <f aca="false">IF(AND(ISNUMBER(V68),N(J68)&gt;0),J68-V68-J68*Parametros!$B$8,"")</f>
        <v/>
      </c>
      <c r="Z68" s="29" t="str">
        <f aca="false">IF(AND(ISNUMBER(P68),M68&lt;&gt;""),IFERROR(1/(P68*INDEX(Telas!$G$6:$G$105,MATCH(M68,Telas!$A$6:$A$105,0))),""),"")</f>
        <v/>
      </c>
      <c r="AA68" s="7" t="str">
        <f aca="false">IF($E68="","",IF(ISNUMBER(V68),"OK",IF(Q68="","Precio o peso por metro de "&amp;M68&amp;". ","")&amp;IFERROR(INDEX(Recetas!$AG$6:$AG$115,MATCH($E68,Recetas!$A$6:$A$115,0)),"Molde no existe en Recetas.")))</f>
        <v/>
      </c>
    </row>
    <row r="69" customFormat="false" ht="15" hidden="false" customHeight="false" outlineLevel="0" collapsed="false">
      <c r="A69" s="27" t="s">
        <v>388</v>
      </c>
      <c r="B69" s="27" t="s">
        <v>389</v>
      </c>
      <c r="C69" s="27" t="s">
        <v>248</v>
      </c>
      <c r="D69" s="27" t="n">
        <v>5</v>
      </c>
      <c r="E69" s="27"/>
      <c r="F69" s="8"/>
      <c r="G69" s="8"/>
      <c r="H69" s="8"/>
      <c r="I69" s="15"/>
      <c r="J69" s="15" t="n">
        <v>15882</v>
      </c>
      <c r="K69" s="27" t="s">
        <v>249</v>
      </c>
      <c r="L69" s="27" t="s">
        <v>259</v>
      </c>
      <c r="M69" s="7" t="str">
        <f aca="false">IF($E69="","",IF(F69="",IFERROR(INDEX(Recetas!$K$6:$K$115,MATCH($E69,Recetas!$A$6:$A$115,0))&amp;"",""),F69))</f>
        <v/>
      </c>
      <c r="N69" s="7" t="str">
        <f aca="false">IF($E69="","",IF(AND(G69="",N(IFERROR(INDEX(Recetas!$T$6:$T$115,MATCH($E69,Recetas!$A$6:$A$115,0)),1))=0),"—",IF(G69="",IFERROR(INDEX(Recetas!$L$6:$L$115,MATCH($E69,Recetas!$A$6:$A$115,0))&amp;"",""),G69)))</f>
        <v/>
      </c>
      <c r="O69" s="7" t="str">
        <f aca="false">IF($E69="","",IF(AND(H69="",N(IFERROR(INDEX(Recetas!$W$6:$W$115,MATCH($E69,Recetas!$A$6:$A$115,0)),1))=0),"—",IF(H69="",IFERROR(IF(INDEX(Recetas!$M$6:$M$115,MATCH($E69,Recetas!$A$6:$A$115,0))&amp;""="",M69,INDEX(Recetas!$M$6:$M$115,MATCH($E69,Recetas!$A$6:$A$115,0))&amp;""),""),H69)))</f>
        <v/>
      </c>
      <c r="P69" s="9" t="str">
        <f aca="false">IF($E69="","",IFERROR(INDEX(Recetas!$Q$6:$Q$115,MATCH($E69,Recetas!$A$6:$A$115,0)),""))</f>
        <v/>
      </c>
      <c r="Q69" s="10" t="str">
        <f aca="false">IF($E69="","",IFERROR(INDEX(Telas!$I$6:$I$105,MATCH(M69,Telas!$A$6:$A$105,0)),""))</f>
        <v/>
      </c>
      <c r="R69" s="10" t="str">
        <f aca="false">IF($E69="","",IFERROR(IF(ISNUMBER(P69),IF(P69=0,0,P69*INDEX(Telas!$I$6:$I$105,MATCH(M69,Telas!$A$6:$A$105,0))),NA())+IF(ISNUMBER(INDEX(Recetas!$T$6:$T$115,MATCH($E69,Recetas!$A$6:$A$115,0))),IF(INDEX(Recetas!$T$6:$T$115,MATCH($E69,Recetas!$A$6:$A$115,0))=0,0,INDEX(Recetas!$T$6:$T$115,MATCH($E69,Recetas!$A$6:$A$115,0))*INDEX(Telas!$I$6:$I$105,MATCH(N69,Telas!$A$6:$A$105,0))),NA())+IF(ISNUMBER(INDEX(Recetas!$W$6:$W$115,MATCH($E69,Recetas!$A$6:$A$115,0))),IF(INDEX(Recetas!$W$6:$W$115,MATCH($E69,Recetas!$A$6:$A$115,0))=0,0,INDEX(Recetas!$W$6:$W$115,MATCH($E69,Recetas!$A$6:$A$115,0))*INDEX(Telas!$I$6:$I$105,MATCH(O69,Telas!$A$6:$A$105,0))),NA()),""))</f>
        <v/>
      </c>
      <c r="S69" s="10" t="str">
        <f aca="false">IF($E69="","",IFERROR(INDEX(Recetas!$AA$6:$AA$115,MATCH($E69,Recetas!$A$6:$A$115,0))*1,""))</f>
        <v/>
      </c>
      <c r="T69" s="10" t="str">
        <f aca="false">IF($E69="","",IFERROR(INDEX(Recetas!$AB$6:$AB$115,MATCH($E69,Recetas!$A$6:$A$115,0))*1,""))</f>
        <v/>
      </c>
      <c r="U69" s="10" t="str">
        <f aca="false">IF($E69="","",IFERROR(INDEX(Recetas!$AC$6:$AC$115,MATCH($E69,Recetas!$A$6:$A$115,0))+N(I69),""))</f>
        <v/>
      </c>
      <c r="V69" s="11" t="str">
        <f aca="false">IF($E69="","",IFERROR(R69+S69+T69+U69,""))</f>
        <v/>
      </c>
      <c r="W69" s="11" t="str">
        <f aca="false">IF(ISNUMBER(V69),V69*Parametros!$B$12,"")</f>
        <v/>
      </c>
      <c r="X69" s="30" t="str">
        <f aca="false">IF(AND(ISNUMBER(V69),N(J69)&gt;0),(J69-V69-J69*Parametros!$B$8)/J69,"")</f>
        <v/>
      </c>
      <c r="Y69" s="10" t="str">
        <f aca="false">IF(AND(ISNUMBER(V69),N(J69)&gt;0),J69-V69-J69*Parametros!$B$8,"")</f>
        <v/>
      </c>
      <c r="Z69" s="29" t="str">
        <f aca="false">IF(AND(ISNUMBER(P69),M69&lt;&gt;""),IFERROR(1/(P69*INDEX(Telas!$G$6:$G$105,MATCH(M69,Telas!$A$6:$A$105,0))),""),"")</f>
        <v/>
      </c>
      <c r="AA69" s="7" t="str">
        <f aca="false">IF($E69="","",IF(ISNUMBER(V69),"OK",IF(Q69="","Precio o peso por metro de "&amp;M69&amp;". ","")&amp;IFERROR(INDEX(Recetas!$AG$6:$AG$115,MATCH($E69,Recetas!$A$6:$A$115,0)),"Molde no existe en Recetas.")))</f>
        <v/>
      </c>
    </row>
    <row r="70" customFormat="false" ht="15" hidden="false" customHeight="false" outlineLevel="0" collapsed="false">
      <c r="A70" s="27" t="s">
        <v>390</v>
      </c>
      <c r="B70" s="27" t="s">
        <v>391</v>
      </c>
      <c r="C70" s="27" t="s">
        <v>248</v>
      </c>
      <c r="D70" s="27" t="n">
        <v>4</v>
      </c>
      <c r="E70" s="27" t="s">
        <v>210</v>
      </c>
      <c r="F70" s="8" t="s">
        <v>214</v>
      </c>
      <c r="G70" s="8"/>
      <c r="H70" s="8"/>
      <c r="I70" s="15"/>
      <c r="J70" s="15" t="n">
        <v>12689</v>
      </c>
      <c r="K70" s="27" t="s">
        <v>249</v>
      </c>
      <c r="L70" s="27"/>
      <c r="M70" s="7" t="str">
        <f aca="false">IF($E70="","",IF(F70="",IFERROR(INDEX(Recetas!$K$6:$K$115,MATCH($E70,Recetas!$A$6:$A$115,0))&amp;"",""),F70))</f>
        <v>LYCRA</v>
      </c>
      <c r="N70" s="7" t="str">
        <f aca="false">IF($E70="","",IF(AND(G70="",N(IFERROR(INDEX(Recetas!$T$6:$T$115,MATCH($E70,Recetas!$A$6:$A$115,0)),1))=0),"—",IF(G70="",IFERROR(INDEX(Recetas!$L$6:$L$115,MATCH($E70,Recetas!$A$6:$A$115,0))&amp;"",""),G70)))</f>
        <v>—</v>
      </c>
      <c r="O70" s="7" t="str">
        <f aca="false">IF($E70="","",IF(AND(H70="",N(IFERROR(INDEX(Recetas!$W$6:$W$115,MATCH($E70,Recetas!$A$6:$A$115,0)),1))=0),"—",IF(H70="",IFERROR(IF(INDEX(Recetas!$M$6:$M$115,MATCH($E70,Recetas!$A$6:$A$115,0))&amp;""="",M70,INDEX(Recetas!$M$6:$M$115,MATCH($E70,Recetas!$A$6:$A$115,0))&amp;""),""),H70)))</f>
        <v>—</v>
      </c>
      <c r="P70" s="9" t="str">
        <f aca="false">IF($E70="","",IFERROR(INDEX(Recetas!$Q$6:$Q$115,MATCH($E70,Recetas!$A$6:$A$115,0)),""))</f>
        <v/>
      </c>
      <c r="Q70" s="10" t="str">
        <f aca="false">IF($E70="","",IFERROR(INDEX(Telas!$I$6:$I$105,MATCH(M70,Telas!$A$6:$A$105,0)),""))</f>
        <v/>
      </c>
      <c r="R70" s="10" t="str">
        <f aca="false">IF($E70="","",IFERROR(IF(ISNUMBER(P70),IF(P70=0,0,P70*INDEX(Telas!$I$6:$I$105,MATCH(M70,Telas!$A$6:$A$105,0))),NA())+IF(ISNUMBER(INDEX(Recetas!$T$6:$T$115,MATCH($E70,Recetas!$A$6:$A$115,0))),IF(INDEX(Recetas!$T$6:$T$115,MATCH($E70,Recetas!$A$6:$A$115,0))=0,0,INDEX(Recetas!$T$6:$T$115,MATCH($E70,Recetas!$A$6:$A$115,0))*INDEX(Telas!$I$6:$I$105,MATCH(N70,Telas!$A$6:$A$105,0))),NA())+IF(ISNUMBER(INDEX(Recetas!$W$6:$W$115,MATCH($E70,Recetas!$A$6:$A$115,0))),IF(INDEX(Recetas!$W$6:$W$115,MATCH($E70,Recetas!$A$6:$A$115,0))=0,0,INDEX(Recetas!$W$6:$W$115,MATCH($E70,Recetas!$A$6:$A$115,0))*INDEX(Telas!$I$6:$I$105,MATCH(O70,Telas!$A$6:$A$105,0))),NA()),""))</f>
        <v/>
      </c>
      <c r="S70" s="10" t="n">
        <f aca="false">IF($E70="","",IFERROR(INDEX(Recetas!$AA$6:$AA$115,MATCH($E70,Recetas!$A$6:$A$115,0))*1,""))</f>
        <v>0</v>
      </c>
      <c r="T70" s="10" t="n">
        <f aca="false">IF($E70="","",IFERROR(INDEX(Recetas!$AB$6:$AB$115,MATCH($E70,Recetas!$A$6:$A$115,0))*1,""))</f>
        <v>1200</v>
      </c>
      <c r="U70" s="10" t="n">
        <f aca="false">IF($E70="","",IFERROR(INDEX(Recetas!$AC$6:$AC$115,MATCH($E70,Recetas!$A$6:$A$115,0))+N(I70),""))</f>
        <v>0</v>
      </c>
      <c r="V70" s="11" t="str">
        <f aca="false">IF($E70="","",IFERROR(R70+S70+T70+U70,""))</f>
        <v/>
      </c>
      <c r="W70" s="11" t="str">
        <f aca="false">IF(ISNUMBER(V70),V70*Parametros!$B$12,"")</f>
        <v/>
      </c>
      <c r="X70" s="30" t="str">
        <f aca="false">IF(AND(ISNUMBER(V70),N(J70)&gt;0),(J70-V70-J70*Parametros!$B$8)/J70,"")</f>
        <v/>
      </c>
      <c r="Y70" s="10" t="str">
        <f aca="false">IF(AND(ISNUMBER(V70),N(J70)&gt;0),J70-V70-J70*Parametros!$B$8,"")</f>
        <v/>
      </c>
      <c r="Z70" s="29" t="str">
        <f aca="false">IF(AND(ISNUMBER(P70),M70&lt;&gt;""),IFERROR(1/(P70*INDEX(Telas!$G$6:$G$105,MATCH(M70,Telas!$A$6:$A$105,0))),""),"")</f>
        <v/>
      </c>
      <c r="AA70" s="7" t="str">
        <f aca="false">IF($E70="","",IF(ISNUMBER(V70),"OK",IF(Q70="","Precio o peso por metro de "&amp;M70&amp;". ","")&amp;IFERROR(INDEX(Recetas!$AG$6:$AG$115,MATCH($E70,Recetas!$A$6:$A$115,0)),"Molde no existe en Recetas.")))</f>
        <v>Precio o peso por metro de LYCRA. Consumo tela principal (Despiece o Mediciones). Pesar 1 m de la tela medida (Telas, kg por metro). Precio o peso por metro de LYCRA. </v>
      </c>
    </row>
    <row r="71" customFormat="false" ht="15" hidden="false" customHeight="false" outlineLevel="0" collapsed="false">
      <c r="A71" s="27" t="s">
        <v>392</v>
      </c>
      <c r="B71" s="27" t="s">
        <v>393</v>
      </c>
      <c r="C71" s="27" t="s">
        <v>268</v>
      </c>
      <c r="D71" s="27" t="n">
        <v>4</v>
      </c>
      <c r="E71" s="27"/>
      <c r="F71" s="8"/>
      <c r="G71" s="8"/>
      <c r="H71" s="8"/>
      <c r="I71" s="15"/>
      <c r="J71" s="15" t="n">
        <v>13445</v>
      </c>
      <c r="K71" s="27" t="s">
        <v>249</v>
      </c>
      <c r="L71" s="27" t="s">
        <v>259</v>
      </c>
      <c r="M71" s="7" t="str">
        <f aca="false">IF($E71="","",IF(F71="",IFERROR(INDEX(Recetas!$K$6:$K$115,MATCH($E71,Recetas!$A$6:$A$115,0))&amp;"",""),F71))</f>
        <v/>
      </c>
      <c r="N71" s="7" t="str">
        <f aca="false">IF($E71="","",IF(AND(G71="",N(IFERROR(INDEX(Recetas!$T$6:$T$115,MATCH($E71,Recetas!$A$6:$A$115,0)),1))=0),"—",IF(G71="",IFERROR(INDEX(Recetas!$L$6:$L$115,MATCH($E71,Recetas!$A$6:$A$115,0))&amp;"",""),G71)))</f>
        <v/>
      </c>
      <c r="O71" s="7" t="str">
        <f aca="false">IF($E71="","",IF(AND(H71="",N(IFERROR(INDEX(Recetas!$W$6:$W$115,MATCH($E71,Recetas!$A$6:$A$115,0)),1))=0),"—",IF(H71="",IFERROR(IF(INDEX(Recetas!$M$6:$M$115,MATCH($E71,Recetas!$A$6:$A$115,0))&amp;""="",M71,INDEX(Recetas!$M$6:$M$115,MATCH($E71,Recetas!$A$6:$A$115,0))&amp;""),""),H71)))</f>
        <v/>
      </c>
      <c r="P71" s="9" t="str">
        <f aca="false">IF($E71="","",IFERROR(INDEX(Recetas!$Q$6:$Q$115,MATCH($E71,Recetas!$A$6:$A$115,0)),""))</f>
        <v/>
      </c>
      <c r="Q71" s="10" t="str">
        <f aca="false">IF($E71="","",IFERROR(INDEX(Telas!$I$6:$I$105,MATCH(M71,Telas!$A$6:$A$105,0)),""))</f>
        <v/>
      </c>
      <c r="R71" s="10" t="str">
        <f aca="false">IF($E71="","",IFERROR(IF(ISNUMBER(P71),IF(P71=0,0,P71*INDEX(Telas!$I$6:$I$105,MATCH(M71,Telas!$A$6:$A$105,0))),NA())+IF(ISNUMBER(INDEX(Recetas!$T$6:$T$115,MATCH($E71,Recetas!$A$6:$A$115,0))),IF(INDEX(Recetas!$T$6:$T$115,MATCH($E71,Recetas!$A$6:$A$115,0))=0,0,INDEX(Recetas!$T$6:$T$115,MATCH($E71,Recetas!$A$6:$A$115,0))*INDEX(Telas!$I$6:$I$105,MATCH(N71,Telas!$A$6:$A$105,0))),NA())+IF(ISNUMBER(INDEX(Recetas!$W$6:$W$115,MATCH($E71,Recetas!$A$6:$A$115,0))),IF(INDEX(Recetas!$W$6:$W$115,MATCH($E71,Recetas!$A$6:$A$115,0))=0,0,INDEX(Recetas!$W$6:$W$115,MATCH($E71,Recetas!$A$6:$A$115,0))*INDEX(Telas!$I$6:$I$105,MATCH(O71,Telas!$A$6:$A$105,0))),NA()),""))</f>
        <v/>
      </c>
      <c r="S71" s="10" t="str">
        <f aca="false">IF($E71="","",IFERROR(INDEX(Recetas!$AA$6:$AA$115,MATCH($E71,Recetas!$A$6:$A$115,0))*1,""))</f>
        <v/>
      </c>
      <c r="T71" s="10" t="str">
        <f aca="false">IF($E71="","",IFERROR(INDEX(Recetas!$AB$6:$AB$115,MATCH($E71,Recetas!$A$6:$A$115,0))*1,""))</f>
        <v/>
      </c>
      <c r="U71" s="10" t="str">
        <f aca="false">IF($E71="","",IFERROR(INDEX(Recetas!$AC$6:$AC$115,MATCH($E71,Recetas!$A$6:$A$115,0))+N(I71),""))</f>
        <v/>
      </c>
      <c r="V71" s="11" t="str">
        <f aca="false">IF($E71="","",IFERROR(R71+S71+T71+U71,""))</f>
        <v/>
      </c>
      <c r="W71" s="11" t="str">
        <f aca="false">IF(ISNUMBER(V71),V71*Parametros!$B$12,"")</f>
        <v/>
      </c>
      <c r="X71" s="30" t="str">
        <f aca="false">IF(AND(ISNUMBER(V71),N(J71)&gt;0),(J71-V71-J71*Parametros!$B$8)/J71,"")</f>
        <v/>
      </c>
      <c r="Y71" s="10" t="str">
        <f aca="false">IF(AND(ISNUMBER(V71),N(J71)&gt;0),J71-V71-J71*Parametros!$B$8,"")</f>
        <v/>
      </c>
      <c r="Z71" s="29" t="str">
        <f aca="false">IF(AND(ISNUMBER(P71),M71&lt;&gt;""),IFERROR(1/(P71*INDEX(Telas!$G$6:$G$105,MATCH(M71,Telas!$A$6:$A$105,0))),""),"")</f>
        <v/>
      </c>
      <c r="AA71" s="7" t="str">
        <f aca="false">IF($E71="","",IF(ISNUMBER(V71),"OK",IF(Q71="","Precio o peso por metro de "&amp;M71&amp;". ","")&amp;IFERROR(INDEX(Recetas!$AG$6:$AG$115,MATCH($E71,Recetas!$A$6:$A$115,0)),"Molde no existe en Recetas.")))</f>
        <v/>
      </c>
    </row>
    <row r="72" customFormat="false" ht="15" hidden="false" customHeight="false" outlineLevel="0" collapsed="false">
      <c r="A72" s="27" t="s">
        <v>394</v>
      </c>
      <c r="B72" s="27" t="s">
        <v>395</v>
      </c>
      <c r="C72" s="27" t="s">
        <v>268</v>
      </c>
      <c r="D72" s="27" t="n">
        <v>4</v>
      </c>
      <c r="E72" s="27"/>
      <c r="F72" s="8"/>
      <c r="G72" s="8"/>
      <c r="H72" s="8"/>
      <c r="I72" s="15"/>
      <c r="J72" s="15" t="n">
        <v>30168</v>
      </c>
      <c r="K72" s="27" t="s">
        <v>249</v>
      </c>
      <c r="L72" s="27" t="s">
        <v>259</v>
      </c>
      <c r="M72" s="7" t="str">
        <f aca="false">IF($E72="","",IF(F72="",IFERROR(INDEX(Recetas!$K$6:$K$115,MATCH($E72,Recetas!$A$6:$A$115,0))&amp;"",""),F72))</f>
        <v/>
      </c>
      <c r="N72" s="7" t="str">
        <f aca="false">IF($E72="","",IF(AND(G72="",N(IFERROR(INDEX(Recetas!$T$6:$T$115,MATCH($E72,Recetas!$A$6:$A$115,0)),1))=0),"—",IF(G72="",IFERROR(INDEX(Recetas!$L$6:$L$115,MATCH($E72,Recetas!$A$6:$A$115,0))&amp;"",""),G72)))</f>
        <v/>
      </c>
      <c r="O72" s="7" t="str">
        <f aca="false">IF($E72="","",IF(AND(H72="",N(IFERROR(INDEX(Recetas!$W$6:$W$115,MATCH($E72,Recetas!$A$6:$A$115,0)),1))=0),"—",IF(H72="",IFERROR(IF(INDEX(Recetas!$M$6:$M$115,MATCH($E72,Recetas!$A$6:$A$115,0))&amp;""="",M72,INDEX(Recetas!$M$6:$M$115,MATCH($E72,Recetas!$A$6:$A$115,0))&amp;""),""),H72)))</f>
        <v/>
      </c>
      <c r="P72" s="9" t="str">
        <f aca="false">IF($E72="","",IFERROR(INDEX(Recetas!$Q$6:$Q$115,MATCH($E72,Recetas!$A$6:$A$115,0)),""))</f>
        <v/>
      </c>
      <c r="Q72" s="10" t="str">
        <f aca="false">IF($E72="","",IFERROR(INDEX(Telas!$I$6:$I$105,MATCH(M72,Telas!$A$6:$A$105,0)),""))</f>
        <v/>
      </c>
      <c r="R72" s="10" t="str">
        <f aca="false">IF($E72="","",IFERROR(IF(ISNUMBER(P72),IF(P72=0,0,P72*INDEX(Telas!$I$6:$I$105,MATCH(M72,Telas!$A$6:$A$105,0))),NA())+IF(ISNUMBER(INDEX(Recetas!$T$6:$T$115,MATCH($E72,Recetas!$A$6:$A$115,0))),IF(INDEX(Recetas!$T$6:$T$115,MATCH($E72,Recetas!$A$6:$A$115,0))=0,0,INDEX(Recetas!$T$6:$T$115,MATCH($E72,Recetas!$A$6:$A$115,0))*INDEX(Telas!$I$6:$I$105,MATCH(N72,Telas!$A$6:$A$105,0))),NA())+IF(ISNUMBER(INDEX(Recetas!$W$6:$W$115,MATCH($E72,Recetas!$A$6:$A$115,0))),IF(INDEX(Recetas!$W$6:$W$115,MATCH($E72,Recetas!$A$6:$A$115,0))=0,0,INDEX(Recetas!$W$6:$W$115,MATCH($E72,Recetas!$A$6:$A$115,0))*INDEX(Telas!$I$6:$I$105,MATCH(O72,Telas!$A$6:$A$105,0))),NA()),""))</f>
        <v/>
      </c>
      <c r="S72" s="10" t="str">
        <f aca="false">IF($E72="","",IFERROR(INDEX(Recetas!$AA$6:$AA$115,MATCH($E72,Recetas!$A$6:$A$115,0))*1,""))</f>
        <v/>
      </c>
      <c r="T72" s="10" t="str">
        <f aca="false">IF($E72="","",IFERROR(INDEX(Recetas!$AB$6:$AB$115,MATCH($E72,Recetas!$A$6:$A$115,0))*1,""))</f>
        <v/>
      </c>
      <c r="U72" s="10" t="str">
        <f aca="false">IF($E72="","",IFERROR(INDEX(Recetas!$AC$6:$AC$115,MATCH($E72,Recetas!$A$6:$A$115,0))+N(I72),""))</f>
        <v/>
      </c>
      <c r="V72" s="11" t="str">
        <f aca="false">IF($E72="","",IFERROR(R72+S72+T72+U72,""))</f>
        <v/>
      </c>
      <c r="W72" s="11" t="str">
        <f aca="false">IF(ISNUMBER(V72),V72*Parametros!$B$12,"")</f>
        <v/>
      </c>
      <c r="X72" s="30" t="str">
        <f aca="false">IF(AND(ISNUMBER(V72),N(J72)&gt;0),(J72-V72-J72*Parametros!$B$8)/J72,"")</f>
        <v/>
      </c>
      <c r="Y72" s="10" t="str">
        <f aca="false">IF(AND(ISNUMBER(V72),N(J72)&gt;0),J72-V72-J72*Parametros!$B$8,"")</f>
        <v/>
      </c>
      <c r="Z72" s="29" t="str">
        <f aca="false">IF(AND(ISNUMBER(P72),M72&lt;&gt;""),IFERROR(1/(P72*INDEX(Telas!$G$6:$G$105,MATCH(M72,Telas!$A$6:$A$105,0))),""),"")</f>
        <v/>
      </c>
      <c r="AA72" s="7" t="str">
        <f aca="false">IF($E72="","",IF(ISNUMBER(V72),"OK",IF(Q72="","Precio o peso por metro de "&amp;M72&amp;". ","")&amp;IFERROR(INDEX(Recetas!$AG$6:$AG$115,MATCH($E72,Recetas!$A$6:$A$115,0)),"Molde no existe en Recetas.")))</f>
        <v/>
      </c>
    </row>
    <row r="73" customFormat="false" ht="15" hidden="false" customHeight="false" outlineLevel="0" collapsed="false">
      <c r="A73" s="27" t="s">
        <v>396</v>
      </c>
      <c r="B73" s="27" t="s">
        <v>397</v>
      </c>
      <c r="C73" s="27" t="s">
        <v>248</v>
      </c>
      <c r="D73" s="27" t="n">
        <v>3</v>
      </c>
      <c r="E73" s="27"/>
      <c r="F73" s="8"/>
      <c r="G73" s="8"/>
      <c r="H73" s="8"/>
      <c r="I73" s="15"/>
      <c r="J73" s="15" t="n">
        <v>16723</v>
      </c>
      <c r="K73" s="27" t="s">
        <v>249</v>
      </c>
      <c r="L73" s="27" t="s">
        <v>259</v>
      </c>
      <c r="M73" s="7" t="str">
        <f aca="false">IF($E73="","",IF(F73="",IFERROR(INDEX(Recetas!$K$6:$K$115,MATCH($E73,Recetas!$A$6:$A$115,0))&amp;"",""),F73))</f>
        <v/>
      </c>
      <c r="N73" s="7" t="str">
        <f aca="false">IF($E73="","",IF(AND(G73="",N(IFERROR(INDEX(Recetas!$T$6:$T$115,MATCH($E73,Recetas!$A$6:$A$115,0)),1))=0),"—",IF(G73="",IFERROR(INDEX(Recetas!$L$6:$L$115,MATCH($E73,Recetas!$A$6:$A$115,0))&amp;"",""),G73)))</f>
        <v/>
      </c>
      <c r="O73" s="7" t="str">
        <f aca="false">IF($E73="","",IF(AND(H73="",N(IFERROR(INDEX(Recetas!$W$6:$W$115,MATCH($E73,Recetas!$A$6:$A$115,0)),1))=0),"—",IF(H73="",IFERROR(IF(INDEX(Recetas!$M$6:$M$115,MATCH($E73,Recetas!$A$6:$A$115,0))&amp;""="",M73,INDEX(Recetas!$M$6:$M$115,MATCH($E73,Recetas!$A$6:$A$115,0))&amp;""),""),H73)))</f>
        <v/>
      </c>
      <c r="P73" s="9" t="str">
        <f aca="false">IF($E73="","",IFERROR(INDEX(Recetas!$Q$6:$Q$115,MATCH($E73,Recetas!$A$6:$A$115,0)),""))</f>
        <v/>
      </c>
      <c r="Q73" s="10" t="str">
        <f aca="false">IF($E73="","",IFERROR(INDEX(Telas!$I$6:$I$105,MATCH(M73,Telas!$A$6:$A$105,0)),""))</f>
        <v/>
      </c>
      <c r="R73" s="10" t="str">
        <f aca="false">IF($E73="","",IFERROR(IF(ISNUMBER(P73),IF(P73=0,0,P73*INDEX(Telas!$I$6:$I$105,MATCH(M73,Telas!$A$6:$A$105,0))),NA())+IF(ISNUMBER(INDEX(Recetas!$T$6:$T$115,MATCH($E73,Recetas!$A$6:$A$115,0))),IF(INDEX(Recetas!$T$6:$T$115,MATCH($E73,Recetas!$A$6:$A$115,0))=0,0,INDEX(Recetas!$T$6:$T$115,MATCH($E73,Recetas!$A$6:$A$115,0))*INDEX(Telas!$I$6:$I$105,MATCH(N73,Telas!$A$6:$A$105,0))),NA())+IF(ISNUMBER(INDEX(Recetas!$W$6:$W$115,MATCH($E73,Recetas!$A$6:$A$115,0))),IF(INDEX(Recetas!$W$6:$W$115,MATCH($E73,Recetas!$A$6:$A$115,0))=0,0,INDEX(Recetas!$W$6:$W$115,MATCH($E73,Recetas!$A$6:$A$115,0))*INDEX(Telas!$I$6:$I$105,MATCH(O73,Telas!$A$6:$A$105,0))),NA()),""))</f>
        <v/>
      </c>
      <c r="S73" s="10" t="str">
        <f aca="false">IF($E73="","",IFERROR(INDEX(Recetas!$AA$6:$AA$115,MATCH($E73,Recetas!$A$6:$A$115,0))*1,""))</f>
        <v/>
      </c>
      <c r="T73" s="10" t="str">
        <f aca="false">IF($E73="","",IFERROR(INDEX(Recetas!$AB$6:$AB$115,MATCH($E73,Recetas!$A$6:$A$115,0))*1,""))</f>
        <v/>
      </c>
      <c r="U73" s="10" t="str">
        <f aca="false">IF($E73="","",IFERROR(INDEX(Recetas!$AC$6:$AC$115,MATCH($E73,Recetas!$A$6:$A$115,0))+N(I73),""))</f>
        <v/>
      </c>
      <c r="V73" s="11" t="str">
        <f aca="false">IF($E73="","",IFERROR(R73+S73+T73+U73,""))</f>
        <v/>
      </c>
      <c r="W73" s="11" t="str">
        <f aca="false">IF(ISNUMBER(V73),V73*Parametros!$B$12,"")</f>
        <v/>
      </c>
      <c r="X73" s="30" t="str">
        <f aca="false">IF(AND(ISNUMBER(V73),N(J73)&gt;0),(J73-V73-J73*Parametros!$B$8)/J73,"")</f>
        <v/>
      </c>
      <c r="Y73" s="10" t="str">
        <f aca="false">IF(AND(ISNUMBER(V73),N(J73)&gt;0),J73-V73-J73*Parametros!$B$8,"")</f>
        <v/>
      </c>
      <c r="Z73" s="29" t="str">
        <f aca="false">IF(AND(ISNUMBER(P73),M73&lt;&gt;""),IFERROR(1/(P73*INDEX(Telas!$G$6:$G$105,MATCH(M73,Telas!$A$6:$A$105,0))),""),"")</f>
        <v/>
      </c>
      <c r="AA73" s="7" t="str">
        <f aca="false">IF($E73="","",IF(ISNUMBER(V73),"OK",IF(Q73="","Precio o peso por metro de "&amp;M73&amp;". ","")&amp;IFERROR(INDEX(Recetas!$AG$6:$AG$115,MATCH($E73,Recetas!$A$6:$A$115,0)),"Molde no existe en Recetas.")))</f>
        <v/>
      </c>
    </row>
    <row r="74" customFormat="false" ht="15" hidden="false" customHeight="false" outlineLevel="0" collapsed="false">
      <c r="A74" s="27" t="s">
        <v>398</v>
      </c>
      <c r="B74" s="27" t="s">
        <v>399</v>
      </c>
      <c r="C74" s="27" t="s">
        <v>268</v>
      </c>
      <c r="D74" s="27" t="n">
        <v>2</v>
      </c>
      <c r="E74" s="27"/>
      <c r="F74" s="8"/>
      <c r="G74" s="8"/>
      <c r="H74" s="8"/>
      <c r="I74" s="15"/>
      <c r="J74" s="15" t="n">
        <v>27647</v>
      </c>
      <c r="K74" s="27" t="s">
        <v>249</v>
      </c>
      <c r="L74" s="27" t="s">
        <v>259</v>
      </c>
      <c r="M74" s="7" t="str">
        <f aca="false">IF($E74="","",IF(F74="",IFERROR(INDEX(Recetas!$K$6:$K$115,MATCH($E74,Recetas!$A$6:$A$115,0))&amp;"",""),F74))</f>
        <v/>
      </c>
      <c r="N74" s="7" t="str">
        <f aca="false">IF($E74="","",IF(AND(G74="",N(IFERROR(INDEX(Recetas!$T$6:$T$115,MATCH($E74,Recetas!$A$6:$A$115,0)),1))=0),"—",IF(G74="",IFERROR(INDEX(Recetas!$L$6:$L$115,MATCH($E74,Recetas!$A$6:$A$115,0))&amp;"",""),G74)))</f>
        <v/>
      </c>
      <c r="O74" s="7" t="str">
        <f aca="false">IF($E74="","",IF(AND(H74="",N(IFERROR(INDEX(Recetas!$W$6:$W$115,MATCH($E74,Recetas!$A$6:$A$115,0)),1))=0),"—",IF(H74="",IFERROR(IF(INDEX(Recetas!$M$6:$M$115,MATCH($E74,Recetas!$A$6:$A$115,0))&amp;""="",M74,INDEX(Recetas!$M$6:$M$115,MATCH($E74,Recetas!$A$6:$A$115,0))&amp;""),""),H74)))</f>
        <v/>
      </c>
      <c r="P74" s="9" t="str">
        <f aca="false">IF($E74="","",IFERROR(INDEX(Recetas!$Q$6:$Q$115,MATCH($E74,Recetas!$A$6:$A$115,0)),""))</f>
        <v/>
      </c>
      <c r="Q74" s="10" t="str">
        <f aca="false">IF($E74="","",IFERROR(INDEX(Telas!$I$6:$I$105,MATCH(M74,Telas!$A$6:$A$105,0)),""))</f>
        <v/>
      </c>
      <c r="R74" s="10" t="str">
        <f aca="false">IF($E74="","",IFERROR(IF(ISNUMBER(P74),IF(P74=0,0,P74*INDEX(Telas!$I$6:$I$105,MATCH(M74,Telas!$A$6:$A$105,0))),NA())+IF(ISNUMBER(INDEX(Recetas!$T$6:$T$115,MATCH($E74,Recetas!$A$6:$A$115,0))),IF(INDEX(Recetas!$T$6:$T$115,MATCH($E74,Recetas!$A$6:$A$115,0))=0,0,INDEX(Recetas!$T$6:$T$115,MATCH($E74,Recetas!$A$6:$A$115,0))*INDEX(Telas!$I$6:$I$105,MATCH(N74,Telas!$A$6:$A$105,0))),NA())+IF(ISNUMBER(INDEX(Recetas!$W$6:$W$115,MATCH($E74,Recetas!$A$6:$A$115,0))),IF(INDEX(Recetas!$W$6:$W$115,MATCH($E74,Recetas!$A$6:$A$115,0))=0,0,INDEX(Recetas!$W$6:$W$115,MATCH($E74,Recetas!$A$6:$A$115,0))*INDEX(Telas!$I$6:$I$105,MATCH(O74,Telas!$A$6:$A$105,0))),NA()),""))</f>
        <v/>
      </c>
      <c r="S74" s="10" t="str">
        <f aca="false">IF($E74="","",IFERROR(INDEX(Recetas!$AA$6:$AA$115,MATCH($E74,Recetas!$A$6:$A$115,0))*1,""))</f>
        <v/>
      </c>
      <c r="T74" s="10" t="str">
        <f aca="false">IF($E74="","",IFERROR(INDEX(Recetas!$AB$6:$AB$115,MATCH($E74,Recetas!$A$6:$A$115,0))*1,""))</f>
        <v/>
      </c>
      <c r="U74" s="10" t="str">
        <f aca="false">IF($E74="","",IFERROR(INDEX(Recetas!$AC$6:$AC$115,MATCH($E74,Recetas!$A$6:$A$115,0))+N(I74),""))</f>
        <v/>
      </c>
      <c r="V74" s="11" t="str">
        <f aca="false">IF($E74="","",IFERROR(R74+S74+T74+U74,""))</f>
        <v/>
      </c>
      <c r="W74" s="11" t="str">
        <f aca="false">IF(ISNUMBER(V74),V74*Parametros!$B$12,"")</f>
        <v/>
      </c>
      <c r="X74" s="30" t="str">
        <f aca="false">IF(AND(ISNUMBER(V74),N(J74)&gt;0),(J74-V74-J74*Parametros!$B$8)/J74,"")</f>
        <v/>
      </c>
      <c r="Y74" s="10" t="str">
        <f aca="false">IF(AND(ISNUMBER(V74),N(J74)&gt;0),J74-V74-J74*Parametros!$B$8,"")</f>
        <v/>
      </c>
      <c r="Z74" s="29" t="str">
        <f aca="false">IF(AND(ISNUMBER(P74),M74&lt;&gt;""),IFERROR(1/(P74*INDEX(Telas!$G$6:$G$105,MATCH(M74,Telas!$A$6:$A$105,0))),""),"")</f>
        <v/>
      </c>
      <c r="AA74" s="7" t="str">
        <f aca="false">IF($E74="","",IF(ISNUMBER(V74),"OK",IF(Q74="","Precio o peso por metro de "&amp;M74&amp;". ","")&amp;IFERROR(INDEX(Recetas!$AG$6:$AG$115,MATCH($E74,Recetas!$A$6:$A$115,0)),"Molde no existe en Recetas.")))</f>
        <v/>
      </c>
    </row>
    <row r="75" customFormat="false" ht="15" hidden="false" customHeight="false" outlineLevel="0" collapsed="false">
      <c r="A75" s="27" t="s">
        <v>400</v>
      </c>
      <c r="B75" s="27" t="s">
        <v>401</v>
      </c>
      <c r="C75" s="27" t="s">
        <v>248</v>
      </c>
      <c r="D75" s="27" t="n">
        <v>1</v>
      </c>
      <c r="E75" s="27"/>
      <c r="F75" s="8"/>
      <c r="G75" s="8"/>
      <c r="H75" s="8"/>
      <c r="I75" s="15"/>
      <c r="J75" s="15" t="n">
        <v>19244</v>
      </c>
      <c r="K75" s="27" t="s">
        <v>249</v>
      </c>
      <c r="L75" s="27" t="s">
        <v>259</v>
      </c>
      <c r="M75" s="7" t="str">
        <f aca="false">IF($E75="","",IF(F75="",IFERROR(INDEX(Recetas!$K$6:$K$115,MATCH($E75,Recetas!$A$6:$A$115,0))&amp;"",""),F75))</f>
        <v/>
      </c>
      <c r="N75" s="7" t="str">
        <f aca="false">IF($E75="","",IF(AND(G75="",N(IFERROR(INDEX(Recetas!$T$6:$T$115,MATCH($E75,Recetas!$A$6:$A$115,0)),1))=0),"—",IF(G75="",IFERROR(INDEX(Recetas!$L$6:$L$115,MATCH($E75,Recetas!$A$6:$A$115,0))&amp;"",""),G75)))</f>
        <v/>
      </c>
      <c r="O75" s="7" t="str">
        <f aca="false">IF($E75="","",IF(AND(H75="",N(IFERROR(INDEX(Recetas!$W$6:$W$115,MATCH($E75,Recetas!$A$6:$A$115,0)),1))=0),"—",IF(H75="",IFERROR(IF(INDEX(Recetas!$M$6:$M$115,MATCH($E75,Recetas!$A$6:$A$115,0))&amp;""="",M75,INDEX(Recetas!$M$6:$M$115,MATCH($E75,Recetas!$A$6:$A$115,0))&amp;""),""),H75)))</f>
        <v/>
      </c>
      <c r="P75" s="9" t="str">
        <f aca="false">IF($E75="","",IFERROR(INDEX(Recetas!$Q$6:$Q$115,MATCH($E75,Recetas!$A$6:$A$115,0)),""))</f>
        <v/>
      </c>
      <c r="Q75" s="10" t="str">
        <f aca="false">IF($E75="","",IFERROR(INDEX(Telas!$I$6:$I$105,MATCH(M75,Telas!$A$6:$A$105,0)),""))</f>
        <v/>
      </c>
      <c r="R75" s="10" t="str">
        <f aca="false">IF($E75="","",IFERROR(IF(ISNUMBER(P75),IF(P75=0,0,P75*INDEX(Telas!$I$6:$I$105,MATCH(M75,Telas!$A$6:$A$105,0))),NA())+IF(ISNUMBER(INDEX(Recetas!$T$6:$T$115,MATCH($E75,Recetas!$A$6:$A$115,0))),IF(INDEX(Recetas!$T$6:$T$115,MATCH($E75,Recetas!$A$6:$A$115,0))=0,0,INDEX(Recetas!$T$6:$T$115,MATCH($E75,Recetas!$A$6:$A$115,0))*INDEX(Telas!$I$6:$I$105,MATCH(N75,Telas!$A$6:$A$105,0))),NA())+IF(ISNUMBER(INDEX(Recetas!$W$6:$W$115,MATCH($E75,Recetas!$A$6:$A$115,0))),IF(INDEX(Recetas!$W$6:$W$115,MATCH($E75,Recetas!$A$6:$A$115,0))=0,0,INDEX(Recetas!$W$6:$W$115,MATCH($E75,Recetas!$A$6:$A$115,0))*INDEX(Telas!$I$6:$I$105,MATCH(O75,Telas!$A$6:$A$105,0))),NA()),""))</f>
        <v/>
      </c>
      <c r="S75" s="10" t="str">
        <f aca="false">IF($E75="","",IFERROR(INDEX(Recetas!$AA$6:$AA$115,MATCH($E75,Recetas!$A$6:$A$115,0))*1,""))</f>
        <v/>
      </c>
      <c r="T75" s="10" t="str">
        <f aca="false">IF($E75="","",IFERROR(INDEX(Recetas!$AB$6:$AB$115,MATCH($E75,Recetas!$A$6:$A$115,0))*1,""))</f>
        <v/>
      </c>
      <c r="U75" s="10" t="str">
        <f aca="false">IF($E75="","",IFERROR(INDEX(Recetas!$AC$6:$AC$115,MATCH($E75,Recetas!$A$6:$A$115,0))+N(I75),""))</f>
        <v/>
      </c>
      <c r="V75" s="11" t="str">
        <f aca="false">IF($E75="","",IFERROR(R75+S75+T75+U75,""))</f>
        <v/>
      </c>
      <c r="W75" s="11" t="str">
        <f aca="false">IF(ISNUMBER(V75),V75*Parametros!$B$12,"")</f>
        <v/>
      </c>
      <c r="X75" s="30" t="str">
        <f aca="false">IF(AND(ISNUMBER(V75),N(J75)&gt;0),(J75-V75-J75*Parametros!$B$8)/J75,"")</f>
        <v/>
      </c>
      <c r="Y75" s="10" t="str">
        <f aca="false">IF(AND(ISNUMBER(V75),N(J75)&gt;0),J75-V75-J75*Parametros!$B$8,"")</f>
        <v/>
      </c>
      <c r="Z75" s="29" t="str">
        <f aca="false">IF(AND(ISNUMBER(P75),M75&lt;&gt;""),IFERROR(1/(P75*INDEX(Telas!$G$6:$G$105,MATCH(M75,Telas!$A$6:$A$105,0))),""),"")</f>
        <v/>
      </c>
      <c r="AA75" s="7" t="str">
        <f aca="false">IF($E75="","",IF(ISNUMBER(V75),"OK",IF(Q75="","Precio o peso por metro de "&amp;M75&amp;". ","")&amp;IFERROR(INDEX(Recetas!$AG$6:$AG$115,MATCH($E75,Recetas!$A$6:$A$115,0)),"Molde no existe en Recetas.")))</f>
        <v/>
      </c>
    </row>
    <row r="76" customFormat="false" ht="15" hidden="false" customHeight="false" outlineLevel="0" collapsed="false">
      <c r="A76" s="27" t="s">
        <v>402</v>
      </c>
      <c r="B76" s="27" t="s">
        <v>403</v>
      </c>
      <c r="C76" s="27" t="s">
        <v>248</v>
      </c>
      <c r="D76" s="27" t="n">
        <v>1</v>
      </c>
      <c r="E76" s="27"/>
      <c r="F76" s="8"/>
      <c r="G76" s="8"/>
      <c r="H76" s="8"/>
      <c r="I76" s="15"/>
      <c r="J76" s="15" t="n">
        <v>20084</v>
      </c>
      <c r="K76" s="27" t="s">
        <v>249</v>
      </c>
      <c r="L76" s="27" t="s">
        <v>259</v>
      </c>
      <c r="M76" s="7" t="str">
        <f aca="false">IF($E76="","",IF(F76="",IFERROR(INDEX(Recetas!$K$6:$K$115,MATCH($E76,Recetas!$A$6:$A$115,0))&amp;"",""),F76))</f>
        <v/>
      </c>
      <c r="N76" s="7" t="str">
        <f aca="false">IF($E76="","",IF(AND(G76="",N(IFERROR(INDEX(Recetas!$T$6:$T$115,MATCH($E76,Recetas!$A$6:$A$115,0)),1))=0),"—",IF(G76="",IFERROR(INDEX(Recetas!$L$6:$L$115,MATCH($E76,Recetas!$A$6:$A$115,0))&amp;"",""),G76)))</f>
        <v/>
      </c>
      <c r="O76" s="7" t="str">
        <f aca="false">IF($E76="","",IF(AND(H76="",N(IFERROR(INDEX(Recetas!$W$6:$W$115,MATCH($E76,Recetas!$A$6:$A$115,0)),1))=0),"—",IF(H76="",IFERROR(IF(INDEX(Recetas!$M$6:$M$115,MATCH($E76,Recetas!$A$6:$A$115,0))&amp;""="",M76,INDEX(Recetas!$M$6:$M$115,MATCH($E76,Recetas!$A$6:$A$115,0))&amp;""),""),H76)))</f>
        <v/>
      </c>
      <c r="P76" s="9" t="str">
        <f aca="false">IF($E76="","",IFERROR(INDEX(Recetas!$Q$6:$Q$115,MATCH($E76,Recetas!$A$6:$A$115,0)),""))</f>
        <v/>
      </c>
      <c r="Q76" s="10" t="str">
        <f aca="false">IF($E76="","",IFERROR(INDEX(Telas!$I$6:$I$105,MATCH(M76,Telas!$A$6:$A$105,0)),""))</f>
        <v/>
      </c>
      <c r="R76" s="10" t="str">
        <f aca="false">IF($E76="","",IFERROR(IF(ISNUMBER(P76),IF(P76=0,0,P76*INDEX(Telas!$I$6:$I$105,MATCH(M76,Telas!$A$6:$A$105,0))),NA())+IF(ISNUMBER(INDEX(Recetas!$T$6:$T$115,MATCH($E76,Recetas!$A$6:$A$115,0))),IF(INDEX(Recetas!$T$6:$T$115,MATCH($E76,Recetas!$A$6:$A$115,0))=0,0,INDEX(Recetas!$T$6:$T$115,MATCH($E76,Recetas!$A$6:$A$115,0))*INDEX(Telas!$I$6:$I$105,MATCH(N76,Telas!$A$6:$A$105,0))),NA())+IF(ISNUMBER(INDEX(Recetas!$W$6:$W$115,MATCH($E76,Recetas!$A$6:$A$115,0))),IF(INDEX(Recetas!$W$6:$W$115,MATCH($E76,Recetas!$A$6:$A$115,0))=0,0,INDEX(Recetas!$W$6:$W$115,MATCH($E76,Recetas!$A$6:$A$115,0))*INDEX(Telas!$I$6:$I$105,MATCH(O76,Telas!$A$6:$A$105,0))),NA()),""))</f>
        <v/>
      </c>
      <c r="S76" s="10" t="str">
        <f aca="false">IF($E76="","",IFERROR(INDEX(Recetas!$AA$6:$AA$115,MATCH($E76,Recetas!$A$6:$A$115,0))*1,""))</f>
        <v/>
      </c>
      <c r="T76" s="10" t="str">
        <f aca="false">IF($E76="","",IFERROR(INDEX(Recetas!$AB$6:$AB$115,MATCH($E76,Recetas!$A$6:$A$115,0))*1,""))</f>
        <v/>
      </c>
      <c r="U76" s="10" t="str">
        <f aca="false">IF($E76="","",IFERROR(INDEX(Recetas!$AC$6:$AC$115,MATCH($E76,Recetas!$A$6:$A$115,0))+N(I76),""))</f>
        <v/>
      </c>
      <c r="V76" s="11" t="str">
        <f aca="false">IF($E76="","",IFERROR(R76+S76+T76+U76,""))</f>
        <v/>
      </c>
      <c r="W76" s="11" t="str">
        <f aca="false">IF(ISNUMBER(V76),V76*Parametros!$B$12,"")</f>
        <v/>
      </c>
      <c r="X76" s="30" t="str">
        <f aca="false">IF(AND(ISNUMBER(V76),N(J76)&gt;0),(J76-V76-J76*Parametros!$B$8)/J76,"")</f>
        <v/>
      </c>
      <c r="Y76" s="10" t="str">
        <f aca="false">IF(AND(ISNUMBER(V76),N(J76)&gt;0),J76-V76-J76*Parametros!$B$8,"")</f>
        <v/>
      </c>
      <c r="Z76" s="29" t="str">
        <f aca="false">IF(AND(ISNUMBER(P76),M76&lt;&gt;""),IFERROR(1/(P76*INDEX(Telas!$G$6:$G$105,MATCH(M76,Telas!$A$6:$A$105,0))),""),"")</f>
        <v/>
      </c>
      <c r="AA76" s="7" t="str">
        <f aca="false">IF($E76="","",IF(ISNUMBER(V76),"OK",IF(Q76="","Precio o peso por metro de "&amp;M76&amp;". ","")&amp;IFERROR(INDEX(Recetas!$AG$6:$AG$115,MATCH($E76,Recetas!$A$6:$A$115,0)),"Molde no existe en Recetas.")))</f>
        <v/>
      </c>
    </row>
    <row r="77" customFormat="false" ht="15" hidden="false" customHeight="false" outlineLevel="0" collapsed="false">
      <c r="A77" s="27" t="s">
        <v>404</v>
      </c>
      <c r="B77" s="27" t="s">
        <v>405</v>
      </c>
      <c r="C77" s="27" t="s">
        <v>248</v>
      </c>
      <c r="D77" s="27" t="n">
        <v>1</v>
      </c>
      <c r="E77" s="27"/>
      <c r="F77" s="8"/>
      <c r="G77" s="8"/>
      <c r="H77" s="8"/>
      <c r="I77" s="15"/>
      <c r="J77" s="15" t="n">
        <v>21765</v>
      </c>
      <c r="K77" s="27" t="s">
        <v>249</v>
      </c>
      <c r="L77" s="27" t="s">
        <v>259</v>
      </c>
      <c r="M77" s="7" t="str">
        <f aca="false">IF($E77="","",IF(F77="",IFERROR(INDEX(Recetas!$K$6:$K$115,MATCH($E77,Recetas!$A$6:$A$115,0))&amp;"",""),F77))</f>
        <v/>
      </c>
      <c r="N77" s="7" t="str">
        <f aca="false">IF($E77="","",IF(AND(G77="",N(IFERROR(INDEX(Recetas!$T$6:$T$115,MATCH($E77,Recetas!$A$6:$A$115,0)),1))=0),"—",IF(G77="",IFERROR(INDEX(Recetas!$L$6:$L$115,MATCH($E77,Recetas!$A$6:$A$115,0))&amp;"",""),G77)))</f>
        <v/>
      </c>
      <c r="O77" s="7" t="str">
        <f aca="false">IF($E77="","",IF(AND(H77="",N(IFERROR(INDEX(Recetas!$W$6:$W$115,MATCH($E77,Recetas!$A$6:$A$115,0)),1))=0),"—",IF(H77="",IFERROR(IF(INDEX(Recetas!$M$6:$M$115,MATCH($E77,Recetas!$A$6:$A$115,0))&amp;""="",M77,INDEX(Recetas!$M$6:$M$115,MATCH($E77,Recetas!$A$6:$A$115,0))&amp;""),""),H77)))</f>
        <v/>
      </c>
      <c r="P77" s="9" t="str">
        <f aca="false">IF($E77="","",IFERROR(INDEX(Recetas!$Q$6:$Q$115,MATCH($E77,Recetas!$A$6:$A$115,0)),""))</f>
        <v/>
      </c>
      <c r="Q77" s="10" t="str">
        <f aca="false">IF($E77="","",IFERROR(INDEX(Telas!$I$6:$I$105,MATCH(M77,Telas!$A$6:$A$105,0)),""))</f>
        <v/>
      </c>
      <c r="R77" s="10" t="str">
        <f aca="false">IF($E77="","",IFERROR(IF(ISNUMBER(P77),IF(P77=0,0,P77*INDEX(Telas!$I$6:$I$105,MATCH(M77,Telas!$A$6:$A$105,0))),NA())+IF(ISNUMBER(INDEX(Recetas!$T$6:$T$115,MATCH($E77,Recetas!$A$6:$A$115,0))),IF(INDEX(Recetas!$T$6:$T$115,MATCH($E77,Recetas!$A$6:$A$115,0))=0,0,INDEX(Recetas!$T$6:$T$115,MATCH($E77,Recetas!$A$6:$A$115,0))*INDEX(Telas!$I$6:$I$105,MATCH(N77,Telas!$A$6:$A$105,0))),NA())+IF(ISNUMBER(INDEX(Recetas!$W$6:$W$115,MATCH($E77,Recetas!$A$6:$A$115,0))),IF(INDEX(Recetas!$W$6:$W$115,MATCH($E77,Recetas!$A$6:$A$115,0))=0,0,INDEX(Recetas!$W$6:$W$115,MATCH($E77,Recetas!$A$6:$A$115,0))*INDEX(Telas!$I$6:$I$105,MATCH(O77,Telas!$A$6:$A$105,0))),NA()),""))</f>
        <v/>
      </c>
      <c r="S77" s="10" t="str">
        <f aca="false">IF($E77="","",IFERROR(INDEX(Recetas!$AA$6:$AA$115,MATCH($E77,Recetas!$A$6:$A$115,0))*1,""))</f>
        <v/>
      </c>
      <c r="T77" s="10" t="str">
        <f aca="false">IF($E77="","",IFERROR(INDEX(Recetas!$AB$6:$AB$115,MATCH($E77,Recetas!$A$6:$A$115,0))*1,""))</f>
        <v/>
      </c>
      <c r="U77" s="10" t="str">
        <f aca="false">IF($E77="","",IFERROR(INDEX(Recetas!$AC$6:$AC$115,MATCH($E77,Recetas!$A$6:$A$115,0))+N(I77),""))</f>
        <v/>
      </c>
      <c r="V77" s="11" t="str">
        <f aca="false">IF($E77="","",IFERROR(R77+S77+T77+U77,""))</f>
        <v/>
      </c>
      <c r="W77" s="11" t="str">
        <f aca="false">IF(ISNUMBER(V77),V77*Parametros!$B$12,"")</f>
        <v/>
      </c>
      <c r="X77" s="30" t="str">
        <f aca="false">IF(AND(ISNUMBER(V77),N(J77)&gt;0),(J77-V77-J77*Parametros!$B$8)/J77,"")</f>
        <v/>
      </c>
      <c r="Y77" s="10" t="str">
        <f aca="false">IF(AND(ISNUMBER(V77),N(J77)&gt;0),J77-V77-J77*Parametros!$B$8,"")</f>
        <v/>
      </c>
      <c r="Z77" s="29" t="str">
        <f aca="false">IF(AND(ISNUMBER(P77),M77&lt;&gt;""),IFERROR(1/(P77*INDEX(Telas!$G$6:$G$105,MATCH(M77,Telas!$A$6:$A$105,0))),""),"")</f>
        <v/>
      </c>
      <c r="AA77" s="7" t="str">
        <f aca="false">IF($E77="","",IF(ISNUMBER(V77),"OK",IF(Q77="","Precio o peso por metro de "&amp;M77&amp;". ","")&amp;IFERROR(INDEX(Recetas!$AG$6:$AG$115,MATCH($E77,Recetas!$A$6:$A$115,0)),"Molde no existe en Recetas.")))</f>
        <v/>
      </c>
    </row>
    <row r="78" customFormat="false" ht="15" hidden="false" customHeight="false" outlineLevel="0" collapsed="false">
      <c r="A78" s="27" t="s">
        <v>406</v>
      </c>
      <c r="B78" s="27" t="s">
        <v>407</v>
      </c>
      <c r="C78" s="27" t="s">
        <v>248</v>
      </c>
      <c r="D78" s="27" t="n">
        <v>1</v>
      </c>
      <c r="E78" s="27"/>
      <c r="F78" s="8"/>
      <c r="G78" s="8"/>
      <c r="H78" s="8"/>
      <c r="I78" s="15"/>
      <c r="J78" s="15" t="n">
        <v>11681</v>
      </c>
      <c r="K78" s="27" t="s">
        <v>249</v>
      </c>
      <c r="L78" s="27" t="s">
        <v>259</v>
      </c>
      <c r="M78" s="7" t="str">
        <f aca="false">IF($E78="","",IF(F78="",IFERROR(INDEX(Recetas!$K$6:$K$115,MATCH($E78,Recetas!$A$6:$A$115,0))&amp;"",""),F78))</f>
        <v/>
      </c>
      <c r="N78" s="7" t="str">
        <f aca="false">IF($E78="","",IF(AND(G78="",N(IFERROR(INDEX(Recetas!$T$6:$T$115,MATCH($E78,Recetas!$A$6:$A$115,0)),1))=0),"—",IF(G78="",IFERROR(INDEX(Recetas!$L$6:$L$115,MATCH($E78,Recetas!$A$6:$A$115,0))&amp;"",""),G78)))</f>
        <v/>
      </c>
      <c r="O78" s="7" t="str">
        <f aca="false">IF($E78="","",IF(AND(H78="",N(IFERROR(INDEX(Recetas!$W$6:$W$115,MATCH($E78,Recetas!$A$6:$A$115,0)),1))=0),"—",IF(H78="",IFERROR(IF(INDEX(Recetas!$M$6:$M$115,MATCH($E78,Recetas!$A$6:$A$115,0))&amp;""="",M78,INDEX(Recetas!$M$6:$M$115,MATCH($E78,Recetas!$A$6:$A$115,0))&amp;""),""),H78)))</f>
        <v/>
      </c>
      <c r="P78" s="9" t="str">
        <f aca="false">IF($E78="","",IFERROR(INDEX(Recetas!$Q$6:$Q$115,MATCH($E78,Recetas!$A$6:$A$115,0)),""))</f>
        <v/>
      </c>
      <c r="Q78" s="10" t="str">
        <f aca="false">IF($E78="","",IFERROR(INDEX(Telas!$I$6:$I$105,MATCH(M78,Telas!$A$6:$A$105,0)),""))</f>
        <v/>
      </c>
      <c r="R78" s="10" t="str">
        <f aca="false">IF($E78="","",IFERROR(IF(ISNUMBER(P78),IF(P78=0,0,P78*INDEX(Telas!$I$6:$I$105,MATCH(M78,Telas!$A$6:$A$105,0))),NA())+IF(ISNUMBER(INDEX(Recetas!$T$6:$T$115,MATCH($E78,Recetas!$A$6:$A$115,0))),IF(INDEX(Recetas!$T$6:$T$115,MATCH($E78,Recetas!$A$6:$A$115,0))=0,0,INDEX(Recetas!$T$6:$T$115,MATCH($E78,Recetas!$A$6:$A$115,0))*INDEX(Telas!$I$6:$I$105,MATCH(N78,Telas!$A$6:$A$105,0))),NA())+IF(ISNUMBER(INDEX(Recetas!$W$6:$W$115,MATCH($E78,Recetas!$A$6:$A$115,0))),IF(INDEX(Recetas!$W$6:$W$115,MATCH($E78,Recetas!$A$6:$A$115,0))=0,0,INDEX(Recetas!$W$6:$W$115,MATCH($E78,Recetas!$A$6:$A$115,0))*INDEX(Telas!$I$6:$I$105,MATCH(O78,Telas!$A$6:$A$105,0))),NA()),""))</f>
        <v/>
      </c>
      <c r="S78" s="10" t="str">
        <f aca="false">IF($E78="","",IFERROR(INDEX(Recetas!$AA$6:$AA$115,MATCH($E78,Recetas!$A$6:$A$115,0))*1,""))</f>
        <v/>
      </c>
      <c r="T78" s="10" t="str">
        <f aca="false">IF($E78="","",IFERROR(INDEX(Recetas!$AB$6:$AB$115,MATCH($E78,Recetas!$A$6:$A$115,0))*1,""))</f>
        <v/>
      </c>
      <c r="U78" s="10" t="str">
        <f aca="false">IF($E78="","",IFERROR(INDEX(Recetas!$AC$6:$AC$115,MATCH($E78,Recetas!$A$6:$A$115,0))+N(I78),""))</f>
        <v/>
      </c>
      <c r="V78" s="11" t="str">
        <f aca="false">IF($E78="","",IFERROR(R78+S78+T78+U78,""))</f>
        <v/>
      </c>
      <c r="W78" s="11" t="str">
        <f aca="false">IF(ISNUMBER(V78),V78*Parametros!$B$12,"")</f>
        <v/>
      </c>
      <c r="X78" s="30" t="str">
        <f aca="false">IF(AND(ISNUMBER(V78),N(J78)&gt;0),(J78-V78-J78*Parametros!$B$8)/J78,"")</f>
        <v/>
      </c>
      <c r="Y78" s="10" t="str">
        <f aca="false">IF(AND(ISNUMBER(V78),N(J78)&gt;0),J78-V78-J78*Parametros!$B$8,"")</f>
        <v/>
      </c>
      <c r="Z78" s="29" t="str">
        <f aca="false">IF(AND(ISNUMBER(P78),M78&lt;&gt;""),IFERROR(1/(P78*INDEX(Telas!$G$6:$G$105,MATCH(M78,Telas!$A$6:$A$105,0))),""),"")</f>
        <v/>
      </c>
      <c r="AA78" s="7" t="str">
        <f aca="false">IF($E78="","",IF(ISNUMBER(V78),"OK",IF(Q78="","Precio o peso por metro de "&amp;M78&amp;". ","")&amp;IFERROR(INDEX(Recetas!$AG$6:$AG$115,MATCH($E78,Recetas!$A$6:$A$115,0)),"Molde no existe en Recetas.")))</f>
        <v/>
      </c>
    </row>
    <row r="79" customFormat="false" ht="15" hidden="false" customHeight="false" outlineLevel="0" collapsed="false">
      <c r="A79" s="27" t="s">
        <v>408</v>
      </c>
      <c r="B79" s="27" t="s">
        <v>409</v>
      </c>
      <c r="C79" s="27" t="s">
        <v>268</v>
      </c>
      <c r="D79" s="27" t="n">
        <v>1</v>
      </c>
      <c r="E79" s="27"/>
      <c r="F79" s="8"/>
      <c r="G79" s="8"/>
      <c r="H79" s="8"/>
      <c r="I79" s="15"/>
      <c r="J79" s="15" t="n">
        <v>21765</v>
      </c>
      <c r="K79" s="27" t="s">
        <v>249</v>
      </c>
      <c r="L79" s="27" t="s">
        <v>259</v>
      </c>
      <c r="M79" s="7" t="str">
        <f aca="false">IF($E79="","",IF(F79="",IFERROR(INDEX(Recetas!$K$6:$K$115,MATCH($E79,Recetas!$A$6:$A$115,0))&amp;"",""),F79))</f>
        <v/>
      </c>
      <c r="N79" s="7" t="str">
        <f aca="false">IF($E79="","",IF(AND(G79="",N(IFERROR(INDEX(Recetas!$T$6:$T$115,MATCH($E79,Recetas!$A$6:$A$115,0)),1))=0),"—",IF(G79="",IFERROR(INDEX(Recetas!$L$6:$L$115,MATCH($E79,Recetas!$A$6:$A$115,0))&amp;"",""),G79)))</f>
        <v/>
      </c>
      <c r="O79" s="7" t="str">
        <f aca="false">IF($E79="","",IF(AND(H79="",N(IFERROR(INDEX(Recetas!$W$6:$W$115,MATCH($E79,Recetas!$A$6:$A$115,0)),1))=0),"—",IF(H79="",IFERROR(IF(INDEX(Recetas!$M$6:$M$115,MATCH($E79,Recetas!$A$6:$A$115,0))&amp;""="",M79,INDEX(Recetas!$M$6:$M$115,MATCH($E79,Recetas!$A$6:$A$115,0))&amp;""),""),H79)))</f>
        <v/>
      </c>
      <c r="P79" s="9" t="str">
        <f aca="false">IF($E79="","",IFERROR(INDEX(Recetas!$Q$6:$Q$115,MATCH($E79,Recetas!$A$6:$A$115,0)),""))</f>
        <v/>
      </c>
      <c r="Q79" s="10" t="str">
        <f aca="false">IF($E79="","",IFERROR(INDEX(Telas!$I$6:$I$105,MATCH(M79,Telas!$A$6:$A$105,0)),""))</f>
        <v/>
      </c>
      <c r="R79" s="10" t="str">
        <f aca="false">IF($E79="","",IFERROR(IF(ISNUMBER(P79),IF(P79=0,0,P79*INDEX(Telas!$I$6:$I$105,MATCH(M79,Telas!$A$6:$A$105,0))),NA())+IF(ISNUMBER(INDEX(Recetas!$T$6:$T$115,MATCH($E79,Recetas!$A$6:$A$115,0))),IF(INDEX(Recetas!$T$6:$T$115,MATCH($E79,Recetas!$A$6:$A$115,0))=0,0,INDEX(Recetas!$T$6:$T$115,MATCH($E79,Recetas!$A$6:$A$115,0))*INDEX(Telas!$I$6:$I$105,MATCH(N79,Telas!$A$6:$A$105,0))),NA())+IF(ISNUMBER(INDEX(Recetas!$W$6:$W$115,MATCH($E79,Recetas!$A$6:$A$115,0))),IF(INDEX(Recetas!$W$6:$W$115,MATCH($E79,Recetas!$A$6:$A$115,0))=0,0,INDEX(Recetas!$W$6:$W$115,MATCH($E79,Recetas!$A$6:$A$115,0))*INDEX(Telas!$I$6:$I$105,MATCH(O79,Telas!$A$6:$A$105,0))),NA()),""))</f>
        <v/>
      </c>
      <c r="S79" s="10" t="str">
        <f aca="false">IF($E79="","",IFERROR(INDEX(Recetas!$AA$6:$AA$115,MATCH($E79,Recetas!$A$6:$A$115,0))*1,""))</f>
        <v/>
      </c>
      <c r="T79" s="10" t="str">
        <f aca="false">IF($E79="","",IFERROR(INDEX(Recetas!$AB$6:$AB$115,MATCH($E79,Recetas!$A$6:$A$115,0))*1,""))</f>
        <v/>
      </c>
      <c r="U79" s="10" t="str">
        <f aca="false">IF($E79="","",IFERROR(INDEX(Recetas!$AC$6:$AC$115,MATCH($E79,Recetas!$A$6:$A$115,0))+N(I79),""))</f>
        <v/>
      </c>
      <c r="V79" s="11" t="str">
        <f aca="false">IF($E79="","",IFERROR(R79+S79+T79+U79,""))</f>
        <v/>
      </c>
      <c r="W79" s="11" t="str">
        <f aca="false">IF(ISNUMBER(V79),V79*Parametros!$B$12,"")</f>
        <v/>
      </c>
      <c r="X79" s="30" t="str">
        <f aca="false">IF(AND(ISNUMBER(V79),N(J79)&gt;0),(J79-V79-J79*Parametros!$B$8)/J79,"")</f>
        <v/>
      </c>
      <c r="Y79" s="10" t="str">
        <f aca="false">IF(AND(ISNUMBER(V79),N(J79)&gt;0),J79-V79-J79*Parametros!$B$8,"")</f>
        <v/>
      </c>
      <c r="Z79" s="29" t="str">
        <f aca="false">IF(AND(ISNUMBER(P79),M79&lt;&gt;""),IFERROR(1/(P79*INDEX(Telas!$G$6:$G$105,MATCH(M79,Telas!$A$6:$A$105,0))),""),"")</f>
        <v/>
      </c>
      <c r="AA79" s="7" t="str">
        <f aca="false">IF($E79="","",IF(ISNUMBER(V79),"OK",IF(Q79="","Precio o peso por metro de "&amp;M79&amp;". ","")&amp;IFERROR(INDEX(Recetas!$AG$6:$AG$115,MATCH($E79,Recetas!$A$6:$A$115,0)),"Molde no existe en Recetas.")))</f>
        <v/>
      </c>
    </row>
    <row r="80" customFormat="false" ht="15" hidden="false" customHeight="false" outlineLevel="0" collapsed="false">
      <c r="A80" s="27"/>
      <c r="B80" s="27"/>
      <c r="C80" s="27"/>
      <c r="D80" s="27"/>
      <c r="E80" s="27"/>
      <c r="F80" s="8"/>
      <c r="G80" s="8"/>
      <c r="H80" s="8"/>
      <c r="I80" s="15"/>
      <c r="J80" s="15"/>
      <c r="K80" s="27"/>
      <c r="L80" s="27"/>
      <c r="M80" s="7" t="str">
        <f aca="false">IF($E80="","",IF(F80="",IFERROR(INDEX(Recetas!$K$6:$K$115,MATCH($E80,Recetas!$A$6:$A$115,0))&amp;"",""),F80))</f>
        <v/>
      </c>
      <c r="N80" s="7" t="str">
        <f aca="false">IF($E80="","",IF(AND(G80="",N(IFERROR(INDEX(Recetas!$T$6:$T$115,MATCH($E80,Recetas!$A$6:$A$115,0)),1))=0),"—",IF(G80="",IFERROR(INDEX(Recetas!$L$6:$L$115,MATCH($E80,Recetas!$A$6:$A$115,0))&amp;"",""),G80)))</f>
        <v/>
      </c>
      <c r="O80" s="7" t="str">
        <f aca="false">IF($E80="","",IF(AND(H80="",N(IFERROR(INDEX(Recetas!$W$6:$W$115,MATCH($E80,Recetas!$A$6:$A$115,0)),1))=0),"—",IF(H80="",IFERROR(IF(INDEX(Recetas!$M$6:$M$115,MATCH($E80,Recetas!$A$6:$A$115,0))&amp;""="",M80,INDEX(Recetas!$M$6:$M$115,MATCH($E80,Recetas!$A$6:$A$115,0))&amp;""),""),H80)))</f>
        <v/>
      </c>
      <c r="P80" s="9" t="str">
        <f aca="false">IF($E80="","",IFERROR(INDEX(Recetas!$Q$6:$Q$115,MATCH($E80,Recetas!$A$6:$A$115,0)),""))</f>
        <v/>
      </c>
      <c r="Q80" s="10" t="str">
        <f aca="false">IF($E80="","",IFERROR(INDEX(Telas!$I$6:$I$105,MATCH(M80,Telas!$A$6:$A$105,0)),""))</f>
        <v/>
      </c>
      <c r="R80" s="10" t="str">
        <f aca="false">IF($E80="","",IFERROR(IF(ISNUMBER(P80),IF(P80=0,0,P80*INDEX(Telas!$I$6:$I$105,MATCH(M80,Telas!$A$6:$A$105,0))),NA())+IF(ISNUMBER(INDEX(Recetas!$T$6:$T$115,MATCH($E80,Recetas!$A$6:$A$115,0))),IF(INDEX(Recetas!$T$6:$T$115,MATCH($E80,Recetas!$A$6:$A$115,0))=0,0,INDEX(Recetas!$T$6:$T$115,MATCH($E80,Recetas!$A$6:$A$115,0))*INDEX(Telas!$I$6:$I$105,MATCH(N80,Telas!$A$6:$A$105,0))),NA())+IF(ISNUMBER(INDEX(Recetas!$W$6:$W$115,MATCH($E80,Recetas!$A$6:$A$115,0))),IF(INDEX(Recetas!$W$6:$W$115,MATCH($E80,Recetas!$A$6:$A$115,0))=0,0,INDEX(Recetas!$W$6:$W$115,MATCH($E80,Recetas!$A$6:$A$115,0))*INDEX(Telas!$I$6:$I$105,MATCH(O80,Telas!$A$6:$A$105,0))),NA()),""))</f>
        <v/>
      </c>
      <c r="S80" s="10" t="str">
        <f aca="false">IF($E80="","",IFERROR(INDEX(Recetas!$AA$6:$AA$115,MATCH($E80,Recetas!$A$6:$A$115,0))*1,""))</f>
        <v/>
      </c>
      <c r="T80" s="10" t="str">
        <f aca="false">IF($E80="","",IFERROR(INDEX(Recetas!$AB$6:$AB$115,MATCH($E80,Recetas!$A$6:$A$115,0))*1,""))</f>
        <v/>
      </c>
      <c r="U80" s="10" t="str">
        <f aca="false">IF($E80="","",IFERROR(INDEX(Recetas!$AC$6:$AC$115,MATCH($E80,Recetas!$A$6:$A$115,0))+N(I80),""))</f>
        <v/>
      </c>
      <c r="V80" s="11" t="str">
        <f aca="false">IF($E80="","",IFERROR(R80+S80+T80+U80,""))</f>
        <v/>
      </c>
      <c r="W80" s="11" t="str">
        <f aca="false">IF(ISNUMBER(V80),V80*Parametros!$B$12,"")</f>
        <v/>
      </c>
      <c r="X80" s="30" t="str">
        <f aca="false">IF(AND(ISNUMBER(V80),N(J80)&gt;0),(J80-V80-J80*Parametros!$B$8)/J80,"")</f>
        <v/>
      </c>
      <c r="Y80" s="10" t="str">
        <f aca="false">IF(AND(ISNUMBER(V80),N(J80)&gt;0),J80-V80-J80*Parametros!$B$8,"")</f>
        <v/>
      </c>
      <c r="Z80" s="29" t="str">
        <f aca="false">IF(AND(ISNUMBER(P80),M80&lt;&gt;""),IFERROR(1/(P80*INDEX(Telas!$G$6:$G$105,MATCH(M80,Telas!$A$6:$A$105,0))),""),"")</f>
        <v/>
      </c>
      <c r="AA80" s="7" t="str">
        <f aca="false">IF($E80="","",IF(ISNUMBER(V80),"OK",IF(Q80="","Precio o peso por metro de "&amp;M80&amp;". ","")&amp;IFERROR(INDEX(Recetas!$AG$6:$AG$115,MATCH($E80,Recetas!$A$6:$A$115,0)),"Molde no existe en Recetas.")))</f>
        <v/>
      </c>
    </row>
    <row r="81" customFormat="false" ht="15" hidden="false" customHeight="false" outlineLevel="0" collapsed="false">
      <c r="A81" s="27"/>
      <c r="B81" s="27"/>
      <c r="C81" s="27"/>
      <c r="D81" s="27"/>
      <c r="E81" s="27"/>
      <c r="F81" s="8"/>
      <c r="G81" s="8"/>
      <c r="H81" s="8"/>
      <c r="I81" s="15"/>
      <c r="J81" s="15"/>
      <c r="K81" s="27"/>
      <c r="L81" s="27"/>
      <c r="M81" s="7" t="str">
        <f aca="false">IF($E81="","",IF(F81="",IFERROR(INDEX(Recetas!$K$6:$K$115,MATCH($E81,Recetas!$A$6:$A$115,0))&amp;"",""),F81))</f>
        <v/>
      </c>
      <c r="N81" s="7" t="str">
        <f aca="false">IF($E81="","",IF(AND(G81="",N(IFERROR(INDEX(Recetas!$T$6:$T$115,MATCH($E81,Recetas!$A$6:$A$115,0)),1))=0),"—",IF(G81="",IFERROR(INDEX(Recetas!$L$6:$L$115,MATCH($E81,Recetas!$A$6:$A$115,0))&amp;"",""),G81)))</f>
        <v/>
      </c>
      <c r="O81" s="7" t="str">
        <f aca="false">IF($E81="","",IF(AND(H81="",N(IFERROR(INDEX(Recetas!$W$6:$W$115,MATCH($E81,Recetas!$A$6:$A$115,0)),1))=0),"—",IF(H81="",IFERROR(IF(INDEX(Recetas!$M$6:$M$115,MATCH($E81,Recetas!$A$6:$A$115,0))&amp;""="",M81,INDEX(Recetas!$M$6:$M$115,MATCH($E81,Recetas!$A$6:$A$115,0))&amp;""),""),H81)))</f>
        <v/>
      </c>
      <c r="P81" s="9" t="str">
        <f aca="false">IF($E81="","",IFERROR(INDEX(Recetas!$Q$6:$Q$115,MATCH($E81,Recetas!$A$6:$A$115,0)),""))</f>
        <v/>
      </c>
      <c r="Q81" s="10" t="str">
        <f aca="false">IF($E81="","",IFERROR(INDEX(Telas!$I$6:$I$105,MATCH(M81,Telas!$A$6:$A$105,0)),""))</f>
        <v/>
      </c>
      <c r="R81" s="10" t="str">
        <f aca="false">IF($E81="","",IFERROR(IF(ISNUMBER(P81),IF(P81=0,0,P81*INDEX(Telas!$I$6:$I$105,MATCH(M81,Telas!$A$6:$A$105,0))),NA())+IF(ISNUMBER(INDEX(Recetas!$T$6:$T$115,MATCH($E81,Recetas!$A$6:$A$115,0))),IF(INDEX(Recetas!$T$6:$T$115,MATCH($E81,Recetas!$A$6:$A$115,0))=0,0,INDEX(Recetas!$T$6:$T$115,MATCH($E81,Recetas!$A$6:$A$115,0))*INDEX(Telas!$I$6:$I$105,MATCH(N81,Telas!$A$6:$A$105,0))),NA())+IF(ISNUMBER(INDEX(Recetas!$W$6:$W$115,MATCH($E81,Recetas!$A$6:$A$115,0))),IF(INDEX(Recetas!$W$6:$W$115,MATCH($E81,Recetas!$A$6:$A$115,0))=0,0,INDEX(Recetas!$W$6:$W$115,MATCH($E81,Recetas!$A$6:$A$115,0))*INDEX(Telas!$I$6:$I$105,MATCH(O81,Telas!$A$6:$A$105,0))),NA()),""))</f>
        <v/>
      </c>
      <c r="S81" s="10" t="str">
        <f aca="false">IF($E81="","",IFERROR(INDEX(Recetas!$AA$6:$AA$115,MATCH($E81,Recetas!$A$6:$A$115,0))*1,""))</f>
        <v/>
      </c>
      <c r="T81" s="10" t="str">
        <f aca="false">IF($E81="","",IFERROR(INDEX(Recetas!$AB$6:$AB$115,MATCH($E81,Recetas!$A$6:$A$115,0))*1,""))</f>
        <v/>
      </c>
      <c r="U81" s="10" t="str">
        <f aca="false">IF($E81="","",IFERROR(INDEX(Recetas!$AC$6:$AC$115,MATCH($E81,Recetas!$A$6:$A$115,0))+N(I81),""))</f>
        <v/>
      </c>
      <c r="V81" s="11" t="str">
        <f aca="false">IF($E81="","",IFERROR(R81+S81+T81+U81,""))</f>
        <v/>
      </c>
      <c r="W81" s="11" t="str">
        <f aca="false">IF(ISNUMBER(V81),V81*Parametros!$B$12,"")</f>
        <v/>
      </c>
      <c r="X81" s="30" t="str">
        <f aca="false">IF(AND(ISNUMBER(V81),N(J81)&gt;0),(J81-V81-J81*Parametros!$B$8)/J81,"")</f>
        <v/>
      </c>
      <c r="Y81" s="10" t="str">
        <f aca="false">IF(AND(ISNUMBER(V81),N(J81)&gt;0),J81-V81-J81*Parametros!$B$8,"")</f>
        <v/>
      </c>
      <c r="Z81" s="29" t="str">
        <f aca="false">IF(AND(ISNUMBER(P81),M81&lt;&gt;""),IFERROR(1/(P81*INDEX(Telas!$G$6:$G$105,MATCH(M81,Telas!$A$6:$A$105,0))),""),"")</f>
        <v/>
      </c>
      <c r="AA81" s="7" t="str">
        <f aca="false">IF($E81="","",IF(ISNUMBER(V81),"OK",IF(Q81="","Precio o peso por metro de "&amp;M81&amp;". ","")&amp;IFERROR(INDEX(Recetas!$AG$6:$AG$115,MATCH($E81,Recetas!$A$6:$A$115,0)),"Molde no existe en Recetas.")))</f>
        <v/>
      </c>
    </row>
    <row r="82" customFormat="false" ht="15" hidden="false" customHeight="false" outlineLevel="0" collapsed="false">
      <c r="A82" s="27"/>
      <c r="B82" s="27"/>
      <c r="C82" s="27"/>
      <c r="D82" s="27"/>
      <c r="E82" s="27"/>
      <c r="F82" s="8"/>
      <c r="G82" s="8"/>
      <c r="H82" s="8"/>
      <c r="I82" s="15"/>
      <c r="J82" s="15"/>
      <c r="K82" s="27"/>
      <c r="L82" s="27"/>
      <c r="M82" s="7" t="str">
        <f aca="false">IF($E82="","",IF(F82="",IFERROR(INDEX(Recetas!$K$6:$K$115,MATCH($E82,Recetas!$A$6:$A$115,0))&amp;"",""),F82))</f>
        <v/>
      </c>
      <c r="N82" s="7" t="str">
        <f aca="false">IF($E82="","",IF(AND(G82="",N(IFERROR(INDEX(Recetas!$T$6:$T$115,MATCH($E82,Recetas!$A$6:$A$115,0)),1))=0),"—",IF(G82="",IFERROR(INDEX(Recetas!$L$6:$L$115,MATCH($E82,Recetas!$A$6:$A$115,0))&amp;"",""),G82)))</f>
        <v/>
      </c>
      <c r="O82" s="7" t="str">
        <f aca="false">IF($E82="","",IF(AND(H82="",N(IFERROR(INDEX(Recetas!$W$6:$W$115,MATCH($E82,Recetas!$A$6:$A$115,0)),1))=0),"—",IF(H82="",IFERROR(IF(INDEX(Recetas!$M$6:$M$115,MATCH($E82,Recetas!$A$6:$A$115,0))&amp;""="",M82,INDEX(Recetas!$M$6:$M$115,MATCH($E82,Recetas!$A$6:$A$115,0))&amp;""),""),H82)))</f>
        <v/>
      </c>
      <c r="P82" s="9" t="str">
        <f aca="false">IF($E82="","",IFERROR(INDEX(Recetas!$Q$6:$Q$115,MATCH($E82,Recetas!$A$6:$A$115,0)),""))</f>
        <v/>
      </c>
      <c r="Q82" s="10" t="str">
        <f aca="false">IF($E82="","",IFERROR(INDEX(Telas!$I$6:$I$105,MATCH(M82,Telas!$A$6:$A$105,0)),""))</f>
        <v/>
      </c>
      <c r="R82" s="10" t="str">
        <f aca="false">IF($E82="","",IFERROR(IF(ISNUMBER(P82),IF(P82=0,0,P82*INDEX(Telas!$I$6:$I$105,MATCH(M82,Telas!$A$6:$A$105,0))),NA())+IF(ISNUMBER(INDEX(Recetas!$T$6:$T$115,MATCH($E82,Recetas!$A$6:$A$115,0))),IF(INDEX(Recetas!$T$6:$T$115,MATCH($E82,Recetas!$A$6:$A$115,0))=0,0,INDEX(Recetas!$T$6:$T$115,MATCH($E82,Recetas!$A$6:$A$115,0))*INDEX(Telas!$I$6:$I$105,MATCH(N82,Telas!$A$6:$A$105,0))),NA())+IF(ISNUMBER(INDEX(Recetas!$W$6:$W$115,MATCH($E82,Recetas!$A$6:$A$115,0))),IF(INDEX(Recetas!$W$6:$W$115,MATCH($E82,Recetas!$A$6:$A$115,0))=0,0,INDEX(Recetas!$W$6:$W$115,MATCH($E82,Recetas!$A$6:$A$115,0))*INDEX(Telas!$I$6:$I$105,MATCH(O82,Telas!$A$6:$A$105,0))),NA()),""))</f>
        <v/>
      </c>
      <c r="S82" s="10" t="str">
        <f aca="false">IF($E82="","",IFERROR(INDEX(Recetas!$AA$6:$AA$115,MATCH($E82,Recetas!$A$6:$A$115,0))*1,""))</f>
        <v/>
      </c>
      <c r="T82" s="10" t="str">
        <f aca="false">IF($E82="","",IFERROR(INDEX(Recetas!$AB$6:$AB$115,MATCH($E82,Recetas!$A$6:$A$115,0))*1,""))</f>
        <v/>
      </c>
      <c r="U82" s="10" t="str">
        <f aca="false">IF($E82="","",IFERROR(INDEX(Recetas!$AC$6:$AC$115,MATCH($E82,Recetas!$A$6:$A$115,0))+N(I82),""))</f>
        <v/>
      </c>
      <c r="V82" s="11" t="str">
        <f aca="false">IF($E82="","",IFERROR(R82+S82+T82+U82,""))</f>
        <v/>
      </c>
      <c r="W82" s="11" t="str">
        <f aca="false">IF(ISNUMBER(V82),V82*Parametros!$B$12,"")</f>
        <v/>
      </c>
      <c r="X82" s="30" t="str">
        <f aca="false">IF(AND(ISNUMBER(V82),N(J82)&gt;0),(J82-V82-J82*Parametros!$B$8)/J82,"")</f>
        <v/>
      </c>
      <c r="Y82" s="10" t="str">
        <f aca="false">IF(AND(ISNUMBER(V82),N(J82)&gt;0),J82-V82-J82*Parametros!$B$8,"")</f>
        <v/>
      </c>
      <c r="Z82" s="29" t="str">
        <f aca="false">IF(AND(ISNUMBER(P82),M82&lt;&gt;""),IFERROR(1/(P82*INDEX(Telas!$G$6:$G$105,MATCH(M82,Telas!$A$6:$A$105,0))),""),"")</f>
        <v/>
      </c>
      <c r="AA82" s="7" t="str">
        <f aca="false">IF($E82="","",IF(ISNUMBER(V82),"OK",IF(Q82="","Precio o peso por metro de "&amp;M82&amp;". ","")&amp;IFERROR(INDEX(Recetas!$AG$6:$AG$115,MATCH($E82,Recetas!$A$6:$A$115,0)),"Molde no existe en Recetas.")))</f>
        <v/>
      </c>
    </row>
    <row r="83" customFormat="false" ht="15" hidden="false" customHeight="false" outlineLevel="0" collapsed="false">
      <c r="A83" s="27"/>
      <c r="B83" s="27"/>
      <c r="C83" s="27"/>
      <c r="D83" s="27"/>
      <c r="E83" s="27"/>
      <c r="F83" s="8"/>
      <c r="G83" s="8"/>
      <c r="H83" s="8"/>
      <c r="I83" s="15"/>
      <c r="J83" s="15"/>
      <c r="K83" s="27"/>
      <c r="L83" s="27"/>
      <c r="M83" s="7" t="str">
        <f aca="false">IF($E83="","",IF(F83="",IFERROR(INDEX(Recetas!$K$6:$K$115,MATCH($E83,Recetas!$A$6:$A$115,0))&amp;"",""),F83))</f>
        <v/>
      </c>
      <c r="N83" s="7" t="str">
        <f aca="false">IF($E83="","",IF(AND(G83="",N(IFERROR(INDEX(Recetas!$T$6:$T$115,MATCH($E83,Recetas!$A$6:$A$115,0)),1))=0),"—",IF(G83="",IFERROR(INDEX(Recetas!$L$6:$L$115,MATCH($E83,Recetas!$A$6:$A$115,0))&amp;"",""),G83)))</f>
        <v/>
      </c>
      <c r="O83" s="7" t="str">
        <f aca="false">IF($E83="","",IF(AND(H83="",N(IFERROR(INDEX(Recetas!$W$6:$W$115,MATCH($E83,Recetas!$A$6:$A$115,0)),1))=0),"—",IF(H83="",IFERROR(IF(INDEX(Recetas!$M$6:$M$115,MATCH($E83,Recetas!$A$6:$A$115,0))&amp;""="",M83,INDEX(Recetas!$M$6:$M$115,MATCH($E83,Recetas!$A$6:$A$115,0))&amp;""),""),H83)))</f>
        <v/>
      </c>
      <c r="P83" s="9" t="str">
        <f aca="false">IF($E83="","",IFERROR(INDEX(Recetas!$Q$6:$Q$115,MATCH($E83,Recetas!$A$6:$A$115,0)),""))</f>
        <v/>
      </c>
      <c r="Q83" s="10" t="str">
        <f aca="false">IF($E83="","",IFERROR(INDEX(Telas!$I$6:$I$105,MATCH(M83,Telas!$A$6:$A$105,0)),""))</f>
        <v/>
      </c>
      <c r="R83" s="10" t="str">
        <f aca="false">IF($E83="","",IFERROR(IF(ISNUMBER(P83),IF(P83=0,0,P83*INDEX(Telas!$I$6:$I$105,MATCH(M83,Telas!$A$6:$A$105,0))),NA())+IF(ISNUMBER(INDEX(Recetas!$T$6:$T$115,MATCH($E83,Recetas!$A$6:$A$115,0))),IF(INDEX(Recetas!$T$6:$T$115,MATCH($E83,Recetas!$A$6:$A$115,0))=0,0,INDEX(Recetas!$T$6:$T$115,MATCH($E83,Recetas!$A$6:$A$115,0))*INDEX(Telas!$I$6:$I$105,MATCH(N83,Telas!$A$6:$A$105,0))),NA())+IF(ISNUMBER(INDEX(Recetas!$W$6:$W$115,MATCH($E83,Recetas!$A$6:$A$115,0))),IF(INDEX(Recetas!$W$6:$W$115,MATCH($E83,Recetas!$A$6:$A$115,0))=0,0,INDEX(Recetas!$W$6:$W$115,MATCH($E83,Recetas!$A$6:$A$115,0))*INDEX(Telas!$I$6:$I$105,MATCH(O83,Telas!$A$6:$A$105,0))),NA()),""))</f>
        <v/>
      </c>
      <c r="S83" s="10" t="str">
        <f aca="false">IF($E83="","",IFERROR(INDEX(Recetas!$AA$6:$AA$115,MATCH($E83,Recetas!$A$6:$A$115,0))*1,""))</f>
        <v/>
      </c>
      <c r="T83" s="10" t="str">
        <f aca="false">IF($E83="","",IFERROR(INDEX(Recetas!$AB$6:$AB$115,MATCH($E83,Recetas!$A$6:$A$115,0))*1,""))</f>
        <v/>
      </c>
      <c r="U83" s="10" t="str">
        <f aca="false">IF($E83="","",IFERROR(INDEX(Recetas!$AC$6:$AC$115,MATCH($E83,Recetas!$A$6:$A$115,0))+N(I83),""))</f>
        <v/>
      </c>
      <c r="V83" s="11" t="str">
        <f aca="false">IF($E83="","",IFERROR(R83+S83+T83+U83,""))</f>
        <v/>
      </c>
      <c r="W83" s="11" t="str">
        <f aca="false">IF(ISNUMBER(V83),V83*Parametros!$B$12,"")</f>
        <v/>
      </c>
      <c r="X83" s="30" t="str">
        <f aca="false">IF(AND(ISNUMBER(V83),N(J83)&gt;0),(J83-V83-J83*Parametros!$B$8)/J83,"")</f>
        <v/>
      </c>
      <c r="Y83" s="10" t="str">
        <f aca="false">IF(AND(ISNUMBER(V83),N(J83)&gt;0),J83-V83-J83*Parametros!$B$8,"")</f>
        <v/>
      </c>
      <c r="Z83" s="29" t="str">
        <f aca="false">IF(AND(ISNUMBER(P83),M83&lt;&gt;""),IFERROR(1/(P83*INDEX(Telas!$G$6:$G$105,MATCH(M83,Telas!$A$6:$A$105,0))),""),"")</f>
        <v/>
      </c>
      <c r="AA83" s="7" t="str">
        <f aca="false">IF($E83="","",IF(ISNUMBER(V83),"OK",IF(Q83="","Precio o peso por metro de "&amp;M83&amp;". ","")&amp;IFERROR(INDEX(Recetas!$AG$6:$AG$115,MATCH($E83,Recetas!$A$6:$A$115,0)),"Molde no existe en Recetas.")))</f>
        <v/>
      </c>
    </row>
    <row r="84" customFormat="false" ht="15" hidden="false" customHeight="false" outlineLevel="0" collapsed="false">
      <c r="A84" s="27"/>
      <c r="B84" s="27"/>
      <c r="C84" s="27"/>
      <c r="D84" s="27"/>
      <c r="E84" s="27"/>
      <c r="F84" s="8"/>
      <c r="G84" s="8"/>
      <c r="H84" s="8"/>
      <c r="I84" s="15"/>
      <c r="J84" s="15"/>
      <c r="K84" s="27"/>
      <c r="L84" s="27"/>
      <c r="M84" s="7" t="str">
        <f aca="false">IF($E84="","",IF(F84="",IFERROR(INDEX(Recetas!$K$6:$K$115,MATCH($E84,Recetas!$A$6:$A$115,0))&amp;"",""),F84))</f>
        <v/>
      </c>
      <c r="N84" s="7" t="str">
        <f aca="false">IF($E84="","",IF(AND(G84="",N(IFERROR(INDEX(Recetas!$T$6:$T$115,MATCH($E84,Recetas!$A$6:$A$115,0)),1))=0),"—",IF(G84="",IFERROR(INDEX(Recetas!$L$6:$L$115,MATCH($E84,Recetas!$A$6:$A$115,0))&amp;"",""),G84)))</f>
        <v/>
      </c>
      <c r="O84" s="7" t="str">
        <f aca="false">IF($E84="","",IF(AND(H84="",N(IFERROR(INDEX(Recetas!$W$6:$W$115,MATCH($E84,Recetas!$A$6:$A$115,0)),1))=0),"—",IF(H84="",IFERROR(IF(INDEX(Recetas!$M$6:$M$115,MATCH($E84,Recetas!$A$6:$A$115,0))&amp;""="",M84,INDEX(Recetas!$M$6:$M$115,MATCH($E84,Recetas!$A$6:$A$115,0))&amp;""),""),H84)))</f>
        <v/>
      </c>
      <c r="P84" s="9" t="str">
        <f aca="false">IF($E84="","",IFERROR(INDEX(Recetas!$Q$6:$Q$115,MATCH($E84,Recetas!$A$6:$A$115,0)),""))</f>
        <v/>
      </c>
      <c r="Q84" s="10" t="str">
        <f aca="false">IF($E84="","",IFERROR(INDEX(Telas!$I$6:$I$105,MATCH(M84,Telas!$A$6:$A$105,0)),""))</f>
        <v/>
      </c>
      <c r="R84" s="10" t="str">
        <f aca="false">IF($E84="","",IFERROR(IF(ISNUMBER(P84),IF(P84=0,0,P84*INDEX(Telas!$I$6:$I$105,MATCH(M84,Telas!$A$6:$A$105,0))),NA())+IF(ISNUMBER(INDEX(Recetas!$T$6:$T$115,MATCH($E84,Recetas!$A$6:$A$115,0))),IF(INDEX(Recetas!$T$6:$T$115,MATCH($E84,Recetas!$A$6:$A$115,0))=0,0,INDEX(Recetas!$T$6:$T$115,MATCH($E84,Recetas!$A$6:$A$115,0))*INDEX(Telas!$I$6:$I$105,MATCH(N84,Telas!$A$6:$A$105,0))),NA())+IF(ISNUMBER(INDEX(Recetas!$W$6:$W$115,MATCH($E84,Recetas!$A$6:$A$115,0))),IF(INDEX(Recetas!$W$6:$W$115,MATCH($E84,Recetas!$A$6:$A$115,0))=0,0,INDEX(Recetas!$W$6:$W$115,MATCH($E84,Recetas!$A$6:$A$115,0))*INDEX(Telas!$I$6:$I$105,MATCH(O84,Telas!$A$6:$A$105,0))),NA()),""))</f>
        <v/>
      </c>
      <c r="S84" s="10" t="str">
        <f aca="false">IF($E84="","",IFERROR(INDEX(Recetas!$AA$6:$AA$115,MATCH($E84,Recetas!$A$6:$A$115,0))*1,""))</f>
        <v/>
      </c>
      <c r="T84" s="10" t="str">
        <f aca="false">IF($E84="","",IFERROR(INDEX(Recetas!$AB$6:$AB$115,MATCH($E84,Recetas!$A$6:$A$115,0))*1,""))</f>
        <v/>
      </c>
      <c r="U84" s="10" t="str">
        <f aca="false">IF($E84="","",IFERROR(INDEX(Recetas!$AC$6:$AC$115,MATCH($E84,Recetas!$A$6:$A$115,0))+N(I84),""))</f>
        <v/>
      </c>
      <c r="V84" s="11" t="str">
        <f aca="false">IF($E84="","",IFERROR(R84+S84+T84+U84,""))</f>
        <v/>
      </c>
      <c r="W84" s="11" t="str">
        <f aca="false">IF(ISNUMBER(V84),V84*Parametros!$B$12,"")</f>
        <v/>
      </c>
      <c r="X84" s="30" t="str">
        <f aca="false">IF(AND(ISNUMBER(V84),N(J84)&gt;0),(J84-V84-J84*Parametros!$B$8)/J84,"")</f>
        <v/>
      </c>
      <c r="Y84" s="10" t="str">
        <f aca="false">IF(AND(ISNUMBER(V84),N(J84)&gt;0),J84-V84-J84*Parametros!$B$8,"")</f>
        <v/>
      </c>
      <c r="Z84" s="29" t="str">
        <f aca="false">IF(AND(ISNUMBER(P84),M84&lt;&gt;""),IFERROR(1/(P84*INDEX(Telas!$G$6:$G$105,MATCH(M84,Telas!$A$6:$A$105,0))),""),"")</f>
        <v/>
      </c>
      <c r="AA84" s="7" t="str">
        <f aca="false">IF($E84="","",IF(ISNUMBER(V84),"OK",IF(Q84="","Precio o peso por metro de "&amp;M84&amp;". ","")&amp;IFERROR(INDEX(Recetas!$AG$6:$AG$115,MATCH($E84,Recetas!$A$6:$A$115,0)),"Molde no existe en Recetas.")))</f>
        <v/>
      </c>
    </row>
    <row r="85" customFormat="false" ht="15" hidden="false" customHeight="false" outlineLevel="0" collapsed="false">
      <c r="A85" s="27"/>
      <c r="B85" s="27"/>
      <c r="C85" s="27"/>
      <c r="D85" s="27"/>
      <c r="E85" s="27"/>
      <c r="F85" s="8"/>
      <c r="G85" s="8"/>
      <c r="H85" s="8"/>
      <c r="I85" s="15"/>
      <c r="J85" s="15"/>
      <c r="K85" s="27"/>
      <c r="L85" s="27"/>
      <c r="M85" s="7" t="str">
        <f aca="false">IF($E85="","",IF(F85="",IFERROR(INDEX(Recetas!$K$6:$K$115,MATCH($E85,Recetas!$A$6:$A$115,0))&amp;"",""),F85))</f>
        <v/>
      </c>
      <c r="N85" s="7" t="str">
        <f aca="false">IF($E85="","",IF(AND(G85="",N(IFERROR(INDEX(Recetas!$T$6:$T$115,MATCH($E85,Recetas!$A$6:$A$115,0)),1))=0),"—",IF(G85="",IFERROR(INDEX(Recetas!$L$6:$L$115,MATCH($E85,Recetas!$A$6:$A$115,0))&amp;"",""),G85)))</f>
        <v/>
      </c>
      <c r="O85" s="7" t="str">
        <f aca="false">IF($E85="","",IF(AND(H85="",N(IFERROR(INDEX(Recetas!$W$6:$W$115,MATCH($E85,Recetas!$A$6:$A$115,0)),1))=0),"—",IF(H85="",IFERROR(IF(INDEX(Recetas!$M$6:$M$115,MATCH($E85,Recetas!$A$6:$A$115,0))&amp;""="",M85,INDEX(Recetas!$M$6:$M$115,MATCH($E85,Recetas!$A$6:$A$115,0))&amp;""),""),H85)))</f>
        <v/>
      </c>
      <c r="P85" s="9" t="str">
        <f aca="false">IF($E85="","",IFERROR(INDEX(Recetas!$Q$6:$Q$115,MATCH($E85,Recetas!$A$6:$A$115,0)),""))</f>
        <v/>
      </c>
      <c r="Q85" s="10" t="str">
        <f aca="false">IF($E85="","",IFERROR(INDEX(Telas!$I$6:$I$105,MATCH(M85,Telas!$A$6:$A$105,0)),""))</f>
        <v/>
      </c>
      <c r="R85" s="10" t="str">
        <f aca="false">IF($E85="","",IFERROR(IF(ISNUMBER(P85),IF(P85=0,0,P85*INDEX(Telas!$I$6:$I$105,MATCH(M85,Telas!$A$6:$A$105,0))),NA())+IF(ISNUMBER(INDEX(Recetas!$T$6:$T$115,MATCH($E85,Recetas!$A$6:$A$115,0))),IF(INDEX(Recetas!$T$6:$T$115,MATCH($E85,Recetas!$A$6:$A$115,0))=0,0,INDEX(Recetas!$T$6:$T$115,MATCH($E85,Recetas!$A$6:$A$115,0))*INDEX(Telas!$I$6:$I$105,MATCH(N85,Telas!$A$6:$A$105,0))),NA())+IF(ISNUMBER(INDEX(Recetas!$W$6:$W$115,MATCH($E85,Recetas!$A$6:$A$115,0))),IF(INDEX(Recetas!$W$6:$W$115,MATCH($E85,Recetas!$A$6:$A$115,0))=0,0,INDEX(Recetas!$W$6:$W$115,MATCH($E85,Recetas!$A$6:$A$115,0))*INDEX(Telas!$I$6:$I$105,MATCH(O85,Telas!$A$6:$A$105,0))),NA()),""))</f>
        <v/>
      </c>
      <c r="S85" s="10" t="str">
        <f aca="false">IF($E85="","",IFERROR(INDEX(Recetas!$AA$6:$AA$115,MATCH($E85,Recetas!$A$6:$A$115,0))*1,""))</f>
        <v/>
      </c>
      <c r="T85" s="10" t="str">
        <f aca="false">IF($E85="","",IFERROR(INDEX(Recetas!$AB$6:$AB$115,MATCH($E85,Recetas!$A$6:$A$115,0))*1,""))</f>
        <v/>
      </c>
      <c r="U85" s="10" t="str">
        <f aca="false">IF($E85="","",IFERROR(INDEX(Recetas!$AC$6:$AC$115,MATCH($E85,Recetas!$A$6:$A$115,0))+N(I85),""))</f>
        <v/>
      </c>
      <c r="V85" s="11" t="str">
        <f aca="false">IF($E85="","",IFERROR(R85+S85+T85+U85,""))</f>
        <v/>
      </c>
      <c r="W85" s="11" t="str">
        <f aca="false">IF(ISNUMBER(V85),V85*Parametros!$B$12,"")</f>
        <v/>
      </c>
      <c r="X85" s="30" t="str">
        <f aca="false">IF(AND(ISNUMBER(V85),N(J85)&gt;0),(J85-V85-J85*Parametros!$B$8)/J85,"")</f>
        <v/>
      </c>
      <c r="Y85" s="10" t="str">
        <f aca="false">IF(AND(ISNUMBER(V85),N(J85)&gt;0),J85-V85-J85*Parametros!$B$8,"")</f>
        <v/>
      </c>
      <c r="Z85" s="29" t="str">
        <f aca="false">IF(AND(ISNUMBER(P85),M85&lt;&gt;""),IFERROR(1/(P85*INDEX(Telas!$G$6:$G$105,MATCH(M85,Telas!$A$6:$A$105,0))),""),"")</f>
        <v/>
      </c>
      <c r="AA85" s="7" t="str">
        <f aca="false">IF($E85="","",IF(ISNUMBER(V85),"OK",IF(Q85="","Precio o peso por metro de "&amp;M85&amp;". ","")&amp;IFERROR(INDEX(Recetas!$AG$6:$AG$115,MATCH($E85,Recetas!$A$6:$A$115,0)),"Molde no existe en Recetas.")))</f>
        <v/>
      </c>
    </row>
    <row r="86" customFormat="false" ht="15" hidden="false" customHeight="false" outlineLevel="0" collapsed="false">
      <c r="A86" s="27"/>
      <c r="B86" s="27"/>
      <c r="C86" s="27"/>
      <c r="D86" s="27"/>
      <c r="E86" s="27"/>
      <c r="F86" s="8"/>
      <c r="G86" s="8"/>
      <c r="H86" s="8"/>
      <c r="I86" s="15"/>
      <c r="J86" s="15"/>
      <c r="K86" s="27"/>
      <c r="L86" s="27"/>
      <c r="M86" s="7" t="str">
        <f aca="false">IF($E86="","",IF(F86="",IFERROR(INDEX(Recetas!$K$6:$K$115,MATCH($E86,Recetas!$A$6:$A$115,0))&amp;"",""),F86))</f>
        <v/>
      </c>
      <c r="N86" s="7" t="str">
        <f aca="false">IF($E86="","",IF(AND(G86="",N(IFERROR(INDEX(Recetas!$T$6:$T$115,MATCH($E86,Recetas!$A$6:$A$115,0)),1))=0),"—",IF(G86="",IFERROR(INDEX(Recetas!$L$6:$L$115,MATCH($E86,Recetas!$A$6:$A$115,0))&amp;"",""),G86)))</f>
        <v/>
      </c>
      <c r="O86" s="7" t="str">
        <f aca="false">IF($E86="","",IF(AND(H86="",N(IFERROR(INDEX(Recetas!$W$6:$W$115,MATCH($E86,Recetas!$A$6:$A$115,0)),1))=0),"—",IF(H86="",IFERROR(IF(INDEX(Recetas!$M$6:$M$115,MATCH($E86,Recetas!$A$6:$A$115,0))&amp;""="",M86,INDEX(Recetas!$M$6:$M$115,MATCH($E86,Recetas!$A$6:$A$115,0))&amp;""),""),H86)))</f>
        <v/>
      </c>
      <c r="P86" s="9" t="str">
        <f aca="false">IF($E86="","",IFERROR(INDEX(Recetas!$Q$6:$Q$115,MATCH($E86,Recetas!$A$6:$A$115,0)),""))</f>
        <v/>
      </c>
      <c r="Q86" s="10" t="str">
        <f aca="false">IF($E86="","",IFERROR(INDEX(Telas!$I$6:$I$105,MATCH(M86,Telas!$A$6:$A$105,0)),""))</f>
        <v/>
      </c>
      <c r="R86" s="10" t="str">
        <f aca="false">IF($E86="","",IFERROR(IF(ISNUMBER(P86),IF(P86=0,0,P86*INDEX(Telas!$I$6:$I$105,MATCH(M86,Telas!$A$6:$A$105,0))),NA())+IF(ISNUMBER(INDEX(Recetas!$T$6:$T$115,MATCH($E86,Recetas!$A$6:$A$115,0))),IF(INDEX(Recetas!$T$6:$T$115,MATCH($E86,Recetas!$A$6:$A$115,0))=0,0,INDEX(Recetas!$T$6:$T$115,MATCH($E86,Recetas!$A$6:$A$115,0))*INDEX(Telas!$I$6:$I$105,MATCH(N86,Telas!$A$6:$A$105,0))),NA())+IF(ISNUMBER(INDEX(Recetas!$W$6:$W$115,MATCH($E86,Recetas!$A$6:$A$115,0))),IF(INDEX(Recetas!$W$6:$W$115,MATCH($E86,Recetas!$A$6:$A$115,0))=0,0,INDEX(Recetas!$W$6:$W$115,MATCH($E86,Recetas!$A$6:$A$115,0))*INDEX(Telas!$I$6:$I$105,MATCH(O86,Telas!$A$6:$A$105,0))),NA()),""))</f>
        <v/>
      </c>
      <c r="S86" s="10" t="str">
        <f aca="false">IF($E86="","",IFERROR(INDEX(Recetas!$AA$6:$AA$115,MATCH($E86,Recetas!$A$6:$A$115,0))*1,""))</f>
        <v/>
      </c>
      <c r="T86" s="10" t="str">
        <f aca="false">IF($E86="","",IFERROR(INDEX(Recetas!$AB$6:$AB$115,MATCH($E86,Recetas!$A$6:$A$115,0))*1,""))</f>
        <v/>
      </c>
      <c r="U86" s="10" t="str">
        <f aca="false">IF($E86="","",IFERROR(INDEX(Recetas!$AC$6:$AC$115,MATCH($E86,Recetas!$A$6:$A$115,0))+N(I86),""))</f>
        <v/>
      </c>
      <c r="V86" s="11" t="str">
        <f aca="false">IF($E86="","",IFERROR(R86+S86+T86+U86,""))</f>
        <v/>
      </c>
      <c r="W86" s="11" t="str">
        <f aca="false">IF(ISNUMBER(V86),V86*Parametros!$B$12,"")</f>
        <v/>
      </c>
      <c r="X86" s="30" t="str">
        <f aca="false">IF(AND(ISNUMBER(V86),N(J86)&gt;0),(J86-V86-J86*Parametros!$B$8)/J86,"")</f>
        <v/>
      </c>
      <c r="Y86" s="10" t="str">
        <f aca="false">IF(AND(ISNUMBER(V86),N(J86)&gt;0),J86-V86-J86*Parametros!$B$8,"")</f>
        <v/>
      </c>
      <c r="Z86" s="29" t="str">
        <f aca="false">IF(AND(ISNUMBER(P86),M86&lt;&gt;""),IFERROR(1/(P86*INDEX(Telas!$G$6:$G$105,MATCH(M86,Telas!$A$6:$A$105,0))),""),"")</f>
        <v/>
      </c>
      <c r="AA86" s="7" t="str">
        <f aca="false">IF($E86="","",IF(ISNUMBER(V86),"OK",IF(Q86="","Precio o peso por metro de "&amp;M86&amp;". ","")&amp;IFERROR(INDEX(Recetas!$AG$6:$AG$115,MATCH($E86,Recetas!$A$6:$A$115,0)),"Molde no existe en Recetas.")))</f>
        <v/>
      </c>
    </row>
    <row r="87" customFormat="false" ht="15" hidden="false" customHeight="false" outlineLevel="0" collapsed="false">
      <c r="A87" s="27"/>
      <c r="B87" s="27"/>
      <c r="C87" s="27"/>
      <c r="D87" s="27"/>
      <c r="E87" s="27"/>
      <c r="F87" s="8"/>
      <c r="G87" s="8"/>
      <c r="H87" s="8"/>
      <c r="I87" s="15"/>
      <c r="J87" s="15"/>
      <c r="K87" s="27"/>
      <c r="L87" s="27"/>
      <c r="M87" s="7" t="str">
        <f aca="false">IF($E87="","",IF(F87="",IFERROR(INDEX(Recetas!$K$6:$K$115,MATCH($E87,Recetas!$A$6:$A$115,0))&amp;"",""),F87))</f>
        <v/>
      </c>
      <c r="N87" s="7" t="str">
        <f aca="false">IF($E87="","",IF(AND(G87="",N(IFERROR(INDEX(Recetas!$T$6:$T$115,MATCH($E87,Recetas!$A$6:$A$115,0)),1))=0),"—",IF(G87="",IFERROR(INDEX(Recetas!$L$6:$L$115,MATCH($E87,Recetas!$A$6:$A$115,0))&amp;"",""),G87)))</f>
        <v/>
      </c>
      <c r="O87" s="7" t="str">
        <f aca="false">IF($E87="","",IF(AND(H87="",N(IFERROR(INDEX(Recetas!$W$6:$W$115,MATCH($E87,Recetas!$A$6:$A$115,0)),1))=0),"—",IF(H87="",IFERROR(IF(INDEX(Recetas!$M$6:$M$115,MATCH($E87,Recetas!$A$6:$A$115,0))&amp;""="",M87,INDEX(Recetas!$M$6:$M$115,MATCH($E87,Recetas!$A$6:$A$115,0))&amp;""),""),H87)))</f>
        <v/>
      </c>
      <c r="P87" s="9" t="str">
        <f aca="false">IF($E87="","",IFERROR(INDEX(Recetas!$Q$6:$Q$115,MATCH($E87,Recetas!$A$6:$A$115,0)),""))</f>
        <v/>
      </c>
      <c r="Q87" s="10" t="str">
        <f aca="false">IF($E87="","",IFERROR(INDEX(Telas!$I$6:$I$105,MATCH(M87,Telas!$A$6:$A$105,0)),""))</f>
        <v/>
      </c>
      <c r="R87" s="10" t="str">
        <f aca="false">IF($E87="","",IFERROR(IF(ISNUMBER(P87),IF(P87=0,0,P87*INDEX(Telas!$I$6:$I$105,MATCH(M87,Telas!$A$6:$A$105,0))),NA())+IF(ISNUMBER(INDEX(Recetas!$T$6:$T$115,MATCH($E87,Recetas!$A$6:$A$115,0))),IF(INDEX(Recetas!$T$6:$T$115,MATCH($E87,Recetas!$A$6:$A$115,0))=0,0,INDEX(Recetas!$T$6:$T$115,MATCH($E87,Recetas!$A$6:$A$115,0))*INDEX(Telas!$I$6:$I$105,MATCH(N87,Telas!$A$6:$A$105,0))),NA())+IF(ISNUMBER(INDEX(Recetas!$W$6:$W$115,MATCH($E87,Recetas!$A$6:$A$115,0))),IF(INDEX(Recetas!$W$6:$W$115,MATCH($E87,Recetas!$A$6:$A$115,0))=0,0,INDEX(Recetas!$W$6:$W$115,MATCH($E87,Recetas!$A$6:$A$115,0))*INDEX(Telas!$I$6:$I$105,MATCH(O87,Telas!$A$6:$A$105,0))),NA()),""))</f>
        <v/>
      </c>
      <c r="S87" s="10" t="str">
        <f aca="false">IF($E87="","",IFERROR(INDEX(Recetas!$AA$6:$AA$115,MATCH($E87,Recetas!$A$6:$A$115,0))*1,""))</f>
        <v/>
      </c>
      <c r="T87" s="10" t="str">
        <f aca="false">IF($E87="","",IFERROR(INDEX(Recetas!$AB$6:$AB$115,MATCH($E87,Recetas!$A$6:$A$115,0))*1,""))</f>
        <v/>
      </c>
      <c r="U87" s="10" t="str">
        <f aca="false">IF($E87="","",IFERROR(INDEX(Recetas!$AC$6:$AC$115,MATCH($E87,Recetas!$A$6:$A$115,0))+N(I87),""))</f>
        <v/>
      </c>
      <c r="V87" s="11" t="str">
        <f aca="false">IF($E87="","",IFERROR(R87+S87+T87+U87,""))</f>
        <v/>
      </c>
      <c r="W87" s="11" t="str">
        <f aca="false">IF(ISNUMBER(V87),V87*Parametros!$B$12,"")</f>
        <v/>
      </c>
      <c r="X87" s="30" t="str">
        <f aca="false">IF(AND(ISNUMBER(V87),N(J87)&gt;0),(J87-V87-J87*Parametros!$B$8)/J87,"")</f>
        <v/>
      </c>
      <c r="Y87" s="10" t="str">
        <f aca="false">IF(AND(ISNUMBER(V87),N(J87)&gt;0),J87-V87-J87*Parametros!$B$8,"")</f>
        <v/>
      </c>
      <c r="Z87" s="29" t="str">
        <f aca="false">IF(AND(ISNUMBER(P87),M87&lt;&gt;""),IFERROR(1/(P87*INDEX(Telas!$G$6:$G$105,MATCH(M87,Telas!$A$6:$A$105,0))),""),"")</f>
        <v/>
      </c>
      <c r="AA87" s="7" t="str">
        <f aca="false">IF($E87="","",IF(ISNUMBER(V87),"OK",IF(Q87="","Precio o peso por metro de "&amp;M87&amp;". ","")&amp;IFERROR(INDEX(Recetas!$AG$6:$AG$115,MATCH($E87,Recetas!$A$6:$A$115,0)),"Molde no existe en Recetas.")))</f>
        <v/>
      </c>
    </row>
    <row r="88" customFormat="false" ht="15" hidden="false" customHeight="false" outlineLevel="0" collapsed="false">
      <c r="A88" s="27"/>
      <c r="B88" s="27"/>
      <c r="C88" s="27"/>
      <c r="D88" s="27"/>
      <c r="E88" s="27"/>
      <c r="F88" s="8"/>
      <c r="G88" s="8"/>
      <c r="H88" s="8"/>
      <c r="I88" s="15"/>
      <c r="J88" s="15"/>
      <c r="K88" s="27"/>
      <c r="L88" s="27"/>
      <c r="M88" s="7" t="str">
        <f aca="false">IF($E88="","",IF(F88="",IFERROR(INDEX(Recetas!$K$6:$K$115,MATCH($E88,Recetas!$A$6:$A$115,0))&amp;"",""),F88))</f>
        <v/>
      </c>
      <c r="N88" s="7" t="str">
        <f aca="false">IF($E88="","",IF(AND(G88="",N(IFERROR(INDEX(Recetas!$T$6:$T$115,MATCH($E88,Recetas!$A$6:$A$115,0)),1))=0),"—",IF(G88="",IFERROR(INDEX(Recetas!$L$6:$L$115,MATCH($E88,Recetas!$A$6:$A$115,0))&amp;"",""),G88)))</f>
        <v/>
      </c>
      <c r="O88" s="7" t="str">
        <f aca="false">IF($E88="","",IF(AND(H88="",N(IFERROR(INDEX(Recetas!$W$6:$W$115,MATCH($E88,Recetas!$A$6:$A$115,0)),1))=0),"—",IF(H88="",IFERROR(IF(INDEX(Recetas!$M$6:$M$115,MATCH($E88,Recetas!$A$6:$A$115,0))&amp;""="",M88,INDEX(Recetas!$M$6:$M$115,MATCH($E88,Recetas!$A$6:$A$115,0))&amp;""),""),H88)))</f>
        <v/>
      </c>
      <c r="P88" s="9" t="str">
        <f aca="false">IF($E88="","",IFERROR(INDEX(Recetas!$Q$6:$Q$115,MATCH($E88,Recetas!$A$6:$A$115,0)),""))</f>
        <v/>
      </c>
      <c r="Q88" s="10" t="str">
        <f aca="false">IF($E88="","",IFERROR(INDEX(Telas!$I$6:$I$105,MATCH(M88,Telas!$A$6:$A$105,0)),""))</f>
        <v/>
      </c>
      <c r="R88" s="10" t="str">
        <f aca="false">IF($E88="","",IFERROR(IF(ISNUMBER(P88),IF(P88=0,0,P88*INDEX(Telas!$I$6:$I$105,MATCH(M88,Telas!$A$6:$A$105,0))),NA())+IF(ISNUMBER(INDEX(Recetas!$T$6:$T$115,MATCH($E88,Recetas!$A$6:$A$115,0))),IF(INDEX(Recetas!$T$6:$T$115,MATCH($E88,Recetas!$A$6:$A$115,0))=0,0,INDEX(Recetas!$T$6:$T$115,MATCH($E88,Recetas!$A$6:$A$115,0))*INDEX(Telas!$I$6:$I$105,MATCH(N88,Telas!$A$6:$A$105,0))),NA())+IF(ISNUMBER(INDEX(Recetas!$W$6:$W$115,MATCH($E88,Recetas!$A$6:$A$115,0))),IF(INDEX(Recetas!$W$6:$W$115,MATCH($E88,Recetas!$A$6:$A$115,0))=0,0,INDEX(Recetas!$W$6:$W$115,MATCH($E88,Recetas!$A$6:$A$115,0))*INDEX(Telas!$I$6:$I$105,MATCH(O88,Telas!$A$6:$A$105,0))),NA()),""))</f>
        <v/>
      </c>
      <c r="S88" s="10" t="str">
        <f aca="false">IF($E88="","",IFERROR(INDEX(Recetas!$AA$6:$AA$115,MATCH($E88,Recetas!$A$6:$A$115,0))*1,""))</f>
        <v/>
      </c>
      <c r="T88" s="10" t="str">
        <f aca="false">IF($E88="","",IFERROR(INDEX(Recetas!$AB$6:$AB$115,MATCH($E88,Recetas!$A$6:$A$115,0))*1,""))</f>
        <v/>
      </c>
      <c r="U88" s="10" t="str">
        <f aca="false">IF($E88="","",IFERROR(INDEX(Recetas!$AC$6:$AC$115,MATCH($E88,Recetas!$A$6:$A$115,0))+N(I88),""))</f>
        <v/>
      </c>
      <c r="V88" s="11" t="str">
        <f aca="false">IF($E88="","",IFERROR(R88+S88+T88+U88,""))</f>
        <v/>
      </c>
      <c r="W88" s="11" t="str">
        <f aca="false">IF(ISNUMBER(V88),V88*Parametros!$B$12,"")</f>
        <v/>
      </c>
      <c r="X88" s="30" t="str">
        <f aca="false">IF(AND(ISNUMBER(V88),N(J88)&gt;0),(J88-V88-J88*Parametros!$B$8)/J88,"")</f>
        <v/>
      </c>
      <c r="Y88" s="10" t="str">
        <f aca="false">IF(AND(ISNUMBER(V88),N(J88)&gt;0),J88-V88-J88*Parametros!$B$8,"")</f>
        <v/>
      </c>
      <c r="Z88" s="29" t="str">
        <f aca="false">IF(AND(ISNUMBER(P88),M88&lt;&gt;""),IFERROR(1/(P88*INDEX(Telas!$G$6:$G$105,MATCH(M88,Telas!$A$6:$A$105,0))),""),"")</f>
        <v/>
      </c>
      <c r="AA88" s="7" t="str">
        <f aca="false">IF($E88="","",IF(ISNUMBER(V88),"OK",IF(Q88="","Precio o peso por metro de "&amp;M88&amp;". ","")&amp;IFERROR(INDEX(Recetas!$AG$6:$AG$115,MATCH($E88,Recetas!$A$6:$A$115,0)),"Molde no existe en Recetas.")))</f>
        <v/>
      </c>
    </row>
    <row r="89" customFormat="false" ht="15" hidden="false" customHeight="false" outlineLevel="0" collapsed="false">
      <c r="A89" s="27"/>
      <c r="B89" s="27"/>
      <c r="C89" s="27"/>
      <c r="D89" s="27"/>
      <c r="E89" s="27"/>
      <c r="F89" s="8"/>
      <c r="G89" s="8"/>
      <c r="H89" s="8"/>
      <c r="I89" s="15"/>
      <c r="J89" s="15"/>
      <c r="K89" s="27"/>
      <c r="L89" s="27"/>
      <c r="M89" s="7" t="str">
        <f aca="false">IF($E89="","",IF(F89="",IFERROR(INDEX(Recetas!$K$6:$K$115,MATCH($E89,Recetas!$A$6:$A$115,0))&amp;"",""),F89))</f>
        <v/>
      </c>
      <c r="N89" s="7" t="str">
        <f aca="false">IF($E89="","",IF(AND(G89="",N(IFERROR(INDEX(Recetas!$T$6:$T$115,MATCH($E89,Recetas!$A$6:$A$115,0)),1))=0),"—",IF(G89="",IFERROR(INDEX(Recetas!$L$6:$L$115,MATCH($E89,Recetas!$A$6:$A$115,0))&amp;"",""),G89)))</f>
        <v/>
      </c>
      <c r="O89" s="7" t="str">
        <f aca="false">IF($E89="","",IF(AND(H89="",N(IFERROR(INDEX(Recetas!$W$6:$W$115,MATCH($E89,Recetas!$A$6:$A$115,0)),1))=0),"—",IF(H89="",IFERROR(IF(INDEX(Recetas!$M$6:$M$115,MATCH($E89,Recetas!$A$6:$A$115,0))&amp;""="",M89,INDEX(Recetas!$M$6:$M$115,MATCH($E89,Recetas!$A$6:$A$115,0))&amp;""),""),H89)))</f>
        <v/>
      </c>
      <c r="P89" s="9" t="str">
        <f aca="false">IF($E89="","",IFERROR(INDEX(Recetas!$Q$6:$Q$115,MATCH($E89,Recetas!$A$6:$A$115,0)),""))</f>
        <v/>
      </c>
      <c r="Q89" s="10" t="str">
        <f aca="false">IF($E89="","",IFERROR(INDEX(Telas!$I$6:$I$105,MATCH(M89,Telas!$A$6:$A$105,0)),""))</f>
        <v/>
      </c>
      <c r="R89" s="10" t="str">
        <f aca="false">IF($E89="","",IFERROR(IF(ISNUMBER(P89),IF(P89=0,0,P89*INDEX(Telas!$I$6:$I$105,MATCH(M89,Telas!$A$6:$A$105,0))),NA())+IF(ISNUMBER(INDEX(Recetas!$T$6:$T$115,MATCH($E89,Recetas!$A$6:$A$115,0))),IF(INDEX(Recetas!$T$6:$T$115,MATCH($E89,Recetas!$A$6:$A$115,0))=0,0,INDEX(Recetas!$T$6:$T$115,MATCH($E89,Recetas!$A$6:$A$115,0))*INDEX(Telas!$I$6:$I$105,MATCH(N89,Telas!$A$6:$A$105,0))),NA())+IF(ISNUMBER(INDEX(Recetas!$W$6:$W$115,MATCH($E89,Recetas!$A$6:$A$115,0))),IF(INDEX(Recetas!$W$6:$W$115,MATCH($E89,Recetas!$A$6:$A$115,0))=0,0,INDEX(Recetas!$W$6:$W$115,MATCH($E89,Recetas!$A$6:$A$115,0))*INDEX(Telas!$I$6:$I$105,MATCH(O89,Telas!$A$6:$A$105,0))),NA()),""))</f>
        <v/>
      </c>
      <c r="S89" s="10" t="str">
        <f aca="false">IF($E89="","",IFERROR(INDEX(Recetas!$AA$6:$AA$115,MATCH($E89,Recetas!$A$6:$A$115,0))*1,""))</f>
        <v/>
      </c>
      <c r="T89" s="10" t="str">
        <f aca="false">IF($E89="","",IFERROR(INDEX(Recetas!$AB$6:$AB$115,MATCH($E89,Recetas!$A$6:$A$115,0))*1,""))</f>
        <v/>
      </c>
      <c r="U89" s="10" t="str">
        <f aca="false">IF($E89="","",IFERROR(INDEX(Recetas!$AC$6:$AC$115,MATCH($E89,Recetas!$A$6:$A$115,0))+N(I89),""))</f>
        <v/>
      </c>
      <c r="V89" s="11" t="str">
        <f aca="false">IF($E89="","",IFERROR(R89+S89+T89+U89,""))</f>
        <v/>
      </c>
      <c r="W89" s="11" t="str">
        <f aca="false">IF(ISNUMBER(V89),V89*Parametros!$B$12,"")</f>
        <v/>
      </c>
      <c r="X89" s="30" t="str">
        <f aca="false">IF(AND(ISNUMBER(V89),N(J89)&gt;0),(J89-V89-J89*Parametros!$B$8)/J89,"")</f>
        <v/>
      </c>
      <c r="Y89" s="10" t="str">
        <f aca="false">IF(AND(ISNUMBER(V89),N(J89)&gt;0),J89-V89-J89*Parametros!$B$8,"")</f>
        <v/>
      </c>
      <c r="Z89" s="29" t="str">
        <f aca="false">IF(AND(ISNUMBER(P89),M89&lt;&gt;""),IFERROR(1/(P89*INDEX(Telas!$G$6:$G$105,MATCH(M89,Telas!$A$6:$A$105,0))),""),"")</f>
        <v/>
      </c>
      <c r="AA89" s="7" t="str">
        <f aca="false">IF($E89="","",IF(ISNUMBER(V89),"OK",IF(Q89="","Precio o peso por metro de "&amp;M89&amp;". ","")&amp;IFERROR(INDEX(Recetas!$AG$6:$AG$115,MATCH($E89,Recetas!$A$6:$A$115,0)),"Molde no existe en Recetas.")))</f>
        <v/>
      </c>
    </row>
    <row r="90" customFormat="false" ht="15" hidden="false" customHeight="false" outlineLevel="0" collapsed="false">
      <c r="A90" s="27"/>
      <c r="B90" s="27"/>
      <c r="C90" s="27"/>
      <c r="D90" s="27"/>
      <c r="E90" s="27"/>
      <c r="F90" s="8"/>
      <c r="G90" s="8"/>
      <c r="H90" s="8"/>
      <c r="I90" s="15"/>
      <c r="J90" s="15"/>
      <c r="K90" s="27"/>
      <c r="L90" s="27"/>
      <c r="M90" s="7" t="str">
        <f aca="false">IF($E90="","",IF(F90="",IFERROR(INDEX(Recetas!$K$6:$K$115,MATCH($E90,Recetas!$A$6:$A$115,0))&amp;"",""),F90))</f>
        <v/>
      </c>
      <c r="N90" s="7" t="str">
        <f aca="false">IF($E90="","",IF(AND(G90="",N(IFERROR(INDEX(Recetas!$T$6:$T$115,MATCH($E90,Recetas!$A$6:$A$115,0)),1))=0),"—",IF(G90="",IFERROR(INDEX(Recetas!$L$6:$L$115,MATCH($E90,Recetas!$A$6:$A$115,0))&amp;"",""),G90)))</f>
        <v/>
      </c>
      <c r="O90" s="7" t="str">
        <f aca="false">IF($E90="","",IF(AND(H90="",N(IFERROR(INDEX(Recetas!$W$6:$W$115,MATCH($E90,Recetas!$A$6:$A$115,0)),1))=0),"—",IF(H90="",IFERROR(IF(INDEX(Recetas!$M$6:$M$115,MATCH($E90,Recetas!$A$6:$A$115,0))&amp;""="",M90,INDEX(Recetas!$M$6:$M$115,MATCH($E90,Recetas!$A$6:$A$115,0))&amp;""),""),H90)))</f>
        <v/>
      </c>
      <c r="P90" s="9" t="str">
        <f aca="false">IF($E90="","",IFERROR(INDEX(Recetas!$Q$6:$Q$115,MATCH($E90,Recetas!$A$6:$A$115,0)),""))</f>
        <v/>
      </c>
      <c r="Q90" s="10" t="str">
        <f aca="false">IF($E90="","",IFERROR(INDEX(Telas!$I$6:$I$105,MATCH(M90,Telas!$A$6:$A$105,0)),""))</f>
        <v/>
      </c>
      <c r="R90" s="10" t="str">
        <f aca="false">IF($E90="","",IFERROR(IF(ISNUMBER(P90),IF(P90=0,0,P90*INDEX(Telas!$I$6:$I$105,MATCH(M90,Telas!$A$6:$A$105,0))),NA())+IF(ISNUMBER(INDEX(Recetas!$T$6:$T$115,MATCH($E90,Recetas!$A$6:$A$115,0))),IF(INDEX(Recetas!$T$6:$T$115,MATCH($E90,Recetas!$A$6:$A$115,0))=0,0,INDEX(Recetas!$T$6:$T$115,MATCH($E90,Recetas!$A$6:$A$115,0))*INDEX(Telas!$I$6:$I$105,MATCH(N90,Telas!$A$6:$A$105,0))),NA())+IF(ISNUMBER(INDEX(Recetas!$W$6:$W$115,MATCH($E90,Recetas!$A$6:$A$115,0))),IF(INDEX(Recetas!$W$6:$W$115,MATCH($E90,Recetas!$A$6:$A$115,0))=0,0,INDEX(Recetas!$W$6:$W$115,MATCH($E90,Recetas!$A$6:$A$115,0))*INDEX(Telas!$I$6:$I$105,MATCH(O90,Telas!$A$6:$A$105,0))),NA()),""))</f>
        <v/>
      </c>
      <c r="S90" s="10" t="str">
        <f aca="false">IF($E90="","",IFERROR(INDEX(Recetas!$AA$6:$AA$115,MATCH($E90,Recetas!$A$6:$A$115,0))*1,""))</f>
        <v/>
      </c>
      <c r="T90" s="10" t="str">
        <f aca="false">IF($E90="","",IFERROR(INDEX(Recetas!$AB$6:$AB$115,MATCH($E90,Recetas!$A$6:$A$115,0))*1,""))</f>
        <v/>
      </c>
      <c r="U90" s="10" t="str">
        <f aca="false">IF($E90="","",IFERROR(INDEX(Recetas!$AC$6:$AC$115,MATCH($E90,Recetas!$A$6:$A$115,0))+N(I90),""))</f>
        <v/>
      </c>
      <c r="V90" s="11" t="str">
        <f aca="false">IF($E90="","",IFERROR(R90+S90+T90+U90,""))</f>
        <v/>
      </c>
      <c r="W90" s="11" t="str">
        <f aca="false">IF(ISNUMBER(V90),V90*Parametros!$B$12,"")</f>
        <v/>
      </c>
      <c r="X90" s="30" t="str">
        <f aca="false">IF(AND(ISNUMBER(V90),N(J90)&gt;0),(J90-V90-J90*Parametros!$B$8)/J90,"")</f>
        <v/>
      </c>
      <c r="Y90" s="10" t="str">
        <f aca="false">IF(AND(ISNUMBER(V90),N(J90)&gt;0),J90-V90-J90*Parametros!$B$8,"")</f>
        <v/>
      </c>
      <c r="Z90" s="29" t="str">
        <f aca="false">IF(AND(ISNUMBER(P90),M90&lt;&gt;""),IFERROR(1/(P90*INDEX(Telas!$G$6:$G$105,MATCH(M90,Telas!$A$6:$A$105,0))),""),"")</f>
        <v/>
      </c>
      <c r="AA90" s="7" t="str">
        <f aca="false">IF($E90="","",IF(ISNUMBER(V90),"OK",IF(Q90="","Precio o peso por metro de "&amp;M90&amp;". ","")&amp;IFERROR(INDEX(Recetas!$AG$6:$AG$115,MATCH($E90,Recetas!$A$6:$A$115,0)),"Molde no existe en Recetas.")))</f>
        <v/>
      </c>
    </row>
    <row r="91" customFormat="false" ht="15" hidden="false" customHeight="false" outlineLevel="0" collapsed="false">
      <c r="A91" s="27"/>
      <c r="B91" s="27"/>
      <c r="C91" s="27"/>
      <c r="D91" s="27"/>
      <c r="E91" s="27"/>
      <c r="F91" s="8"/>
      <c r="G91" s="8"/>
      <c r="H91" s="8"/>
      <c r="I91" s="15"/>
      <c r="J91" s="15"/>
      <c r="K91" s="27"/>
      <c r="L91" s="27"/>
      <c r="M91" s="7" t="str">
        <f aca="false">IF($E91="","",IF(F91="",IFERROR(INDEX(Recetas!$K$6:$K$115,MATCH($E91,Recetas!$A$6:$A$115,0))&amp;"",""),F91))</f>
        <v/>
      </c>
      <c r="N91" s="7" t="str">
        <f aca="false">IF($E91="","",IF(AND(G91="",N(IFERROR(INDEX(Recetas!$T$6:$T$115,MATCH($E91,Recetas!$A$6:$A$115,0)),1))=0),"—",IF(G91="",IFERROR(INDEX(Recetas!$L$6:$L$115,MATCH($E91,Recetas!$A$6:$A$115,0))&amp;"",""),G91)))</f>
        <v/>
      </c>
      <c r="O91" s="7" t="str">
        <f aca="false">IF($E91="","",IF(AND(H91="",N(IFERROR(INDEX(Recetas!$W$6:$W$115,MATCH($E91,Recetas!$A$6:$A$115,0)),1))=0),"—",IF(H91="",IFERROR(IF(INDEX(Recetas!$M$6:$M$115,MATCH($E91,Recetas!$A$6:$A$115,0))&amp;""="",M91,INDEX(Recetas!$M$6:$M$115,MATCH($E91,Recetas!$A$6:$A$115,0))&amp;""),""),H91)))</f>
        <v/>
      </c>
      <c r="P91" s="9" t="str">
        <f aca="false">IF($E91="","",IFERROR(INDEX(Recetas!$Q$6:$Q$115,MATCH($E91,Recetas!$A$6:$A$115,0)),""))</f>
        <v/>
      </c>
      <c r="Q91" s="10" t="str">
        <f aca="false">IF($E91="","",IFERROR(INDEX(Telas!$I$6:$I$105,MATCH(M91,Telas!$A$6:$A$105,0)),""))</f>
        <v/>
      </c>
      <c r="R91" s="10" t="str">
        <f aca="false">IF($E91="","",IFERROR(IF(ISNUMBER(P91),IF(P91=0,0,P91*INDEX(Telas!$I$6:$I$105,MATCH(M91,Telas!$A$6:$A$105,0))),NA())+IF(ISNUMBER(INDEX(Recetas!$T$6:$T$115,MATCH($E91,Recetas!$A$6:$A$115,0))),IF(INDEX(Recetas!$T$6:$T$115,MATCH($E91,Recetas!$A$6:$A$115,0))=0,0,INDEX(Recetas!$T$6:$T$115,MATCH($E91,Recetas!$A$6:$A$115,0))*INDEX(Telas!$I$6:$I$105,MATCH(N91,Telas!$A$6:$A$105,0))),NA())+IF(ISNUMBER(INDEX(Recetas!$W$6:$W$115,MATCH($E91,Recetas!$A$6:$A$115,0))),IF(INDEX(Recetas!$W$6:$W$115,MATCH($E91,Recetas!$A$6:$A$115,0))=0,0,INDEX(Recetas!$W$6:$W$115,MATCH($E91,Recetas!$A$6:$A$115,0))*INDEX(Telas!$I$6:$I$105,MATCH(O91,Telas!$A$6:$A$105,0))),NA()),""))</f>
        <v/>
      </c>
      <c r="S91" s="10" t="str">
        <f aca="false">IF($E91="","",IFERROR(INDEX(Recetas!$AA$6:$AA$115,MATCH($E91,Recetas!$A$6:$A$115,0))*1,""))</f>
        <v/>
      </c>
      <c r="T91" s="10" t="str">
        <f aca="false">IF($E91="","",IFERROR(INDEX(Recetas!$AB$6:$AB$115,MATCH($E91,Recetas!$A$6:$A$115,0))*1,""))</f>
        <v/>
      </c>
      <c r="U91" s="10" t="str">
        <f aca="false">IF($E91="","",IFERROR(INDEX(Recetas!$AC$6:$AC$115,MATCH($E91,Recetas!$A$6:$A$115,0))+N(I91),""))</f>
        <v/>
      </c>
      <c r="V91" s="11" t="str">
        <f aca="false">IF($E91="","",IFERROR(R91+S91+T91+U91,""))</f>
        <v/>
      </c>
      <c r="W91" s="11" t="str">
        <f aca="false">IF(ISNUMBER(V91),V91*Parametros!$B$12,"")</f>
        <v/>
      </c>
      <c r="X91" s="30" t="str">
        <f aca="false">IF(AND(ISNUMBER(V91),N(J91)&gt;0),(J91-V91-J91*Parametros!$B$8)/J91,"")</f>
        <v/>
      </c>
      <c r="Y91" s="10" t="str">
        <f aca="false">IF(AND(ISNUMBER(V91),N(J91)&gt;0),J91-V91-J91*Parametros!$B$8,"")</f>
        <v/>
      </c>
      <c r="Z91" s="29" t="str">
        <f aca="false">IF(AND(ISNUMBER(P91),M91&lt;&gt;""),IFERROR(1/(P91*INDEX(Telas!$G$6:$G$105,MATCH(M91,Telas!$A$6:$A$105,0))),""),"")</f>
        <v/>
      </c>
      <c r="AA91" s="7" t="str">
        <f aca="false">IF($E91="","",IF(ISNUMBER(V91),"OK",IF(Q91="","Precio o peso por metro de "&amp;M91&amp;". ","")&amp;IFERROR(INDEX(Recetas!$AG$6:$AG$115,MATCH($E91,Recetas!$A$6:$A$115,0)),"Molde no existe en Recetas.")))</f>
        <v/>
      </c>
    </row>
    <row r="92" customFormat="false" ht="15" hidden="false" customHeight="false" outlineLevel="0" collapsed="false">
      <c r="A92" s="27"/>
      <c r="B92" s="27"/>
      <c r="C92" s="27"/>
      <c r="D92" s="27"/>
      <c r="E92" s="27"/>
      <c r="F92" s="8"/>
      <c r="G92" s="8"/>
      <c r="H92" s="8"/>
      <c r="I92" s="15"/>
      <c r="J92" s="15"/>
      <c r="K92" s="27"/>
      <c r="L92" s="27"/>
      <c r="M92" s="7" t="str">
        <f aca="false">IF($E92="","",IF(F92="",IFERROR(INDEX(Recetas!$K$6:$K$115,MATCH($E92,Recetas!$A$6:$A$115,0))&amp;"",""),F92))</f>
        <v/>
      </c>
      <c r="N92" s="7" t="str">
        <f aca="false">IF($E92="","",IF(AND(G92="",N(IFERROR(INDEX(Recetas!$T$6:$T$115,MATCH($E92,Recetas!$A$6:$A$115,0)),1))=0),"—",IF(G92="",IFERROR(INDEX(Recetas!$L$6:$L$115,MATCH($E92,Recetas!$A$6:$A$115,0))&amp;"",""),G92)))</f>
        <v/>
      </c>
      <c r="O92" s="7" t="str">
        <f aca="false">IF($E92="","",IF(AND(H92="",N(IFERROR(INDEX(Recetas!$W$6:$W$115,MATCH($E92,Recetas!$A$6:$A$115,0)),1))=0),"—",IF(H92="",IFERROR(IF(INDEX(Recetas!$M$6:$M$115,MATCH($E92,Recetas!$A$6:$A$115,0))&amp;""="",M92,INDEX(Recetas!$M$6:$M$115,MATCH($E92,Recetas!$A$6:$A$115,0))&amp;""),""),H92)))</f>
        <v/>
      </c>
      <c r="P92" s="9" t="str">
        <f aca="false">IF($E92="","",IFERROR(INDEX(Recetas!$Q$6:$Q$115,MATCH($E92,Recetas!$A$6:$A$115,0)),""))</f>
        <v/>
      </c>
      <c r="Q92" s="10" t="str">
        <f aca="false">IF($E92="","",IFERROR(INDEX(Telas!$I$6:$I$105,MATCH(M92,Telas!$A$6:$A$105,0)),""))</f>
        <v/>
      </c>
      <c r="R92" s="10" t="str">
        <f aca="false">IF($E92="","",IFERROR(IF(ISNUMBER(P92),IF(P92=0,0,P92*INDEX(Telas!$I$6:$I$105,MATCH(M92,Telas!$A$6:$A$105,0))),NA())+IF(ISNUMBER(INDEX(Recetas!$T$6:$T$115,MATCH($E92,Recetas!$A$6:$A$115,0))),IF(INDEX(Recetas!$T$6:$T$115,MATCH($E92,Recetas!$A$6:$A$115,0))=0,0,INDEX(Recetas!$T$6:$T$115,MATCH($E92,Recetas!$A$6:$A$115,0))*INDEX(Telas!$I$6:$I$105,MATCH(N92,Telas!$A$6:$A$105,0))),NA())+IF(ISNUMBER(INDEX(Recetas!$W$6:$W$115,MATCH($E92,Recetas!$A$6:$A$115,0))),IF(INDEX(Recetas!$W$6:$W$115,MATCH($E92,Recetas!$A$6:$A$115,0))=0,0,INDEX(Recetas!$W$6:$W$115,MATCH($E92,Recetas!$A$6:$A$115,0))*INDEX(Telas!$I$6:$I$105,MATCH(O92,Telas!$A$6:$A$105,0))),NA()),""))</f>
        <v/>
      </c>
      <c r="S92" s="10" t="str">
        <f aca="false">IF($E92="","",IFERROR(INDEX(Recetas!$AA$6:$AA$115,MATCH($E92,Recetas!$A$6:$A$115,0))*1,""))</f>
        <v/>
      </c>
      <c r="T92" s="10" t="str">
        <f aca="false">IF($E92="","",IFERROR(INDEX(Recetas!$AB$6:$AB$115,MATCH($E92,Recetas!$A$6:$A$115,0))*1,""))</f>
        <v/>
      </c>
      <c r="U92" s="10" t="str">
        <f aca="false">IF($E92="","",IFERROR(INDEX(Recetas!$AC$6:$AC$115,MATCH($E92,Recetas!$A$6:$A$115,0))+N(I92),""))</f>
        <v/>
      </c>
      <c r="V92" s="11" t="str">
        <f aca="false">IF($E92="","",IFERROR(R92+S92+T92+U92,""))</f>
        <v/>
      </c>
      <c r="W92" s="11" t="str">
        <f aca="false">IF(ISNUMBER(V92),V92*Parametros!$B$12,"")</f>
        <v/>
      </c>
      <c r="X92" s="30" t="str">
        <f aca="false">IF(AND(ISNUMBER(V92),N(J92)&gt;0),(J92-V92-J92*Parametros!$B$8)/J92,"")</f>
        <v/>
      </c>
      <c r="Y92" s="10" t="str">
        <f aca="false">IF(AND(ISNUMBER(V92),N(J92)&gt;0),J92-V92-J92*Parametros!$B$8,"")</f>
        <v/>
      </c>
      <c r="Z92" s="29" t="str">
        <f aca="false">IF(AND(ISNUMBER(P92),M92&lt;&gt;""),IFERROR(1/(P92*INDEX(Telas!$G$6:$G$105,MATCH(M92,Telas!$A$6:$A$105,0))),""),"")</f>
        <v/>
      </c>
      <c r="AA92" s="7" t="str">
        <f aca="false">IF($E92="","",IF(ISNUMBER(V92),"OK",IF(Q92="","Precio o peso por metro de "&amp;M92&amp;". ","")&amp;IFERROR(INDEX(Recetas!$AG$6:$AG$115,MATCH($E92,Recetas!$A$6:$A$115,0)),"Molde no existe en Recetas.")))</f>
        <v/>
      </c>
    </row>
    <row r="93" customFormat="false" ht="15" hidden="false" customHeight="false" outlineLevel="0" collapsed="false">
      <c r="A93" s="27"/>
      <c r="B93" s="27"/>
      <c r="C93" s="27"/>
      <c r="D93" s="27"/>
      <c r="E93" s="27"/>
      <c r="F93" s="8"/>
      <c r="G93" s="8"/>
      <c r="H93" s="8"/>
      <c r="I93" s="15"/>
      <c r="J93" s="15"/>
      <c r="K93" s="27"/>
      <c r="L93" s="27"/>
      <c r="M93" s="7" t="str">
        <f aca="false">IF($E93="","",IF(F93="",IFERROR(INDEX(Recetas!$K$6:$K$115,MATCH($E93,Recetas!$A$6:$A$115,0))&amp;"",""),F93))</f>
        <v/>
      </c>
      <c r="N93" s="7" t="str">
        <f aca="false">IF($E93="","",IF(AND(G93="",N(IFERROR(INDEX(Recetas!$T$6:$T$115,MATCH($E93,Recetas!$A$6:$A$115,0)),1))=0),"—",IF(G93="",IFERROR(INDEX(Recetas!$L$6:$L$115,MATCH($E93,Recetas!$A$6:$A$115,0))&amp;"",""),G93)))</f>
        <v/>
      </c>
      <c r="O93" s="7" t="str">
        <f aca="false">IF($E93="","",IF(AND(H93="",N(IFERROR(INDEX(Recetas!$W$6:$W$115,MATCH($E93,Recetas!$A$6:$A$115,0)),1))=0),"—",IF(H93="",IFERROR(IF(INDEX(Recetas!$M$6:$M$115,MATCH($E93,Recetas!$A$6:$A$115,0))&amp;""="",M93,INDEX(Recetas!$M$6:$M$115,MATCH($E93,Recetas!$A$6:$A$115,0))&amp;""),""),H93)))</f>
        <v/>
      </c>
      <c r="P93" s="9" t="str">
        <f aca="false">IF($E93="","",IFERROR(INDEX(Recetas!$Q$6:$Q$115,MATCH($E93,Recetas!$A$6:$A$115,0)),""))</f>
        <v/>
      </c>
      <c r="Q93" s="10" t="str">
        <f aca="false">IF($E93="","",IFERROR(INDEX(Telas!$I$6:$I$105,MATCH(M93,Telas!$A$6:$A$105,0)),""))</f>
        <v/>
      </c>
      <c r="R93" s="10" t="str">
        <f aca="false">IF($E93="","",IFERROR(IF(ISNUMBER(P93),IF(P93=0,0,P93*INDEX(Telas!$I$6:$I$105,MATCH(M93,Telas!$A$6:$A$105,0))),NA())+IF(ISNUMBER(INDEX(Recetas!$T$6:$T$115,MATCH($E93,Recetas!$A$6:$A$115,0))),IF(INDEX(Recetas!$T$6:$T$115,MATCH($E93,Recetas!$A$6:$A$115,0))=0,0,INDEX(Recetas!$T$6:$T$115,MATCH($E93,Recetas!$A$6:$A$115,0))*INDEX(Telas!$I$6:$I$105,MATCH(N93,Telas!$A$6:$A$105,0))),NA())+IF(ISNUMBER(INDEX(Recetas!$W$6:$W$115,MATCH($E93,Recetas!$A$6:$A$115,0))),IF(INDEX(Recetas!$W$6:$W$115,MATCH($E93,Recetas!$A$6:$A$115,0))=0,0,INDEX(Recetas!$W$6:$W$115,MATCH($E93,Recetas!$A$6:$A$115,0))*INDEX(Telas!$I$6:$I$105,MATCH(O93,Telas!$A$6:$A$105,0))),NA()),""))</f>
        <v/>
      </c>
      <c r="S93" s="10" t="str">
        <f aca="false">IF($E93="","",IFERROR(INDEX(Recetas!$AA$6:$AA$115,MATCH($E93,Recetas!$A$6:$A$115,0))*1,""))</f>
        <v/>
      </c>
      <c r="T93" s="10" t="str">
        <f aca="false">IF($E93="","",IFERROR(INDEX(Recetas!$AB$6:$AB$115,MATCH($E93,Recetas!$A$6:$A$115,0))*1,""))</f>
        <v/>
      </c>
      <c r="U93" s="10" t="str">
        <f aca="false">IF($E93="","",IFERROR(INDEX(Recetas!$AC$6:$AC$115,MATCH($E93,Recetas!$A$6:$A$115,0))+N(I93),""))</f>
        <v/>
      </c>
      <c r="V93" s="11" t="str">
        <f aca="false">IF($E93="","",IFERROR(R93+S93+T93+U93,""))</f>
        <v/>
      </c>
      <c r="W93" s="11" t="str">
        <f aca="false">IF(ISNUMBER(V93),V93*Parametros!$B$12,"")</f>
        <v/>
      </c>
      <c r="X93" s="30" t="str">
        <f aca="false">IF(AND(ISNUMBER(V93),N(J93)&gt;0),(J93-V93-J93*Parametros!$B$8)/J93,"")</f>
        <v/>
      </c>
      <c r="Y93" s="10" t="str">
        <f aca="false">IF(AND(ISNUMBER(V93),N(J93)&gt;0),J93-V93-J93*Parametros!$B$8,"")</f>
        <v/>
      </c>
      <c r="Z93" s="29" t="str">
        <f aca="false">IF(AND(ISNUMBER(P93),M93&lt;&gt;""),IFERROR(1/(P93*INDEX(Telas!$G$6:$G$105,MATCH(M93,Telas!$A$6:$A$105,0))),""),"")</f>
        <v/>
      </c>
      <c r="AA93" s="7" t="str">
        <f aca="false">IF($E93="","",IF(ISNUMBER(V93),"OK",IF(Q93="","Precio o peso por metro de "&amp;M93&amp;". ","")&amp;IFERROR(INDEX(Recetas!$AG$6:$AG$115,MATCH($E93,Recetas!$A$6:$A$115,0)),"Molde no existe en Recetas.")))</f>
        <v/>
      </c>
    </row>
    <row r="94" customFormat="false" ht="15" hidden="false" customHeight="false" outlineLevel="0" collapsed="false">
      <c r="A94" s="27"/>
      <c r="B94" s="27"/>
      <c r="C94" s="27"/>
      <c r="D94" s="27"/>
      <c r="E94" s="27"/>
      <c r="F94" s="8"/>
      <c r="G94" s="8"/>
      <c r="H94" s="8"/>
      <c r="I94" s="15"/>
      <c r="J94" s="15"/>
      <c r="K94" s="27"/>
      <c r="L94" s="27"/>
      <c r="M94" s="7" t="str">
        <f aca="false">IF($E94="","",IF(F94="",IFERROR(INDEX(Recetas!$K$6:$K$115,MATCH($E94,Recetas!$A$6:$A$115,0))&amp;"",""),F94))</f>
        <v/>
      </c>
      <c r="N94" s="7" t="str">
        <f aca="false">IF($E94="","",IF(AND(G94="",N(IFERROR(INDEX(Recetas!$T$6:$T$115,MATCH($E94,Recetas!$A$6:$A$115,0)),1))=0),"—",IF(G94="",IFERROR(INDEX(Recetas!$L$6:$L$115,MATCH($E94,Recetas!$A$6:$A$115,0))&amp;"",""),G94)))</f>
        <v/>
      </c>
      <c r="O94" s="7" t="str">
        <f aca="false">IF($E94="","",IF(AND(H94="",N(IFERROR(INDEX(Recetas!$W$6:$W$115,MATCH($E94,Recetas!$A$6:$A$115,0)),1))=0),"—",IF(H94="",IFERROR(IF(INDEX(Recetas!$M$6:$M$115,MATCH($E94,Recetas!$A$6:$A$115,0))&amp;""="",M94,INDEX(Recetas!$M$6:$M$115,MATCH($E94,Recetas!$A$6:$A$115,0))&amp;""),""),H94)))</f>
        <v/>
      </c>
      <c r="P94" s="9" t="str">
        <f aca="false">IF($E94="","",IFERROR(INDEX(Recetas!$Q$6:$Q$115,MATCH($E94,Recetas!$A$6:$A$115,0)),""))</f>
        <v/>
      </c>
      <c r="Q94" s="10" t="str">
        <f aca="false">IF($E94="","",IFERROR(INDEX(Telas!$I$6:$I$105,MATCH(M94,Telas!$A$6:$A$105,0)),""))</f>
        <v/>
      </c>
      <c r="R94" s="10" t="str">
        <f aca="false">IF($E94="","",IFERROR(IF(ISNUMBER(P94),IF(P94=0,0,P94*INDEX(Telas!$I$6:$I$105,MATCH(M94,Telas!$A$6:$A$105,0))),NA())+IF(ISNUMBER(INDEX(Recetas!$T$6:$T$115,MATCH($E94,Recetas!$A$6:$A$115,0))),IF(INDEX(Recetas!$T$6:$T$115,MATCH($E94,Recetas!$A$6:$A$115,0))=0,0,INDEX(Recetas!$T$6:$T$115,MATCH($E94,Recetas!$A$6:$A$115,0))*INDEX(Telas!$I$6:$I$105,MATCH(N94,Telas!$A$6:$A$105,0))),NA())+IF(ISNUMBER(INDEX(Recetas!$W$6:$W$115,MATCH($E94,Recetas!$A$6:$A$115,0))),IF(INDEX(Recetas!$W$6:$W$115,MATCH($E94,Recetas!$A$6:$A$115,0))=0,0,INDEX(Recetas!$W$6:$W$115,MATCH($E94,Recetas!$A$6:$A$115,0))*INDEX(Telas!$I$6:$I$105,MATCH(O94,Telas!$A$6:$A$105,0))),NA()),""))</f>
        <v/>
      </c>
      <c r="S94" s="10" t="str">
        <f aca="false">IF($E94="","",IFERROR(INDEX(Recetas!$AA$6:$AA$115,MATCH($E94,Recetas!$A$6:$A$115,0))*1,""))</f>
        <v/>
      </c>
      <c r="T94" s="10" t="str">
        <f aca="false">IF($E94="","",IFERROR(INDEX(Recetas!$AB$6:$AB$115,MATCH($E94,Recetas!$A$6:$A$115,0))*1,""))</f>
        <v/>
      </c>
      <c r="U94" s="10" t="str">
        <f aca="false">IF($E94="","",IFERROR(INDEX(Recetas!$AC$6:$AC$115,MATCH($E94,Recetas!$A$6:$A$115,0))+N(I94),""))</f>
        <v/>
      </c>
      <c r="V94" s="11" t="str">
        <f aca="false">IF($E94="","",IFERROR(R94+S94+T94+U94,""))</f>
        <v/>
      </c>
      <c r="W94" s="11" t="str">
        <f aca="false">IF(ISNUMBER(V94),V94*Parametros!$B$12,"")</f>
        <v/>
      </c>
      <c r="X94" s="30" t="str">
        <f aca="false">IF(AND(ISNUMBER(V94),N(J94)&gt;0),(J94-V94-J94*Parametros!$B$8)/J94,"")</f>
        <v/>
      </c>
      <c r="Y94" s="10" t="str">
        <f aca="false">IF(AND(ISNUMBER(V94),N(J94)&gt;0),J94-V94-J94*Parametros!$B$8,"")</f>
        <v/>
      </c>
      <c r="Z94" s="29" t="str">
        <f aca="false">IF(AND(ISNUMBER(P94),M94&lt;&gt;""),IFERROR(1/(P94*INDEX(Telas!$G$6:$G$105,MATCH(M94,Telas!$A$6:$A$105,0))),""),"")</f>
        <v/>
      </c>
      <c r="AA94" s="7" t="str">
        <f aca="false">IF($E94="","",IF(ISNUMBER(V94),"OK",IF(Q94="","Precio o peso por metro de "&amp;M94&amp;". ","")&amp;IFERROR(INDEX(Recetas!$AG$6:$AG$115,MATCH($E94,Recetas!$A$6:$A$115,0)),"Molde no existe en Recetas.")))</f>
        <v/>
      </c>
    </row>
    <row r="95" customFormat="false" ht="15" hidden="false" customHeight="false" outlineLevel="0" collapsed="false">
      <c r="A95" s="27"/>
      <c r="B95" s="27"/>
      <c r="C95" s="27"/>
      <c r="D95" s="27"/>
      <c r="E95" s="27"/>
      <c r="F95" s="8"/>
      <c r="G95" s="8"/>
      <c r="H95" s="8"/>
      <c r="I95" s="15"/>
      <c r="J95" s="15"/>
      <c r="K95" s="27"/>
      <c r="L95" s="27"/>
      <c r="M95" s="7" t="str">
        <f aca="false">IF($E95="","",IF(F95="",IFERROR(INDEX(Recetas!$K$6:$K$115,MATCH($E95,Recetas!$A$6:$A$115,0))&amp;"",""),F95))</f>
        <v/>
      </c>
      <c r="N95" s="7" t="str">
        <f aca="false">IF($E95="","",IF(AND(G95="",N(IFERROR(INDEX(Recetas!$T$6:$T$115,MATCH($E95,Recetas!$A$6:$A$115,0)),1))=0),"—",IF(G95="",IFERROR(INDEX(Recetas!$L$6:$L$115,MATCH($E95,Recetas!$A$6:$A$115,0))&amp;"",""),G95)))</f>
        <v/>
      </c>
      <c r="O95" s="7" t="str">
        <f aca="false">IF($E95="","",IF(AND(H95="",N(IFERROR(INDEX(Recetas!$W$6:$W$115,MATCH($E95,Recetas!$A$6:$A$115,0)),1))=0),"—",IF(H95="",IFERROR(IF(INDEX(Recetas!$M$6:$M$115,MATCH($E95,Recetas!$A$6:$A$115,0))&amp;""="",M95,INDEX(Recetas!$M$6:$M$115,MATCH($E95,Recetas!$A$6:$A$115,0))&amp;""),""),H95)))</f>
        <v/>
      </c>
      <c r="P95" s="9" t="str">
        <f aca="false">IF($E95="","",IFERROR(INDEX(Recetas!$Q$6:$Q$115,MATCH($E95,Recetas!$A$6:$A$115,0)),""))</f>
        <v/>
      </c>
      <c r="Q95" s="10" t="str">
        <f aca="false">IF($E95="","",IFERROR(INDEX(Telas!$I$6:$I$105,MATCH(M95,Telas!$A$6:$A$105,0)),""))</f>
        <v/>
      </c>
      <c r="R95" s="10" t="str">
        <f aca="false">IF($E95="","",IFERROR(IF(ISNUMBER(P95),IF(P95=0,0,P95*INDEX(Telas!$I$6:$I$105,MATCH(M95,Telas!$A$6:$A$105,0))),NA())+IF(ISNUMBER(INDEX(Recetas!$T$6:$T$115,MATCH($E95,Recetas!$A$6:$A$115,0))),IF(INDEX(Recetas!$T$6:$T$115,MATCH($E95,Recetas!$A$6:$A$115,0))=0,0,INDEX(Recetas!$T$6:$T$115,MATCH($E95,Recetas!$A$6:$A$115,0))*INDEX(Telas!$I$6:$I$105,MATCH(N95,Telas!$A$6:$A$105,0))),NA())+IF(ISNUMBER(INDEX(Recetas!$W$6:$W$115,MATCH($E95,Recetas!$A$6:$A$115,0))),IF(INDEX(Recetas!$W$6:$W$115,MATCH($E95,Recetas!$A$6:$A$115,0))=0,0,INDEX(Recetas!$W$6:$W$115,MATCH($E95,Recetas!$A$6:$A$115,0))*INDEX(Telas!$I$6:$I$105,MATCH(O95,Telas!$A$6:$A$105,0))),NA()),""))</f>
        <v/>
      </c>
      <c r="S95" s="10" t="str">
        <f aca="false">IF($E95="","",IFERROR(INDEX(Recetas!$AA$6:$AA$115,MATCH($E95,Recetas!$A$6:$A$115,0))*1,""))</f>
        <v/>
      </c>
      <c r="T95" s="10" t="str">
        <f aca="false">IF($E95="","",IFERROR(INDEX(Recetas!$AB$6:$AB$115,MATCH($E95,Recetas!$A$6:$A$115,0))*1,""))</f>
        <v/>
      </c>
      <c r="U95" s="10" t="str">
        <f aca="false">IF($E95="","",IFERROR(INDEX(Recetas!$AC$6:$AC$115,MATCH($E95,Recetas!$A$6:$A$115,0))+N(I95),""))</f>
        <v/>
      </c>
      <c r="V95" s="11" t="str">
        <f aca="false">IF($E95="","",IFERROR(R95+S95+T95+U95,""))</f>
        <v/>
      </c>
      <c r="W95" s="11" t="str">
        <f aca="false">IF(ISNUMBER(V95),V95*Parametros!$B$12,"")</f>
        <v/>
      </c>
      <c r="X95" s="30" t="str">
        <f aca="false">IF(AND(ISNUMBER(V95),N(J95)&gt;0),(J95-V95-J95*Parametros!$B$8)/J95,"")</f>
        <v/>
      </c>
      <c r="Y95" s="10" t="str">
        <f aca="false">IF(AND(ISNUMBER(V95),N(J95)&gt;0),J95-V95-J95*Parametros!$B$8,"")</f>
        <v/>
      </c>
      <c r="Z95" s="29" t="str">
        <f aca="false">IF(AND(ISNUMBER(P95),M95&lt;&gt;""),IFERROR(1/(P95*INDEX(Telas!$G$6:$G$105,MATCH(M95,Telas!$A$6:$A$105,0))),""),"")</f>
        <v/>
      </c>
      <c r="AA95" s="7" t="str">
        <f aca="false">IF($E95="","",IF(ISNUMBER(V95),"OK",IF(Q95="","Precio o peso por metro de "&amp;M95&amp;". ","")&amp;IFERROR(INDEX(Recetas!$AG$6:$AG$115,MATCH($E95,Recetas!$A$6:$A$115,0)),"Molde no existe en Recetas.")))</f>
        <v/>
      </c>
    </row>
    <row r="96" customFormat="false" ht="15" hidden="false" customHeight="false" outlineLevel="0" collapsed="false">
      <c r="A96" s="27"/>
      <c r="B96" s="27"/>
      <c r="C96" s="27"/>
      <c r="D96" s="27"/>
      <c r="E96" s="27"/>
      <c r="F96" s="8"/>
      <c r="G96" s="8"/>
      <c r="H96" s="8"/>
      <c r="I96" s="15"/>
      <c r="J96" s="15"/>
      <c r="K96" s="27"/>
      <c r="L96" s="27"/>
      <c r="M96" s="7" t="str">
        <f aca="false">IF($E96="","",IF(F96="",IFERROR(INDEX(Recetas!$K$6:$K$115,MATCH($E96,Recetas!$A$6:$A$115,0))&amp;"",""),F96))</f>
        <v/>
      </c>
      <c r="N96" s="7" t="str">
        <f aca="false">IF($E96="","",IF(AND(G96="",N(IFERROR(INDEX(Recetas!$T$6:$T$115,MATCH($E96,Recetas!$A$6:$A$115,0)),1))=0),"—",IF(G96="",IFERROR(INDEX(Recetas!$L$6:$L$115,MATCH($E96,Recetas!$A$6:$A$115,0))&amp;"",""),G96)))</f>
        <v/>
      </c>
      <c r="O96" s="7" t="str">
        <f aca="false">IF($E96="","",IF(AND(H96="",N(IFERROR(INDEX(Recetas!$W$6:$W$115,MATCH($E96,Recetas!$A$6:$A$115,0)),1))=0),"—",IF(H96="",IFERROR(IF(INDEX(Recetas!$M$6:$M$115,MATCH($E96,Recetas!$A$6:$A$115,0))&amp;""="",M96,INDEX(Recetas!$M$6:$M$115,MATCH($E96,Recetas!$A$6:$A$115,0))&amp;""),""),H96)))</f>
        <v/>
      </c>
      <c r="P96" s="9" t="str">
        <f aca="false">IF($E96="","",IFERROR(INDEX(Recetas!$Q$6:$Q$115,MATCH($E96,Recetas!$A$6:$A$115,0)),""))</f>
        <v/>
      </c>
      <c r="Q96" s="10" t="str">
        <f aca="false">IF($E96="","",IFERROR(INDEX(Telas!$I$6:$I$105,MATCH(M96,Telas!$A$6:$A$105,0)),""))</f>
        <v/>
      </c>
      <c r="R96" s="10" t="str">
        <f aca="false">IF($E96="","",IFERROR(IF(ISNUMBER(P96),IF(P96=0,0,P96*INDEX(Telas!$I$6:$I$105,MATCH(M96,Telas!$A$6:$A$105,0))),NA())+IF(ISNUMBER(INDEX(Recetas!$T$6:$T$115,MATCH($E96,Recetas!$A$6:$A$115,0))),IF(INDEX(Recetas!$T$6:$T$115,MATCH($E96,Recetas!$A$6:$A$115,0))=0,0,INDEX(Recetas!$T$6:$T$115,MATCH($E96,Recetas!$A$6:$A$115,0))*INDEX(Telas!$I$6:$I$105,MATCH(N96,Telas!$A$6:$A$105,0))),NA())+IF(ISNUMBER(INDEX(Recetas!$W$6:$W$115,MATCH($E96,Recetas!$A$6:$A$115,0))),IF(INDEX(Recetas!$W$6:$W$115,MATCH($E96,Recetas!$A$6:$A$115,0))=0,0,INDEX(Recetas!$W$6:$W$115,MATCH($E96,Recetas!$A$6:$A$115,0))*INDEX(Telas!$I$6:$I$105,MATCH(O96,Telas!$A$6:$A$105,0))),NA()),""))</f>
        <v/>
      </c>
      <c r="S96" s="10" t="str">
        <f aca="false">IF($E96="","",IFERROR(INDEX(Recetas!$AA$6:$AA$115,MATCH($E96,Recetas!$A$6:$A$115,0))*1,""))</f>
        <v/>
      </c>
      <c r="T96" s="10" t="str">
        <f aca="false">IF($E96="","",IFERROR(INDEX(Recetas!$AB$6:$AB$115,MATCH($E96,Recetas!$A$6:$A$115,0))*1,""))</f>
        <v/>
      </c>
      <c r="U96" s="10" t="str">
        <f aca="false">IF($E96="","",IFERROR(INDEX(Recetas!$AC$6:$AC$115,MATCH($E96,Recetas!$A$6:$A$115,0))+N(I96),""))</f>
        <v/>
      </c>
      <c r="V96" s="11" t="str">
        <f aca="false">IF($E96="","",IFERROR(R96+S96+T96+U96,""))</f>
        <v/>
      </c>
      <c r="W96" s="11" t="str">
        <f aca="false">IF(ISNUMBER(V96),V96*Parametros!$B$12,"")</f>
        <v/>
      </c>
      <c r="X96" s="30" t="str">
        <f aca="false">IF(AND(ISNUMBER(V96),N(J96)&gt;0),(J96-V96-J96*Parametros!$B$8)/J96,"")</f>
        <v/>
      </c>
      <c r="Y96" s="10" t="str">
        <f aca="false">IF(AND(ISNUMBER(V96),N(J96)&gt;0),J96-V96-J96*Parametros!$B$8,"")</f>
        <v/>
      </c>
      <c r="Z96" s="29" t="str">
        <f aca="false">IF(AND(ISNUMBER(P96),M96&lt;&gt;""),IFERROR(1/(P96*INDEX(Telas!$G$6:$G$105,MATCH(M96,Telas!$A$6:$A$105,0))),""),"")</f>
        <v/>
      </c>
      <c r="AA96" s="7" t="str">
        <f aca="false">IF($E96="","",IF(ISNUMBER(V96),"OK",IF(Q96="","Precio o peso por metro de "&amp;M96&amp;". ","")&amp;IFERROR(INDEX(Recetas!$AG$6:$AG$115,MATCH($E96,Recetas!$A$6:$A$115,0)),"Molde no existe en Recetas.")))</f>
        <v/>
      </c>
    </row>
    <row r="97" customFormat="false" ht="15" hidden="false" customHeight="false" outlineLevel="0" collapsed="false">
      <c r="A97" s="27"/>
      <c r="B97" s="27"/>
      <c r="C97" s="27"/>
      <c r="D97" s="27"/>
      <c r="E97" s="27"/>
      <c r="F97" s="8"/>
      <c r="G97" s="8"/>
      <c r="H97" s="8"/>
      <c r="I97" s="15"/>
      <c r="J97" s="15"/>
      <c r="K97" s="27"/>
      <c r="L97" s="27"/>
      <c r="M97" s="7" t="str">
        <f aca="false">IF($E97="","",IF(F97="",IFERROR(INDEX(Recetas!$K$6:$K$115,MATCH($E97,Recetas!$A$6:$A$115,0))&amp;"",""),F97))</f>
        <v/>
      </c>
      <c r="N97" s="7" t="str">
        <f aca="false">IF($E97="","",IF(AND(G97="",N(IFERROR(INDEX(Recetas!$T$6:$T$115,MATCH($E97,Recetas!$A$6:$A$115,0)),1))=0),"—",IF(G97="",IFERROR(INDEX(Recetas!$L$6:$L$115,MATCH($E97,Recetas!$A$6:$A$115,0))&amp;"",""),G97)))</f>
        <v/>
      </c>
      <c r="O97" s="7" t="str">
        <f aca="false">IF($E97="","",IF(AND(H97="",N(IFERROR(INDEX(Recetas!$W$6:$W$115,MATCH($E97,Recetas!$A$6:$A$115,0)),1))=0),"—",IF(H97="",IFERROR(IF(INDEX(Recetas!$M$6:$M$115,MATCH($E97,Recetas!$A$6:$A$115,0))&amp;""="",M97,INDEX(Recetas!$M$6:$M$115,MATCH($E97,Recetas!$A$6:$A$115,0))&amp;""),""),H97)))</f>
        <v/>
      </c>
      <c r="P97" s="9" t="str">
        <f aca="false">IF($E97="","",IFERROR(INDEX(Recetas!$Q$6:$Q$115,MATCH($E97,Recetas!$A$6:$A$115,0)),""))</f>
        <v/>
      </c>
      <c r="Q97" s="10" t="str">
        <f aca="false">IF($E97="","",IFERROR(INDEX(Telas!$I$6:$I$105,MATCH(M97,Telas!$A$6:$A$105,0)),""))</f>
        <v/>
      </c>
      <c r="R97" s="10" t="str">
        <f aca="false">IF($E97="","",IFERROR(IF(ISNUMBER(P97),IF(P97=0,0,P97*INDEX(Telas!$I$6:$I$105,MATCH(M97,Telas!$A$6:$A$105,0))),NA())+IF(ISNUMBER(INDEX(Recetas!$T$6:$T$115,MATCH($E97,Recetas!$A$6:$A$115,0))),IF(INDEX(Recetas!$T$6:$T$115,MATCH($E97,Recetas!$A$6:$A$115,0))=0,0,INDEX(Recetas!$T$6:$T$115,MATCH($E97,Recetas!$A$6:$A$115,0))*INDEX(Telas!$I$6:$I$105,MATCH(N97,Telas!$A$6:$A$105,0))),NA())+IF(ISNUMBER(INDEX(Recetas!$W$6:$W$115,MATCH($E97,Recetas!$A$6:$A$115,0))),IF(INDEX(Recetas!$W$6:$W$115,MATCH($E97,Recetas!$A$6:$A$115,0))=0,0,INDEX(Recetas!$W$6:$W$115,MATCH($E97,Recetas!$A$6:$A$115,0))*INDEX(Telas!$I$6:$I$105,MATCH(O97,Telas!$A$6:$A$105,0))),NA()),""))</f>
        <v/>
      </c>
      <c r="S97" s="10" t="str">
        <f aca="false">IF($E97="","",IFERROR(INDEX(Recetas!$AA$6:$AA$115,MATCH($E97,Recetas!$A$6:$A$115,0))*1,""))</f>
        <v/>
      </c>
      <c r="T97" s="10" t="str">
        <f aca="false">IF($E97="","",IFERROR(INDEX(Recetas!$AB$6:$AB$115,MATCH($E97,Recetas!$A$6:$A$115,0))*1,""))</f>
        <v/>
      </c>
      <c r="U97" s="10" t="str">
        <f aca="false">IF($E97="","",IFERROR(INDEX(Recetas!$AC$6:$AC$115,MATCH($E97,Recetas!$A$6:$A$115,0))+N(I97),""))</f>
        <v/>
      </c>
      <c r="V97" s="11" t="str">
        <f aca="false">IF($E97="","",IFERROR(R97+S97+T97+U97,""))</f>
        <v/>
      </c>
      <c r="W97" s="11" t="str">
        <f aca="false">IF(ISNUMBER(V97),V97*Parametros!$B$12,"")</f>
        <v/>
      </c>
      <c r="X97" s="30" t="str">
        <f aca="false">IF(AND(ISNUMBER(V97),N(J97)&gt;0),(J97-V97-J97*Parametros!$B$8)/J97,"")</f>
        <v/>
      </c>
      <c r="Y97" s="10" t="str">
        <f aca="false">IF(AND(ISNUMBER(V97),N(J97)&gt;0),J97-V97-J97*Parametros!$B$8,"")</f>
        <v/>
      </c>
      <c r="Z97" s="29" t="str">
        <f aca="false">IF(AND(ISNUMBER(P97),M97&lt;&gt;""),IFERROR(1/(P97*INDEX(Telas!$G$6:$G$105,MATCH(M97,Telas!$A$6:$A$105,0))),""),"")</f>
        <v/>
      </c>
      <c r="AA97" s="7" t="str">
        <f aca="false">IF($E97="","",IF(ISNUMBER(V97),"OK",IF(Q97="","Precio o peso por metro de "&amp;M97&amp;". ","")&amp;IFERROR(INDEX(Recetas!$AG$6:$AG$115,MATCH($E97,Recetas!$A$6:$A$115,0)),"Molde no existe en Recetas.")))</f>
        <v/>
      </c>
    </row>
    <row r="98" customFormat="false" ht="15" hidden="false" customHeight="false" outlineLevel="0" collapsed="false">
      <c r="A98" s="27"/>
      <c r="B98" s="27"/>
      <c r="C98" s="27"/>
      <c r="D98" s="27"/>
      <c r="E98" s="27"/>
      <c r="F98" s="8"/>
      <c r="G98" s="8"/>
      <c r="H98" s="8"/>
      <c r="I98" s="15"/>
      <c r="J98" s="15"/>
      <c r="K98" s="27"/>
      <c r="L98" s="27"/>
      <c r="M98" s="7" t="str">
        <f aca="false">IF($E98="","",IF(F98="",IFERROR(INDEX(Recetas!$K$6:$K$115,MATCH($E98,Recetas!$A$6:$A$115,0))&amp;"",""),F98))</f>
        <v/>
      </c>
      <c r="N98" s="7" t="str">
        <f aca="false">IF($E98="","",IF(AND(G98="",N(IFERROR(INDEX(Recetas!$T$6:$T$115,MATCH($E98,Recetas!$A$6:$A$115,0)),1))=0),"—",IF(G98="",IFERROR(INDEX(Recetas!$L$6:$L$115,MATCH($E98,Recetas!$A$6:$A$115,0))&amp;"",""),G98)))</f>
        <v/>
      </c>
      <c r="O98" s="7" t="str">
        <f aca="false">IF($E98="","",IF(AND(H98="",N(IFERROR(INDEX(Recetas!$W$6:$W$115,MATCH($E98,Recetas!$A$6:$A$115,0)),1))=0),"—",IF(H98="",IFERROR(IF(INDEX(Recetas!$M$6:$M$115,MATCH($E98,Recetas!$A$6:$A$115,0))&amp;""="",M98,INDEX(Recetas!$M$6:$M$115,MATCH($E98,Recetas!$A$6:$A$115,0))&amp;""),""),H98)))</f>
        <v/>
      </c>
      <c r="P98" s="9" t="str">
        <f aca="false">IF($E98="","",IFERROR(INDEX(Recetas!$Q$6:$Q$115,MATCH($E98,Recetas!$A$6:$A$115,0)),""))</f>
        <v/>
      </c>
      <c r="Q98" s="10" t="str">
        <f aca="false">IF($E98="","",IFERROR(INDEX(Telas!$I$6:$I$105,MATCH(M98,Telas!$A$6:$A$105,0)),""))</f>
        <v/>
      </c>
      <c r="R98" s="10" t="str">
        <f aca="false">IF($E98="","",IFERROR(IF(ISNUMBER(P98),IF(P98=0,0,P98*INDEX(Telas!$I$6:$I$105,MATCH(M98,Telas!$A$6:$A$105,0))),NA())+IF(ISNUMBER(INDEX(Recetas!$T$6:$T$115,MATCH($E98,Recetas!$A$6:$A$115,0))),IF(INDEX(Recetas!$T$6:$T$115,MATCH($E98,Recetas!$A$6:$A$115,0))=0,0,INDEX(Recetas!$T$6:$T$115,MATCH($E98,Recetas!$A$6:$A$115,0))*INDEX(Telas!$I$6:$I$105,MATCH(N98,Telas!$A$6:$A$105,0))),NA())+IF(ISNUMBER(INDEX(Recetas!$W$6:$W$115,MATCH($E98,Recetas!$A$6:$A$115,0))),IF(INDEX(Recetas!$W$6:$W$115,MATCH($E98,Recetas!$A$6:$A$115,0))=0,0,INDEX(Recetas!$W$6:$W$115,MATCH($E98,Recetas!$A$6:$A$115,0))*INDEX(Telas!$I$6:$I$105,MATCH(O98,Telas!$A$6:$A$105,0))),NA()),""))</f>
        <v/>
      </c>
      <c r="S98" s="10" t="str">
        <f aca="false">IF($E98="","",IFERROR(INDEX(Recetas!$AA$6:$AA$115,MATCH($E98,Recetas!$A$6:$A$115,0))*1,""))</f>
        <v/>
      </c>
      <c r="T98" s="10" t="str">
        <f aca="false">IF($E98="","",IFERROR(INDEX(Recetas!$AB$6:$AB$115,MATCH($E98,Recetas!$A$6:$A$115,0))*1,""))</f>
        <v/>
      </c>
      <c r="U98" s="10" t="str">
        <f aca="false">IF($E98="","",IFERROR(INDEX(Recetas!$AC$6:$AC$115,MATCH($E98,Recetas!$A$6:$A$115,0))+N(I98),""))</f>
        <v/>
      </c>
      <c r="V98" s="11" t="str">
        <f aca="false">IF($E98="","",IFERROR(R98+S98+T98+U98,""))</f>
        <v/>
      </c>
      <c r="W98" s="11" t="str">
        <f aca="false">IF(ISNUMBER(V98),V98*Parametros!$B$12,"")</f>
        <v/>
      </c>
      <c r="X98" s="30" t="str">
        <f aca="false">IF(AND(ISNUMBER(V98),N(J98)&gt;0),(J98-V98-J98*Parametros!$B$8)/J98,"")</f>
        <v/>
      </c>
      <c r="Y98" s="10" t="str">
        <f aca="false">IF(AND(ISNUMBER(V98),N(J98)&gt;0),J98-V98-J98*Parametros!$B$8,"")</f>
        <v/>
      </c>
      <c r="Z98" s="29" t="str">
        <f aca="false">IF(AND(ISNUMBER(P98),M98&lt;&gt;""),IFERROR(1/(P98*INDEX(Telas!$G$6:$G$105,MATCH(M98,Telas!$A$6:$A$105,0))),""),"")</f>
        <v/>
      </c>
      <c r="AA98" s="7" t="str">
        <f aca="false">IF($E98="","",IF(ISNUMBER(V98),"OK",IF(Q98="","Precio o peso por metro de "&amp;M98&amp;". ","")&amp;IFERROR(INDEX(Recetas!$AG$6:$AG$115,MATCH($E98,Recetas!$A$6:$A$115,0)),"Molde no existe en Recetas.")))</f>
        <v/>
      </c>
    </row>
    <row r="99" customFormat="false" ht="15" hidden="false" customHeight="false" outlineLevel="0" collapsed="false">
      <c r="A99" s="27"/>
      <c r="B99" s="27"/>
      <c r="C99" s="27"/>
      <c r="D99" s="27"/>
      <c r="E99" s="27"/>
      <c r="F99" s="8"/>
      <c r="G99" s="8"/>
      <c r="H99" s="8"/>
      <c r="I99" s="15"/>
      <c r="J99" s="15"/>
      <c r="K99" s="27"/>
      <c r="L99" s="27"/>
      <c r="M99" s="7" t="str">
        <f aca="false">IF($E99="","",IF(F99="",IFERROR(INDEX(Recetas!$K$6:$K$115,MATCH($E99,Recetas!$A$6:$A$115,0))&amp;"",""),F99))</f>
        <v/>
      </c>
      <c r="N99" s="7" t="str">
        <f aca="false">IF($E99="","",IF(AND(G99="",N(IFERROR(INDEX(Recetas!$T$6:$T$115,MATCH($E99,Recetas!$A$6:$A$115,0)),1))=0),"—",IF(G99="",IFERROR(INDEX(Recetas!$L$6:$L$115,MATCH($E99,Recetas!$A$6:$A$115,0))&amp;"",""),G99)))</f>
        <v/>
      </c>
      <c r="O99" s="7" t="str">
        <f aca="false">IF($E99="","",IF(AND(H99="",N(IFERROR(INDEX(Recetas!$W$6:$W$115,MATCH($E99,Recetas!$A$6:$A$115,0)),1))=0),"—",IF(H99="",IFERROR(IF(INDEX(Recetas!$M$6:$M$115,MATCH($E99,Recetas!$A$6:$A$115,0))&amp;""="",M99,INDEX(Recetas!$M$6:$M$115,MATCH($E99,Recetas!$A$6:$A$115,0))&amp;""),""),H99)))</f>
        <v/>
      </c>
      <c r="P99" s="9" t="str">
        <f aca="false">IF($E99="","",IFERROR(INDEX(Recetas!$Q$6:$Q$115,MATCH($E99,Recetas!$A$6:$A$115,0)),""))</f>
        <v/>
      </c>
      <c r="Q99" s="10" t="str">
        <f aca="false">IF($E99="","",IFERROR(INDEX(Telas!$I$6:$I$105,MATCH(M99,Telas!$A$6:$A$105,0)),""))</f>
        <v/>
      </c>
      <c r="R99" s="10" t="str">
        <f aca="false">IF($E99="","",IFERROR(IF(ISNUMBER(P99),IF(P99=0,0,P99*INDEX(Telas!$I$6:$I$105,MATCH(M99,Telas!$A$6:$A$105,0))),NA())+IF(ISNUMBER(INDEX(Recetas!$T$6:$T$115,MATCH($E99,Recetas!$A$6:$A$115,0))),IF(INDEX(Recetas!$T$6:$T$115,MATCH($E99,Recetas!$A$6:$A$115,0))=0,0,INDEX(Recetas!$T$6:$T$115,MATCH($E99,Recetas!$A$6:$A$115,0))*INDEX(Telas!$I$6:$I$105,MATCH(N99,Telas!$A$6:$A$105,0))),NA())+IF(ISNUMBER(INDEX(Recetas!$W$6:$W$115,MATCH($E99,Recetas!$A$6:$A$115,0))),IF(INDEX(Recetas!$W$6:$W$115,MATCH($E99,Recetas!$A$6:$A$115,0))=0,0,INDEX(Recetas!$W$6:$W$115,MATCH($E99,Recetas!$A$6:$A$115,0))*INDEX(Telas!$I$6:$I$105,MATCH(O99,Telas!$A$6:$A$105,0))),NA()),""))</f>
        <v/>
      </c>
      <c r="S99" s="10" t="str">
        <f aca="false">IF($E99="","",IFERROR(INDEX(Recetas!$AA$6:$AA$115,MATCH($E99,Recetas!$A$6:$A$115,0))*1,""))</f>
        <v/>
      </c>
      <c r="T99" s="10" t="str">
        <f aca="false">IF($E99="","",IFERROR(INDEX(Recetas!$AB$6:$AB$115,MATCH($E99,Recetas!$A$6:$A$115,0))*1,""))</f>
        <v/>
      </c>
      <c r="U99" s="10" t="str">
        <f aca="false">IF($E99="","",IFERROR(INDEX(Recetas!$AC$6:$AC$115,MATCH($E99,Recetas!$A$6:$A$115,0))+N(I99),""))</f>
        <v/>
      </c>
      <c r="V99" s="11" t="str">
        <f aca="false">IF($E99="","",IFERROR(R99+S99+T99+U99,""))</f>
        <v/>
      </c>
      <c r="W99" s="11" t="str">
        <f aca="false">IF(ISNUMBER(V99),V99*Parametros!$B$12,"")</f>
        <v/>
      </c>
      <c r="X99" s="30" t="str">
        <f aca="false">IF(AND(ISNUMBER(V99),N(J99)&gt;0),(J99-V99-J99*Parametros!$B$8)/J99,"")</f>
        <v/>
      </c>
      <c r="Y99" s="10" t="str">
        <f aca="false">IF(AND(ISNUMBER(V99),N(J99)&gt;0),J99-V99-J99*Parametros!$B$8,"")</f>
        <v/>
      </c>
      <c r="Z99" s="29" t="str">
        <f aca="false">IF(AND(ISNUMBER(P99),M99&lt;&gt;""),IFERROR(1/(P99*INDEX(Telas!$G$6:$G$105,MATCH(M99,Telas!$A$6:$A$105,0))),""),"")</f>
        <v/>
      </c>
      <c r="AA99" s="7" t="str">
        <f aca="false">IF($E99="","",IF(ISNUMBER(V99),"OK",IF(Q99="","Precio o peso por metro de "&amp;M99&amp;". ","")&amp;IFERROR(INDEX(Recetas!$AG$6:$AG$115,MATCH($E99,Recetas!$A$6:$A$115,0)),"Molde no existe en Recetas.")))</f>
        <v/>
      </c>
    </row>
    <row r="100" customFormat="false" ht="15" hidden="false" customHeight="false" outlineLevel="0" collapsed="false">
      <c r="A100" s="27"/>
      <c r="B100" s="27"/>
      <c r="C100" s="27"/>
      <c r="D100" s="27"/>
      <c r="E100" s="27"/>
      <c r="F100" s="8"/>
      <c r="G100" s="8"/>
      <c r="H100" s="8"/>
      <c r="I100" s="15"/>
      <c r="J100" s="15"/>
      <c r="K100" s="27"/>
      <c r="L100" s="27"/>
      <c r="M100" s="7" t="str">
        <f aca="false">IF($E100="","",IF(F100="",IFERROR(INDEX(Recetas!$K$6:$K$115,MATCH($E100,Recetas!$A$6:$A$115,0))&amp;"",""),F100))</f>
        <v/>
      </c>
      <c r="N100" s="7" t="str">
        <f aca="false">IF($E100="","",IF(AND(G100="",N(IFERROR(INDEX(Recetas!$T$6:$T$115,MATCH($E100,Recetas!$A$6:$A$115,0)),1))=0),"—",IF(G100="",IFERROR(INDEX(Recetas!$L$6:$L$115,MATCH($E100,Recetas!$A$6:$A$115,0))&amp;"",""),G100)))</f>
        <v/>
      </c>
      <c r="O100" s="7" t="str">
        <f aca="false">IF($E100="","",IF(AND(H100="",N(IFERROR(INDEX(Recetas!$W$6:$W$115,MATCH($E100,Recetas!$A$6:$A$115,0)),1))=0),"—",IF(H100="",IFERROR(IF(INDEX(Recetas!$M$6:$M$115,MATCH($E100,Recetas!$A$6:$A$115,0))&amp;""="",M100,INDEX(Recetas!$M$6:$M$115,MATCH($E100,Recetas!$A$6:$A$115,0))&amp;""),""),H100)))</f>
        <v/>
      </c>
      <c r="P100" s="9" t="str">
        <f aca="false">IF($E100="","",IFERROR(INDEX(Recetas!$Q$6:$Q$115,MATCH($E100,Recetas!$A$6:$A$115,0)),""))</f>
        <v/>
      </c>
      <c r="Q100" s="10" t="str">
        <f aca="false">IF($E100="","",IFERROR(INDEX(Telas!$I$6:$I$105,MATCH(M100,Telas!$A$6:$A$105,0)),""))</f>
        <v/>
      </c>
      <c r="R100" s="10" t="str">
        <f aca="false">IF($E100="","",IFERROR(IF(ISNUMBER(P100),IF(P100=0,0,P100*INDEX(Telas!$I$6:$I$105,MATCH(M100,Telas!$A$6:$A$105,0))),NA())+IF(ISNUMBER(INDEX(Recetas!$T$6:$T$115,MATCH($E100,Recetas!$A$6:$A$115,0))),IF(INDEX(Recetas!$T$6:$T$115,MATCH($E100,Recetas!$A$6:$A$115,0))=0,0,INDEX(Recetas!$T$6:$T$115,MATCH($E100,Recetas!$A$6:$A$115,0))*INDEX(Telas!$I$6:$I$105,MATCH(N100,Telas!$A$6:$A$105,0))),NA())+IF(ISNUMBER(INDEX(Recetas!$W$6:$W$115,MATCH($E100,Recetas!$A$6:$A$115,0))),IF(INDEX(Recetas!$W$6:$W$115,MATCH($E100,Recetas!$A$6:$A$115,0))=0,0,INDEX(Recetas!$W$6:$W$115,MATCH($E100,Recetas!$A$6:$A$115,0))*INDEX(Telas!$I$6:$I$105,MATCH(O100,Telas!$A$6:$A$105,0))),NA()),""))</f>
        <v/>
      </c>
      <c r="S100" s="10" t="str">
        <f aca="false">IF($E100="","",IFERROR(INDEX(Recetas!$AA$6:$AA$115,MATCH($E100,Recetas!$A$6:$A$115,0))*1,""))</f>
        <v/>
      </c>
      <c r="T100" s="10" t="str">
        <f aca="false">IF($E100="","",IFERROR(INDEX(Recetas!$AB$6:$AB$115,MATCH($E100,Recetas!$A$6:$A$115,0))*1,""))</f>
        <v/>
      </c>
      <c r="U100" s="10" t="str">
        <f aca="false">IF($E100="","",IFERROR(INDEX(Recetas!$AC$6:$AC$115,MATCH($E100,Recetas!$A$6:$A$115,0))+N(I100),""))</f>
        <v/>
      </c>
      <c r="V100" s="11" t="str">
        <f aca="false">IF($E100="","",IFERROR(R100+S100+T100+U100,""))</f>
        <v/>
      </c>
      <c r="W100" s="11" t="str">
        <f aca="false">IF(ISNUMBER(V100),V100*Parametros!$B$12,"")</f>
        <v/>
      </c>
      <c r="X100" s="30" t="str">
        <f aca="false">IF(AND(ISNUMBER(V100),N(J100)&gt;0),(J100-V100-J100*Parametros!$B$8)/J100,"")</f>
        <v/>
      </c>
      <c r="Y100" s="10" t="str">
        <f aca="false">IF(AND(ISNUMBER(V100),N(J100)&gt;0),J100-V100-J100*Parametros!$B$8,"")</f>
        <v/>
      </c>
      <c r="Z100" s="29" t="str">
        <f aca="false">IF(AND(ISNUMBER(P100),M100&lt;&gt;""),IFERROR(1/(P100*INDEX(Telas!$G$6:$G$105,MATCH(M100,Telas!$A$6:$A$105,0))),""),"")</f>
        <v/>
      </c>
      <c r="AA100" s="7" t="str">
        <f aca="false">IF($E100="","",IF(ISNUMBER(V100),"OK",IF(Q100="","Precio o peso por metro de "&amp;M100&amp;". ","")&amp;IFERROR(INDEX(Recetas!$AG$6:$AG$115,MATCH($E100,Recetas!$A$6:$A$115,0)),"Molde no existe en Recetas.")))</f>
        <v/>
      </c>
    </row>
    <row r="101" customFormat="false" ht="15" hidden="false" customHeight="false" outlineLevel="0" collapsed="false">
      <c r="A101" s="27"/>
      <c r="B101" s="27"/>
      <c r="C101" s="27"/>
      <c r="D101" s="27"/>
      <c r="E101" s="27"/>
      <c r="F101" s="8"/>
      <c r="G101" s="8"/>
      <c r="H101" s="8"/>
      <c r="I101" s="15"/>
      <c r="J101" s="15"/>
      <c r="K101" s="27"/>
      <c r="L101" s="27"/>
      <c r="M101" s="7" t="str">
        <f aca="false">IF($E101="","",IF(F101="",IFERROR(INDEX(Recetas!$K$6:$K$115,MATCH($E101,Recetas!$A$6:$A$115,0))&amp;"",""),F101))</f>
        <v/>
      </c>
      <c r="N101" s="7" t="str">
        <f aca="false">IF($E101="","",IF(AND(G101="",N(IFERROR(INDEX(Recetas!$T$6:$T$115,MATCH($E101,Recetas!$A$6:$A$115,0)),1))=0),"—",IF(G101="",IFERROR(INDEX(Recetas!$L$6:$L$115,MATCH($E101,Recetas!$A$6:$A$115,0))&amp;"",""),G101)))</f>
        <v/>
      </c>
      <c r="O101" s="7" t="str">
        <f aca="false">IF($E101="","",IF(AND(H101="",N(IFERROR(INDEX(Recetas!$W$6:$W$115,MATCH($E101,Recetas!$A$6:$A$115,0)),1))=0),"—",IF(H101="",IFERROR(IF(INDEX(Recetas!$M$6:$M$115,MATCH($E101,Recetas!$A$6:$A$115,0))&amp;""="",M101,INDEX(Recetas!$M$6:$M$115,MATCH($E101,Recetas!$A$6:$A$115,0))&amp;""),""),H101)))</f>
        <v/>
      </c>
      <c r="P101" s="9" t="str">
        <f aca="false">IF($E101="","",IFERROR(INDEX(Recetas!$Q$6:$Q$115,MATCH($E101,Recetas!$A$6:$A$115,0)),""))</f>
        <v/>
      </c>
      <c r="Q101" s="10" t="str">
        <f aca="false">IF($E101="","",IFERROR(INDEX(Telas!$I$6:$I$105,MATCH(M101,Telas!$A$6:$A$105,0)),""))</f>
        <v/>
      </c>
      <c r="R101" s="10" t="str">
        <f aca="false">IF($E101="","",IFERROR(IF(ISNUMBER(P101),IF(P101=0,0,P101*INDEX(Telas!$I$6:$I$105,MATCH(M101,Telas!$A$6:$A$105,0))),NA())+IF(ISNUMBER(INDEX(Recetas!$T$6:$T$115,MATCH($E101,Recetas!$A$6:$A$115,0))),IF(INDEX(Recetas!$T$6:$T$115,MATCH($E101,Recetas!$A$6:$A$115,0))=0,0,INDEX(Recetas!$T$6:$T$115,MATCH($E101,Recetas!$A$6:$A$115,0))*INDEX(Telas!$I$6:$I$105,MATCH(N101,Telas!$A$6:$A$105,0))),NA())+IF(ISNUMBER(INDEX(Recetas!$W$6:$W$115,MATCH($E101,Recetas!$A$6:$A$115,0))),IF(INDEX(Recetas!$W$6:$W$115,MATCH($E101,Recetas!$A$6:$A$115,0))=0,0,INDEX(Recetas!$W$6:$W$115,MATCH($E101,Recetas!$A$6:$A$115,0))*INDEX(Telas!$I$6:$I$105,MATCH(O101,Telas!$A$6:$A$105,0))),NA()),""))</f>
        <v/>
      </c>
      <c r="S101" s="10" t="str">
        <f aca="false">IF($E101="","",IFERROR(INDEX(Recetas!$AA$6:$AA$115,MATCH($E101,Recetas!$A$6:$A$115,0))*1,""))</f>
        <v/>
      </c>
      <c r="T101" s="10" t="str">
        <f aca="false">IF($E101="","",IFERROR(INDEX(Recetas!$AB$6:$AB$115,MATCH($E101,Recetas!$A$6:$A$115,0))*1,""))</f>
        <v/>
      </c>
      <c r="U101" s="10" t="str">
        <f aca="false">IF($E101="","",IFERROR(INDEX(Recetas!$AC$6:$AC$115,MATCH($E101,Recetas!$A$6:$A$115,0))+N(I101),""))</f>
        <v/>
      </c>
      <c r="V101" s="11" t="str">
        <f aca="false">IF($E101="","",IFERROR(R101+S101+T101+U101,""))</f>
        <v/>
      </c>
      <c r="W101" s="11" t="str">
        <f aca="false">IF(ISNUMBER(V101),V101*Parametros!$B$12,"")</f>
        <v/>
      </c>
      <c r="X101" s="30" t="str">
        <f aca="false">IF(AND(ISNUMBER(V101),N(J101)&gt;0),(J101-V101-J101*Parametros!$B$8)/J101,"")</f>
        <v/>
      </c>
      <c r="Y101" s="10" t="str">
        <f aca="false">IF(AND(ISNUMBER(V101),N(J101)&gt;0),J101-V101-J101*Parametros!$B$8,"")</f>
        <v/>
      </c>
      <c r="Z101" s="29" t="str">
        <f aca="false">IF(AND(ISNUMBER(P101),M101&lt;&gt;""),IFERROR(1/(P101*INDEX(Telas!$G$6:$G$105,MATCH(M101,Telas!$A$6:$A$105,0))),""),"")</f>
        <v/>
      </c>
      <c r="AA101" s="7" t="str">
        <f aca="false">IF($E101="","",IF(ISNUMBER(V101),"OK",IF(Q101="","Precio o peso por metro de "&amp;M101&amp;". ","")&amp;IFERROR(INDEX(Recetas!$AG$6:$AG$115,MATCH($E101,Recetas!$A$6:$A$115,0)),"Molde no existe en Recetas.")))</f>
        <v/>
      </c>
    </row>
    <row r="102" customFormat="false" ht="15" hidden="false" customHeight="false" outlineLevel="0" collapsed="false">
      <c r="A102" s="27"/>
      <c r="B102" s="27"/>
      <c r="C102" s="27"/>
      <c r="D102" s="27"/>
      <c r="E102" s="27"/>
      <c r="F102" s="8"/>
      <c r="G102" s="8"/>
      <c r="H102" s="8"/>
      <c r="I102" s="15"/>
      <c r="J102" s="15"/>
      <c r="K102" s="27"/>
      <c r="L102" s="27"/>
      <c r="M102" s="7" t="str">
        <f aca="false">IF($E102="","",IF(F102="",IFERROR(INDEX(Recetas!$K$6:$K$115,MATCH($E102,Recetas!$A$6:$A$115,0))&amp;"",""),F102))</f>
        <v/>
      </c>
      <c r="N102" s="7" t="str">
        <f aca="false">IF($E102="","",IF(AND(G102="",N(IFERROR(INDEX(Recetas!$T$6:$T$115,MATCH($E102,Recetas!$A$6:$A$115,0)),1))=0),"—",IF(G102="",IFERROR(INDEX(Recetas!$L$6:$L$115,MATCH($E102,Recetas!$A$6:$A$115,0))&amp;"",""),G102)))</f>
        <v/>
      </c>
      <c r="O102" s="7" t="str">
        <f aca="false">IF($E102="","",IF(AND(H102="",N(IFERROR(INDEX(Recetas!$W$6:$W$115,MATCH($E102,Recetas!$A$6:$A$115,0)),1))=0),"—",IF(H102="",IFERROR(IF(INDEX(Recetas!$M$6:$M$115,MATCH($E102,Recetas!$A$6:$A$115,0))&amp;""="",M102,INDEX(Recetas!$M$6:$M$115,MATCH($E102,Recetas!$A$6:$A$115,0))&amp;""),""),H102)))</f>
        <v/>
      </c>
      <c r="P102" s="9" t="str">
        <f aca="false">IF($E102="","",IFERROR(INDEX(Recetas!$Q$6:$Q$115,MATCH($E102,Recetas!$A$6:$A$115,0)),""))</f>
        <v/>
      </c>
      <c r="Q102" s="10" t="str">
        <f aca="false">IF($E102="","",IFERROR(INDEX(Telas!$I$6:$I$105,MATCH(M102,Telas!$A$6:$A$105,0)),""))</f>
        <v/>
      </c>
      <c r="R102" s="10" t="str">
        <f aca="false">IF($E102="","",IFERROR(IF(ISNUMBER(P102),IF(P102=0,0,P102*INDEX(Telas!$I$6:$I$105,MATCH(M102,Telas!$A$6:$A$105,0))),NA())+IF(ISNUMBER(INDEX(Recetas!$T$6:$T$115,MATCH($E102,Recetas!$A$6:$A$115,0))),IF(INDEX(Recetas!$T$6:$T$115,MATCH($E102,Recetas!$A$6:$A$115,0))=0,0,INDEX(Recetas!$T$6:$T$115,MATCH($E102,Recetas!$A$6:$A$115,0))*INDEX(Telas!$I$6:$I$105,MATCH(N102,Telas!$A$6:$A$105,0))),NA())+IF(ISNUMBER(INDEX(Recetas!$W$6:$W$115,MATCH($E102,Recetas!$A$6:$A$115,0))),IF(INDEX(Recetas!$W$6:$W$115,MATCH($E102,Recetas!$A$6:$A$115,0))=0,0,INDEX(Recetas!$W$6:$W$115,MATCH($E102,Recetas!$A$6:$A$115,0))*INDEX(Telas!$I$6:$I$105,MATCH(O102,Telas!$A$6:$A$105,0))),NA()),""))</f>
        <v/>
      </c>
      <c r="S102" s="10" t="str">
        <f aca="false">IF($E102="","",IFERROR(INDEX(Recetas!$AA$6:$AA$115,MATCH($E102,Recetas!$A$6:$A$115,0))*1,""))</f>
        <v/>
      </c>
      <c r="T102" s="10" t="str">
        <f aca="false">IF($E102="","",IFERROR(INDEX(Recetas!$AB$6:$AB$115,MATCH($E102,Recetas!$A$6:$A$115,0))*1,""))</f>
        <v/>
      </c>
      <c r="U102" s="10" t="str">
        <f aca="false">IF($E102="","",IFERROR(INDEX(Recetas!$AC$6:$AC$115,MATCH($E102,Recetas!$A$6:$A$115,0))+N(I102),""))</f>
        <v/>
      </c>
      <c r="V102" s="11" t="str">
        <f aca="false">IF($E102="","",IFERROR(R102+S102+T102+U102,""))</f>
        <v/>
      </c>
      <c r="W102" s="11" t="str">
        <f aca="false">IF(ISNUMBER(V102),V102*Parametros!$B$12,"")</f>
        <v/>
      </c>
      <c r="X102" s="30" t="str">
        <f aca="false">IF(AND(ISNUMBER(V102),N(J102)&gt;0),(J102-V102-J102*Parametros!$B$8)/J102,"")</f>
        <v/>
      </c>
      <c r="Y102" s="10" t="str">
        <f aca="false">IF(AND(ISNUMBER(V102),N(J102)&gt;0),J102-V102-J102*Parametros!$B$8,"")</f>
        <v/>
      </c>
      <c r="Z102" s="29" t="str">
        <f aca="false">IF(AND(ISNUMBER(P102),M102&lt;&gt;""),IFERROR(1/(P102*INDEX(Telas!$G$6:$G$105,MATCH(M102,Telas!$A$6:$A$105,0))),""),"")</f>
        <v/>
      </c>
      <c r="AA102" s="7" t="str">
        <f aca="false">IF($E102="","",IF(ISNUMBER(V102),"OK",IF(Q102="","Precio o peso por metro de "&amp;M102&amp;". ","")&amp;IFERROR(INDEX(Recetas!$AG$6:$AG$115,MATCH($E102,Recetas!$A$6:$A$115,0)),"Molde no existe en Recetas.")))</f>
        <v/>
      </c>
    </row>
    <row r="103" customFormat="false" ht="15" hidden="false" customHeight="false" outlineLevel="0" collapsed="false">
      <c r="A103" s="27"/>
      <c r="B103" s="27"/>
      <c r="C103" s="27"/>
      <c r="D103" s="27"/>
      <c r="E103" s="27"/>
      <c r="F103" s="8"/>
      <c r="G103" s="8"/>
      <c r="H103" s="8"/>
      <c r="I103" s="15"/>
      <c r="J103" s="15"/>
      <c r="K103" s="27"/>
      <c r="L103" s="27"/>
      <c r="M103" s="7" t="str">
        <f aca="false">IF($E103="","",IF(F103="",IFERROR(INDEX(Recetas!$K$6:$K$115,MATCH($E103,Recetas!$A$6:$A$115,0))&amp;"",""),F103))</f>
        <v/>
      </c>
      <c r="N103" s="7" t="str">
        <f aca="false">IF($E103="","",IF(AND(G103="",N(IFERROR(INDEX(Recetas!$T$6:$T$115,MATCH($E103,Recetas!$A$6:$A$115,0)),1))=0),"—",IF(G103="",IFERROR(INDEX(Recetas!$L$6:$L$115,MATCH($E103,Recetas!$A$6:$A$115,0))&amp;"",""),G103)))</f>
        <v/>
      </c>
      <c r="O103" s="7" t="str">
        <f aca="false">IF($E103="","",IF(AND(H103="",N(IFERROR(INDEX(Recetas!$W$6:$W$115,MATCH($E103,Recetas!$A$6:$A$115,0)),1))=0),"—",IF(H103="",IFERROR(IF(INDEX(Recetas!$M$6:$M$115,MATCH($E103,Recetas!$A$6:$A$115,0))&amp;""="",M103,INDEX(Recetas!$M$6:$M$115,MATCH($E103,Recetas!$A$6:$A$115,0))&amp;""),""),H103)))</f>
        <v/>
      </c>
      <c r="P103" s="9" t="str">
        <f aca="false">IF($E103="","",IFERROR(INDEX(Recetas!$Q$6:$Q$115,MATCH($E103,Recetas!$A$6:$A$115,0)),""))</f>
        <v/>
      </c>
      <c r="Q103" s="10" t="str">
        <f aca="false">IF($E103="","",IFERROR(INDEX(Telas!$I$6:$I$105,MATCH(M103,Telas!$A$6:$A$105,0)),""))</f>
        <v/>
      </c>
      <c r="R103" s="10" t="str">
        <f aca="false">IF($E103="","",IFERROR(IF(ISNUMBER(P103),IF(P103=0,0,P103*INDEX(Telas!$I$6:$I$105,MATCH(M103,Telas!$A$6:$A$105,0))),NA())+IF(ISNUMBER(INDEX(Recetas!$T$6:$T$115,MATCH($E103,Recetas!$A$6:$A$115,0))),IF(INDEX(Recetas!$T$6:$T$115,MATCH($E103,Recetas!$A$6:$A$115,0))=0,0,INDEX(Recetas!$T$6:$T$115,MATCH($E103,Recetas!$A$6:$A$115,0))*INDEX(Telas!$I$6:$I$105,MATCH(N103,Telas!$A$6:$A$105,0))),NA())+IF(ISNUMBER(INDEX(Recetas!$W$6:$W$115,MATCH($E103,Recetas!$A$6:$A$115,0))),IF(INDEX(Recetas!$W$6:$W$115,MATCH($E103,Recetas!$A$6:$A$115,0))=0,0,INDEX(Recetas!$W$6:$W$115,MATCH($E103,Recetas!$A$6:$A$115,0))*INDEX(Telas!$I$6:$I$105,MATCH(O103,Telas!$A$6:$A$105,0))),NA()),""))</f>
        <v/>
      </c>
      <c r="S103" s="10" t="str">
        <f aca="false">IF($E103="","",IFERROR(INDEX(Recetas!$AA$6:$AA$115,MATCH($E103,Recetas!$A$6:$A$115,0))*1,""))</f>
        <v/>
      </c>
      <c r="T103" s="10" t="str">
        <f aca="false">IF($E103="","",IFERROR(INDEX(Recetas!$AB$6:$AB$115,MATCH($E103,Recetas!$A$6:$A$115,0))*1,""))</f>
        <v/>
      </c>
      <c r="U103" s="10" t="str">
        <f aca="false">IF($E103="","",IFERROR(INDEX(Recetas!$AC$6:$AC$115,MATCH($E103,Recetas!$A$6:$A$115,0))+N(I103),""))</f>
        <v/>
      </c>
      <c r="V103" s="11" t="str">
        <f aca="false">IF($E103="","",IFERROR(R103+S103+T103+U103,""))</f>
        <v/>
      </c>
      <c r="W103" s="11" t="str">
        <f aca="false">IF(ISNUMBER(V103),V103*Parametros!$B$12,"")</f>
        <v/>
      </c>
      <c r="X103" s="30" t="str">
        <f aca="false">IF(AND(ISNUMBER(V103),N(J103)&gt;0),(J103-V103-J103*Parametros!$B$8)/J103,"")</f>
        <v/>
      </c>
      <c r="Y103" s="10" t="str">
        <f aca="false">IF(AND(ISNUMBER(V103),N(J103)&gt;0),J103-V103-J103*Parametros!$B$8,"")</f>
        <v/>
      </c>
      <c r="Z103" s="29" t="str">
        <f aca="false">IF(AND(ISNUMBER(P103),M103&lt;&gt;""),IFERROR(1/(P103*INDEX(Telas!$G$6:$G$105,MATCH(M103,Telas!$A$6:$A$105,0))),""),"")</f>
        <v/>
      </c>
      <c r="AA103" s="7" t="str">
        <f aca="false">IF($E103="","",IF(ISNUMBER(V103),"OK",IF(Q103="","Precio o peso por metro de "&amp;M103&amp;". ","")&amp;IFERROR(INDEX(Recetas!$AG$6:$AG$115,MATCH($E103,Recetas!$A$6:$A$115,0)),"Molde no existe en Recetas.")))</f>
        <v/>
      </c>
    </row>
    <row r="104" customFormat="false" ht="15" hidden="false" customHeight="false" outlineLevel="0" collapsed="false">
      <c r="A104" s="27"/>
      <c r="B104" s="27"/>
      <c r="C104" s="27"/>
      <c r="D104" s="27"/>
      <c r="E104" s="27"/>
      <c r="F104" s="8"/>
      <c r="G104" s="8"/>
      <c r="H104" s="8"/>
      <c r="I104" s="15"/>
      <c r="J104" s="15"/>
      <c r="K104" s="27"/>
      <c r="L104" s="27"/>
      <c r="M104" s="7" t="str">
        <f aca="false">IF($E104="","",IF(F104="",IFERROR(INDEX(Recetas!$K$6:$K$115,MATCH($E104,Recetas!$A$6:$A$115,0))&amp;"",""),F104))</f>
        <v/>
      </c>
      <c r="N104" s="7" t="str">
        <f aca="false">IF($E104="","",IF(AND(G104="",N(IFERROR(INDEX(Recetas!$T$6:$T$115,MATCH($E104,Recetas!$A$6:$A$115,0)),1))=0),"—",IF(G104="",IFERROR(INDEX(Recetas!$L$6:$L$115,MATCH($E104,Recetas!$A$6:$A$115,0))&amp;"",""),G104)))</f>
        <v/>
      </c>
      <c r="O104" s="7" t="str">
        <f aca="false">IF($E104="","",IF(AND(H104="",N(IFERROR(INDEX(Recetas!$W$6:$W$115,MATCH($E104,Recetas!$A$6:$A$115,0)),1))=0),"—",IF(H104="",IFERROR(IF(INDEX(Recetas!$M$6:$M$115,MATCH($E104,Recetas!$A$6:$A$115,0))&amp;""="",M104,INDEX(Recetas!$M$6:$M$115,MATCH($E104,Recetas!$A$6:$A$115,0))&amp;""),""),H104)))</f>
        <v/>
      </c>
      <c r="P104" s="9" t="str">
        <f aca="false">IF($E104="","",IFERROR(INDEX(Recetas!$Q$6:$Q$115,MATCH($E104,Recetas!$A$6:$A$115,0)),""))</f>
        <v/>
      </c>
      <c r="Q104" s="10" t="str">
        <f aca="false">IF($E104="","",IFERROR(INDEX(Telas!$I$6:$I$105,MATCH(M104,Telas!$A$6:$A$105,0)),""))</f>
        <v/>
      </c>
      <c r="R104" s="10" t="str">
        <f aca="false">IF($E104="","",IFERROR(IF(ISNUMBER(P104),IF(P104=0,0,P104*INDEX(Telas!$I$6:$I$105,MATCH(M104,Telas!$A$6:$A$105,0))),NA())+IF(ISNUMBER(INDEX(Recetas!$T$6:$T$115,MATCH($E104,Recetas!$A$6:$A$115,0))),IF(INDEX(Recetas!$T$6:$T$115,MATCH($E104,Recetas!$A$6:$A$115,0))=0,0,INDEX(Recetas!$T$6:$T$115,MATCH($E104,Recetas!$A$6:$A$115,0))*INDEX(Telas!$I$6:$I$105,MATCH(N104,Telas!$A$6:$A$105,0))),NA())+IF(ISNUMBER(INDEX(Recetas!$W$6:$W$115,MATCH($E104,Recetas!$A$6:$A$115,0))),IF(INDEX(Recetas!$W$6:$W$115,MATCH($E104,Recetas!$A$6:$A$115,0))=0,0,INDEX(Recetas!$W$6:$W$115,MATCH($E104,Recetas!$A$6:$A$115,0))*INDEX(Telas!$I$6:$I$105,MATCH(O104,Telas!$A$6:$A$105,0))),NA()),""))</f>
        <v/>
      </c>
      <c r="S104" s="10" t="str">
        <f aca="false">IF($E104="","",IFERROR(INDEX(Recetas!$AA$6:$AA$115,MATCH($E104,Recetas!$A$6:$A$115,0))*1,""))</f>
        <v/>
      </c>
      <c r="T104" s="10" t="str">
        <f aca="false">IF($E104="","",IFERROR(INDEX(Recetas!$AB$6:$AB$115,MATCH($E104,Recetas!$A$6:$A$115,0))*1,""))</f>
        <v/>
      </c>
      <c r="U104" s="10" t="str">
        <f aca="false">IF($E104="","",IFERROR(INDEX(Recetas!$AC$6:$AC$115,MATCH($E104,Recetas!$A$6:$A$115,0))+N(I104),""))</f>
        <v/>
      </c>
      <c r="V104" s="11" t="str">
        <f aca="false">IF($E104="","",IFERROR(R104+S104+T104+U104,""))</f>
        <v/>
      </c>
      <c r="W104" s="11" t="str">
        <f aca="false">IF(ISNUMBER(V104),V104*Parametros!$B$12,"")</f>
        <v/>
      </c>
      <c r="X104" s="30" t="str">
        <f aca="false">IF(AND(ISNUMBER(V104),N(J104)&gt;0),(J104-V104-J104*Parametros!$B$8)/J104,"")</f>
        <v/>
      </c>
      <c r="Y104" s="10" t="str">
        <f aca="false">IF(AND(ISNUMBER(V104),N(J104)&gt;0),J104-V104-J104*Parametros!$B$8,"")</f>
        <v/>
      </c>
      <c r="Z104" s="29" t="str">
        <f aca="false">IF(AND(ISNUMBER(P104),M104&lt;&gt;""),IFERROR(1/(P104*INDEX(Telas!$G$6:$G$105,MATCH(M104,Telas!$A$6:$A$105,0))),""),"")</f>
        <v/>
      </c>
      <c r="AA104" s="7" t="str">
        <f aca="false">IF($E104="","",IF(ISNUMBER(V104),"OK",IF(Q104="","Precio o peso por metro de "&amp;M104&amp;". ","")&amp;IFERROR(INDEX(Recetas!$AG$6:$AG$115,MATCH($E104,Recetas!$A$6:$A$115,0)),"Molde no existe en Recetas.")))</f>
        <v/>
      </c>
    </row>
    <row r="105" customFormat="false" ht="15" hidden="false" customHeight="false" outlineLevel="0" collapsed="false">
      <c r="A105" s="27"/>
      <c r="B105" s="27"/>
      <c r="C105" s="27"/>
      <c r="D105" s="27"/>
      <c r="E105" s="27"/>
      <c r="F105" s="8"/>
      <c r="G105" s="8"/>
      <c r="H105" s="8"/>
      <c r="I105" s="15"/>
      <c r="J105" s="15"/>
      <c r="K105" s="27"/>
      <c r="L105" s="27"/>
      <c r="M105" s="7" t="str">
        <f aca="false">IF($E105="","",IF(F105="",IFERROR(INDEX(Recetas!$K$6:$K$115,MATCH($E105,Recetas!$A$6:$A$115,0))&amp;"",""),F105))</f>
        <v/>
      </c>
      <c r="N105" s="7" t="str">
        <f aca="false">IF($E105="","",IF(AND(G105="",N(IFERROR(INDEX(Recetas!$T$6:$T$115,MATCH($E105,Recetas!$A$6:$A$115,0)),1))=0),"—",IF(G105="",IFERROR(INDEX(Recetas!$L$6:$L$115,MATCH($E105,Recetas!$A$6:$A$115,0))&amp;"",""),G105)))</f>
        <v/>
      </c>
      <c r="O105" s="7" t="str">
        <f aca="false">IF($E105="","",IF(AND(H105="",N(IFERROR(INDEX(Recetas!$W$6:$W$115,MATCH($E105,Recetas!$A$6:$A$115,0)),1))=0),"—",IF(H105="",IFERROR(IF(INDEX(Recetas!$M$6:$M$115,MATCH($E105,Recetas!$A$6:$A$115,0))&amp;""="",M105,INDEX(Recetas!$M$6:$M$115,MATCH($E105,Recetas!$A$6:$A$115,0))&amp;""),""),H105)))</f>
        <v/>
      </c>
      <c r="P105" s="9" t="str">
        <f aca="false">IF($E105="","",IFERROR(INDEX(Recetas!$Q$6:$Q$115,MATCH($E105,Recetas!$A$6:$A$115,0)),""))</f>
        <v/>
      </c>
      <c r="Q105" s="10" t="str">
        <f aca="false">IF($E105="","",IFERROR(INDEX(Telas!$I$6:$I$105,MATCH(M105,Telas!$A$6:$A$105,0)),""))</f>
        <v/>
      </c>
      <c r="R105" s="10" t="str">
        <f aca="false">IF($E105="","",IFERROR(IF(ISNUMBER(P105),IF(P105=0,0,P105*INDEX(Telas!$I$6:$I$105,MATCH(M105,Telas!$A$6:$A$105,0))),NA())+IF(ISNUMBER(INDEX(Recetas!$T$6:$T$115,MATCH($E105,Recetas!$A$6:$A$115,0))),IF(INDEX(Recetas!$T$6:$T$115,MATCH($E105,Recetas!$A$6:$A$115,0))=0,0,INDEX(Recetas!$T$6:$T$115,MATCH($E105,Recetas!$A$6:$A$115,0))*INDEX(Telas!$I$6:$I$105,MATCH(N105,Telas!$A$6:$A$105,0))),NA())+IF(ISNUMBER(INDEX(Recetas!$W$6:$W$115,MATCH($E105,Recetas!$A$6:$A$115,0))),IF(INDEX(Recetas!$W$6:$W$115,MATCH($E105,Recetas!$A$6:$A$115,0))=0,0,INDEX(Recetas!$W$6:$W$115,MATCH($E105,Recetas!$A$6:$A$115,0))*INDEX(Telas!$I$6:$I$105,MATCH(O105,Telas!$A$6:$A$105,0))),NA()),""))</f>
        <v/>
      </c>
      <c r="S105" s="10" t="str">
        <f aca="false">IF($E105="","",IFERROR(INDEX(Recetas!$AA$6:$AA$115,MATCH($E105,Recetas!$A$6:$A$115,0))*1,""))</f>
        <v/>
      </c>
      <c r="T105" s="10" t="str">
        <f aca="false">IF($E105="","",IFERROR(INDEX(Recetas!$AB$6:$AB$115,MATCH($E105,Recetas!$A$6:$A$115,0))*1,""))</f>
        <v/>
      </c>
      <c r="U105" s="10" t="str">
        <f aca="false">IF($E105="","",IFERROR(INDEX(Recetas!$AC$6:$AC$115,MATCH($E105,Recetas!$A$6:$A$115,0))+N(I105),""))</f>
        <v/>
      </c>
      <c r="V105" s="11" t="str">
        <f aca="false">IF($E105="","",IFERROR(R105+S105+T105+U105,""))</f>
        <v/>
      </c>
      <c r="W105" s="11" t="str">
        <f aca="false">IF(ISNUMBER(V105),V105*Parametros!$B$12,"")</f>
        <v/>
      </c>
      <c r="X105" s="30" t="str">
        <f aca="false">IF(AND(ISNUMBER(V105),N(J105)&gt;0),(J105-V105-J105*Parametros!$B$8)/J105,"")</f>
        <v/>
      </c>
      <c r="Y105" s="10" t="str">
        <f aca="false">IF(AND(ISNUMBER(V105),N(J105)&gt;0),J105-V105-J105*Parametros!$B$8,"")</f>
        <v/>
      </c>
      <c r="Z105" s="29" t="str">
        <f aca="false">IF(AND(ISNUMBER(P105),M105&lt;&gt;""),IFERROR(1/(P105*INDEX(Telas!$G$6:$G$105,MATCH(M105,Telas!$A$6:$A$105,0))),""),"")</f>
        <v/>
      </c>
      <c r="AA105" s="7" t="str">
        <f aca="false">IF($E105="","",IF(ISNUMBER(V105),"OK",IF(Q105="","Precio o peso por metro de "&amp;M105&amp;". ","")&amp;IFERROR(INDEX(Recetas!$AG$6:$AG$115,MATCH($E105,Recetas!$A$6:$A$115,0)),"Molde no existe en Recetas.")))</f>
        <v/>
      </c>
    </row>
    <row r="106" customFormat="false" ht="15" hidden="false" customHeight="false" outlineLevel="0" collapsed="false">
      <c r="A106" s="27"/>
      <c r="B106" s="27"/>
      <c r="C106" s="27"/>
      <c r="D106" s="27"/>
      <c r="E106" s="27"/>
      <c r="F106" s="8"/>
      <c r="G106" s="8"/>
      <c r="H106" s="8"/>
      <c r="I106" s="15"/>
      <c r="J106" s="15"/>
      <c r="K106" s="27"/>
      <c r="L106" s="27"/>
      <c r="M106" s="7" t="str">
        <f aca="false">IF($E106="","",IF(F106="",IFERROR(INDEX(Recetas!$K$6:$K$115,MATCH($E106,Recetas!$A$6:$A$115,0))&amp;"",""),F106))</f>
        <v/>
      </c>
      <c r="N106" s="7" t="str">
        <f aca="false">IF($E106="","",IF(AND(G106="",N(IFERROR(INDEX(Recetas!$T$6:$T$115,MATCH($E106,Recetas!$A$6:$A$115,0)),1))=0),"—",IF(G106="",IFERROR(INDEX(Recetas!$L$6:$L$115,MATCH($E106,Recetas!$A$6:$A$115,0))&amp;"",""),G106)))</f>
        <v/>
      </c>
      <c r="O106" s="7" t="str">
        <f aca="false">IF($E106="","",IF(AND(H106="",N(IFERROR(INDEX(Recetas!$W$6:$W$115,MATCH($E106,Recetas!$A$6:$A$115,0)),1))=0),"—",IF(H106="",IFERROR(IF(INDEX(Recetas!$M$6:$M$115,MATCH($E106,Recetas!$A$6:$A$115,0))&amp;""="",M106,INDEX(Recetas!$M$6:$M$115,MATCH($E106,Recetas!$A$6:$A$115,0))&amp;""),""),H106)))</f>
        <v/>
      </c>
      <c r="P106" s="9" t="str">
        <f aca="false">IF($E106="","",IFERROR(INDEX(Recetas!$Q$6:$Q$115,MATCH($E106,Recetas!$A$6:$A$115,0)),""))</f>
        <v/>
      </c>
      <c r="Q106" s="10" t="str">
        <f aca="false">IF($E106="","",IFERROR(INDEX(Telas!$I$6:$I$105,MATCH(M106,Telas!$A$6:$A$105,0)),""))</f>
        <v/>
      </c>
      <c r="R106" s="10" t="str">
        <f aca="false">IF($E106="","",IFERROR(IF(ISNUMBER(P106),IF(P106=0,0,P106*INDEX(Telas!$I$6:$I$105,MATCH(M106,Telas!$A$6:$A$105,0))),NA())+IF(ISNUMBER(INDEX(Recetas!$T$6:$T$115,MATCH($E106,Recetas!$A$6:$A$115,0))),IF(INDEX(Recetas!$T$6:$T$115,MATCH($E106,Recetas!$A$6:$A$115,0))=0,0,INDEX(Recetas!$T$6:$T$115,MATCH($E106,Recetas!$A$6:$A$115,0))*INDEX(Telas!$I$6:$I$105,MATCH(N106,Telas!$A$6:$A$105,0))),NA())+IF(ISNUMBER(INDEX(Recetas!$W$6:$W$115,MATCH($E106,Recetas!$A$6:$A$115,0))),IF(INDEX(Recetas!$W$6:$W$115,MATCH($E106,Recetas!$A$6:$A$115,0))=0,0,INDEX(Recetas!$W$6:$W$115,MATCH($E106,Recetas!$A$6:$A$115,0))*INDEX(Telas!$I$6:$I$105,MATCH(O106,Telas!$A$6:$A$105,0))),NA()),""))</f>
        <v/>
      </c>
      <c r="S106" s="10" t="str">
        <f aca="false">IF($E106="","",IFERROR(INDEX(Recetas!$AA$6:$AA$115,MATCH($E106,Recetas!$A$6:$A$115,0))*1,""))</f>
        <v/>
      </c>
      <c r="T106" s="10" t="str">
        <f aca="false">IF($E106="","",IFERROR(INDEX(Recetas!$AB$6:$AB$115,MATCH($E106,Recetas!$A$6:$A$115,0))*1,""))</f>
        <v/>
      </c>
      <c r="U106" s="10" t="str">
        <f aca="false">IF($E106="","",IFERROR(INDEX(Recetas!$AC$6:$AC$115,MATCH($E106,Recetas!$A$6:$A$115,0))+N(I106),""))</f>
        <v/>
      </c>
      <c r="V106" s="11" t="str">
        <f aca="false">IF($E106="","",IFERROR(R106+S106+T106+U106,""))</f>
        <v/>
      </c>
      <c r="W106" s="11" t="str">
        <f aca="false">IF(ISNUMBER(V106),V106*Parametros!$B$12,"")</f>
        <v/>
      </c>
      <c r="X106" s="30" t="str">
        <f aca="false">IF(AND(ISNUMBER(V106),N(J106)&gt;0),(J106-V106-J106*Parametros!$B$8)/J106,"")</f>
        <v/>
      </c>
      <c r="Y106" s="10" t="str">
        <f aca="false">IF(AND(ISNUMBER(V106),N(J106)&gt;0),J106-V106-J106*Parametros!$B$8,"")</f>
        <v/>
      </c>
      <c r="Z106" s="29" t="str">
        <f aca="false">IF(AND(ISNUMBER(P106),M106&lt;&gt;""),IFERROR(1/(P106*INDEX(Telas!$G$6:$G$105,MATCH(M106,Telas!$A$6:$A$105,0))),""),"")</f>
        <v/>
      </c>
      <c r="AA106" s="7" t="str">
        <f aca="false">IF($E106="","",IF(ISNUMBER(V106),"OK",IF(Q106="","Precio o peso por metro de "&amp;M106&amp;". ","")&amp;IFERROR(INDEX(Recetas!$AG$6:$AG$115,MATCH($E106,Recetas!$A$6:$A$115,0)),"Molde no existe en Recetas.")))</f>
        <v/>
      </c>
    </row>
    <row r="107" customFormat="false" ht="15" hidden="false" customHeight="false" outlineLevel="0" collapsed="false">
      <c r="A107" s="27"/>
      <c r="B107" s="27"/>
      <c r="C107" s="27"/>
      <c r="D107" s="27"/>
      <c r="E107" s="27"/>
      <c r="F107" s="8"/>
      <c r="G107" s="8"/>
      <c r="H107" s="8"/>
      <c r="I107" s="15"/>
      <c r="J107" s="15"/>
      <c r="K107" s="27"/>
      <c r="L107" s="27"/>
      <c r="M107" s="7" t="str">
        <f aca="false">IF($E107="","",IF(F107="",IFERROR(INDEX(Recetas!$K$6:$K$115,MATCH($E107,Recetas!$A$6:$A$115,0))&amp;"",""),F107))</f>
        <v/>
      </c>
      <c r="N107" s="7" t="str">
        <f aca="false">IF($E107="","",IF(AND(G107="",N(IFERROR(INDEX(Recetas!$T$6:$T$115,MATCH($E107,Recetas!$A$6:$A$115,0)),1))=0),"—",IF(G107="",IFERROR(INDEX(Recetas!$L$6:$L$115,MATCH($E107,Recetas!$A$6:$A$115,0))&amp;"",""),G107)))</f>
        <v/>
      </c>
      <c r="O107" s="7" t="str">
        <f aca="false">IF($E107="","",IF(AND(H107="",N(IFERROR(INDEX(Recetas!$W$6:$W$115,MATCH($E107,Recetas!$A$6:$A$115,0)),1))=0),"—",IF(H107="",IFERROR(IF(INDEX(Recetas!$M$6:$M$115,MATCH($E107,Recetas!$A$6:$A$115,0))&amp;""="",M107,INDEX(Recetas!$M$6:$M$115,MATCH($E107,Recetas!$A$6:$A$115,0))&amp;""),""),H107)))</f>
        <v/>
      </c>
      <c r="P107" s="9" t="str">
        <f aca="false">IF($E107="","",IFERROR(INDEX(Recetas!$Q$6:$Q$115,MATCH($E107,Recetas!$A$6:$A$115,0)),""))</f>
        <v/>
      </c>
      <c r="Q107" s="10" t="str">
        <f aca="false">IF($E107="","",IFERROR(INDEX(Telas!$I$6:$I$105,MATCH(M107,Telas!$A$6:$A$105,0)),""))</f>
        <v/>
      </c>
      <c r="R107" s="10" t="str">
        <f aca="false">IF($E107="","",IFERROR(IF(ISNUMBER(P107),IF(P107=0,0,P107*INDEX(Telas!$I$6:$I$105,MATCH(M107,Telas!$A$6:$A$105,0))),NA())+IF(ISNUMBER(INDEX(Recetas!$T$6:$T$115,MATCH($E107,Recetas!$A$6:$A$115,0))),IF(INDEX(Recetas!$T$6:$T$115,MATCH($E107,Recetas!$A$6:$A$115,0))=0,0,INDEX(Recetas!$T$6:$T$115,MATCH($E107,Recetas!$A$6:$A$115,0))*INDEX(Telas!$I$6:$I$105,MATCH(N107,Telas!$A$6:$A$105,0))),NA())+IF(ISNUMBER(INDEX(Recetas!$W$6:$W$115,MATCH($E107,Recetas!$A$6:$A$115,0))),IF(INDEX(Recetas!$W$6:$W$115,MATCH($E107,Recetas!$A$6:$A$115,0))=0,0,INDEX(Recetas!$W$6:$W$115,MATCH($E107,Recetas!$A$6:$A$115,0))*INDEX(Telas!$I$6:$I$105,MATCH(O107,Telas!$A$6:$A$105,0))),NA()),""))</f>
        <v/>
      </c>
      <c r="S107" s="10" t="str">
        <f aca="false">IF($E107="","",IFERROR(INDEX(Recetas!$AA$6:$AA$115,MATCH($E107,Recetas!$A$6:$A$115,0))*1,""))</f>
        <v/>
      </c>
      <c r="T107" s="10" t="str">
        <f aca="false">IF($E107="","",IFERROR(INDEX(Recetas!$AB$6:$AB$115,MATCH($E107,Recetas!$A$6:$A$115,0))*1,""))</f>
        <v/>
      </c>
      <c r="U107" s="10" t="str">
        <f aca="false">IF($E107="","",IFERROR(INDEX(Recetas!$AC$6:$AC$115,MATCH($E107,Recetas!$A$6:$A$115,0))+N(I107),""))</f>
        <v/>
      </c>
      <c r="V107" s="11" t="str">
        <f aca="false">IF($E107="","",IFERROR(R107+S107+T107+U107,""))</f>
        <v/>
      </c>
      <c r="W107" s="11" t="str">
        <f aca="false">IF(ISNUMBER(V107),V107*Parametros!$B$12,"")</f>
        <v/>
      </c>
      <c r="X107" s="30" t="str">
        <f aca="false">IF(AND(ISNUMBER(V107),N(J107)&gt;0),(J107-V107-J107*Parametros!$B$8)/J107,"")</f>
        <v/>
      </c>
      <c r="Y107" s="10" t="str">
        <f aca="false">IF(AND(ISNUMBER(V107),N(J107)&gt;0),J107-V107-J107*Parametros!$B$8,"")</f>
        <v/>
      </c>
      <c r="Z107" s="29" t="str">
        <f aca="false">IF(AND(ISNUMBER(P107),M107&lt;&gt;""),IFERROR(1/(P107*INDEX(Telas!$G$6:$G$105,MATCH(M107,Telas!$A$6:$A$105,0))),""),"")</f>
        <v/>
      </c>
      <c r="AA107" s="7" t="str">
        <f aca="false">IF($E107="","",IF(ISNUMBER(V107),"OK",IF(Q107="","Precio o peso por metro de "&amp;M107&amp;". ","")&amp;IFERROR(INDEX(Recetas!$AG$6:$AG$115,MATCH($E107,Recetas!$A$6:$A$115,0)),"Molde no existe en Recetas.")))</f>
        <v/>
      </c>
    </row>
    <row r="108" customFormat="false" ht="15" hidden="false" customHeight="false" outlineLevel="0" collapsed="false">
      <c r="A108" s="27"/>
      <c r="B108" s="27"/>
      <c r="C108" s="27"/>
      <c r="D108" s="27"/>
      <c r="E108" s="27"/>
      <c r="F108" s="8"/>
      <c r="G108" s="8"/>
      <c r="H108" s="8"/>
      <c r="I108" s="15"/>
      <c r="J108" s="15"/>
      <c r="K108" s="27"/>
      <c r="L108" s="27"/>
      <c r="M108" s="7" t="str">
        <f aca="false">IF($E108="","",IF(F108="",IFERROR(INDEX(Recetas!$K$6:$K$115,MATCH($E108,Recetas!$A$6:$A$115,0))&amp;"",""),F108))</f>
        <v/>
      </c>
      <c r="N108" s="7" t="str">
        <f aca="false">IF($E108="","",IF(AND(G108="",N(IFERROR(INDEX(Recetas!$T$6:$T$115,MATCH($E108,Recetas!$A$6:$A$115,0)),1))=0),"—",IF(G108="",IFERROR(INDEX(Recetas!$L$6:$L$115,MATCH($E108,Recetas!$A$6:$A$115,0))&amp;"",""),G108)))</f>
        <v/>
      </c>
      <c r="O108" s="7" t="str">
        <f aca="false">IF($E108="","",IF(AND(H108="",N(IFERROR(INDEX(Recetas!$W$6:$W$115,MATCH($E108,Recetas!$A$6:$A$115,0)),1))=0),"—",IF(H108="",IFERROR(IF(INDEX(Recetas!$M$6:$M$115,MATCH($E108,Recetas!$A$6:$A$115,0))&amp;""="",M108,INDEX(Recetas!$M$6:$M$115,MATCH($E108,Recetas!$A$6:$A$115,0))&amp;""),""),H108)))</f>
        <v/>
      </c>
      <c r="P108" s="9" t="str">
        <f aca="false">IF($E108="","",IFERROR(INDEX(Recetas!$Q$6:$Q$115,MATCH($E108,Recetas!$A$6:$A$115,0)),""))</f>
        <v/>
      </c>
      <c r="Q108" s="10" t="str">
        <f aca="false">IF($E108="","",IFERROR(INDEX(Telas!$I$6:$I$105,MATCH(M108,Telas!$A$6:$A$105,0)),""))</f>
        <v/>
      </c>
      <c r="R108" s="10" t="str">
        <f aca="false">IF($E108="","",IFERROR(IF(ISNUMBER(P108),IF(P108=0,0,P108*INDEX(Telas!$I$6:$I$105,MATCH(M108,Telas!$A$6:$A$105,0))),NA())+IF(ISNUMBER(INDEX(Recetas!$T$6:$T$115,MATCH($E108,Recetas!$A$6:$A$115,0))),IF(INDEX(Recetas!$T$6:$T$115,MATCH($E108,Recetas!$A$6:$A$115,0))=0,0,INDEX(Recetas!$T$6:$T$115,MATCH($E108,Recetas!$A$6:$A$115,0))*INDEX(Telas!$I$6:$I$105,MATCH(N108,Telas!$A$6:$A$105,0))),NA())+IF(ISNUMBER(INDEX(Recetas!$W$6:$W$115,MATCH($E108,Recetas!$A$6:$A$115,0))),IF(INDEX(Recetas!$W$6:$W$115,MATCH($E108,Recetas!$A$6:$A$115,0))=0,0,INDEX(Recetas!$W$6:$W$115,MATCH($E108,Recetas!$A$6:$A$115,0))*INDEX(Telas!$I$6:$I$105,MATCH(O108,Telas!$A$6:$A$105,0))),NA()),""))</f>
        <v/>
      </c>
      <c r="S108" s="10" t="str">
        <f aca="false">IF($E108="","",IFERROR(INDEX(Recetas!$AA$6:$AA$115,MATCH($E108,Recetas!$A$6:$A$115,0))*1,""))</f>
        <v/>
      </c>
      <c r="T108" s="10" t="str">
        <f aca="false">IF($E108="","",IFERROR(INDEX(Recetas!$AB$6:$AB$115,MATCH($E108,Recetas!$A$6:$A$115,0))*1,""))</f>
        <v/>
      </c>
      <c r="U108" s="10" t="str">
        <f aca="false">IF($E108="","",IFERROR(INDEX(Recetas!$AC$6:$AC$115,MATCH($E108,Recetas!$A$6:$A$115,0))+N(I108),""))</f>
        <v/>
      </c>
      <c r="V108" s="11" t="str">
        <f aca="false">IF($E108="","",IFERROR(R108+S108+T108+U108,""))</f>
        <v/>
      </c>
      <c r="W108" s="11" t="str">
        <f aca="false">IF(ISNUMBER(V108),V108*Parametros!$B$12,"")</f>
        <v/>
      </c>
      <c r="X108" s="30" t="str">
        <f aca="false">IF(AND(ISNUMBER(V108),N(J108)&gt;0),(J108-V108-J108*Parametros!$B$8)/J108,"")</f>
        <v/>
      </c>
      <c r="Y108" s="10" t="str">
        <f aca="false">IF(AND(ISNUMBER(V108),N(J108)&gt;0),J108-V108-J108*Parametros!$B$8,"")</f>
        <v/>
      </c>
      <c r="Z108" s="29" t="str">
        <f aca="false">IF(AND(ISNUMBER(P108),M108&lt;&gt;""),IFERROR(1/(P108*INDEX(Telas!$G$6:$G$105,MATCH(M108,Telas!$A$6:$A$105,0))),""),"")</f>
        <v/>
      </c>
      <c r="AA108" s="7" t="str">
        <f aca="false">IF($E108="","",IF(ISNUMBER(V108),"OK",IF(Q108="","Precio o peso por metro de "&amp;M108&amp;". ","")&amp;IFERROR(INDEX(Recetas!$AG$6:$AG$115,MATCH($E108,Recetas!$A$6:$A$115,0)),"Molde no existe en Recetas.")))</f>
        <v/>
      </c>
    </row>
    <row r="109" customFormat="false" ht="15" hidden="false" customHeight="false" outlineLevel="0" collapsed="false">
      <c r="A109" s="27"/>
      <c r="B109" s="27"/>
      <c r="C109" s="27"/>
      <c r="D109" s="27"/>
      <c r="E109" s="27"/>
      <c r="F109" s="8"/>
      <c r="G109" s="8"/>
      <c r="H109" s="8"/>
      <c r="I109" s="15"/>
      <c r="J109" s="15"/>
      <c r="K109" s="27"/>
      <c r="L109" s="27"/>
      <c r="M109" s="7" t="str">
        <f aca="false">IF($E109="","",IF(F109="",IFERROR(INDEX(Recetas!$K$6:$K$115,MATCH($E109,Recetas!$A$6:$A$115,0))&amp;"",""),F109))</f>
        <v/>
      </c>
      <c r="N109" s="7" t="str">
        <f aca="false">IF($E109="","",IF(AND(G109="",N(IFERROR(INDEX(Recetas!$T$6:$T$115,MATCH($E109,Recetas!$A$6:$A$115,0)),1))=0),"—",IF(G109="",IFERROR(INDEX(Recetas!$L$6:$L$115,MATCH($E109,Recetas!$A$6:$A$115,0))&amp;"",""),G109)))</f>
        <v/>
      </c>
      <c r="O109" s="7" t="str">
        <f aca="false">IF($E109="","",IF(AND(H109="",N(IFERROR(INDEX(Recetas!$W$6:$W$115,MATCH($E109,Recetas!$A$6:$A$115,0)),1))=0),"—",IF(H109="",IFERROR(IF(INDEX(Recetas!$M$6:$M$115,MATCH($E109,Recetas!$A$6:$A$115,0))&amp;""="",M109,INDEX(Recetas!$M$6:$M$115,MATCH($E109,Recetas!$A$6:$A$115,0))&amp;""),""),H109)))</f>
        <v/>
      </c>
      <c r="P109" s="9" t="str">
        <f aca="false">IF($E109="","",IFERROR(INDEX(Recetas!$Q$6:$Q$115,MATCH($E109,Recetas!$A$6:$A$115,0)),""))</f>
        <v/>
      </c>
      <c r="Q109" s="10" t="str">
        <f aca="false">IF($E109="","",IFERROR(INDEX(Telas!$I$6:$I$105,MATCH(M109,Telas!$A$6:$A$105,0)),""))</f>
        <v/>
      </c>
      <c r="R109" s="10" t="str">
        <f aca="false">IF($E109="","",IFERROR(IF(ISNUMBER(P109),IF(P109=0,0,P109*INDEX(Telas!$I$6:$I$105,MATCH(M109,Telas!$A$6:$A$105,0))),NA())+IF(ISNUMBER(INDEX(Recetas!$T$6:$T$115,MATCH($E109,Recetas!$A$6:$A$115,0))),IF(INDEX(Recetas!$T$6:$T$115,MATCH($E109,Recetas!$A$6:$A$115,0))=0,0,INDEX(Recetas!$T$6:$T$115,MATCH($E109,Recetas!$A$6:$A$115,0))*INDEX(Telas!$I$6:$I$105,MATCH(N109,Telas!$A$6:$A$105,0))),NA())+IF(ISNUMBER(INDEX(Recetas!$W$6:$W$115,MATCH($E109,Recetas!$A$6:$A$115,0))),IF(INDEX(Recetas!$W$6:$W$115,MATCH($E109,Recetas!$A$6:$A$115,0))=0,0,INDEX(Recetas!$W$6:$W$115,MATCH($E109,Recetas!$A$6:$A$115,0))*INDEX(Telas!$I$6:$I$105,MATCH(O109,Telas!$A$6:$A$105,0))),NA()),""))</f>
        <v/>
      </c>
      <c r="S109" s="10" t="str">
        <f aca="false">IF($E109="","",IFERROR(INDEX(Recetas!$AA$6:$AA$115,MATCH($E109,Recetas!$A$6:$A$115,0))*1,""))</f>
        <v/>
      </c>
      <c r="T109" s="10" t="str">
        <f aca="false">IF($E109="","",IFERROR(INDEX(Recetas!$AB$6:$AB$115,MATCH($E109,Recetas!$A$6:$A$115,0))*1,""))</f>
        <v/>
      </c>
      <c r="U109" s="10" t="str">
        <f aca="false">IF($E109="","",IFERROR(INDEX(Recetas!$AC$6:$AC$115,MATCH($E109,Recetas!$A$6:$A$115,0))+N(I109),""))</f>
        <v/>
      </c>
      <c r="V109" s="11" t="str">
        <f aca="false">IF($E109="","",IFERROR(R109+S109+T109+U109,""))</f>
        <v/>
      </c>
      <c r="W109" s="11" t="str">
        <f aca="false">IF(ISNUMBER(V109),V109*Parametros!$B$12,"")</f>
        <v/>
      </c>
      <c r="X109" s="30" t="str">
        <f aca="false">IF(AND(ISNUMBER(V109),N(J109)&gt;0),(J109-V109-J109*Parametros!$B$8)/J109,"")</f>
        <v/>
      </c>
      <c r="Y109" s="10" t="str">
        <f aca="false">IF(AND(ISNUMBER(V109),N(J109)&gt;0),J109-V109-J109*Parametros!$B$8,"")</f>
        <v/>
      </c>
      <c r="Z109" s="29" t="str">
        <f aca="false">IF(AND(ISNUMBER(P109),M109&lt;&gt;""),IFERROR(1/(P109*INDEX(Telas!$G$6:$G$105,MATCH(M109,Telas!$A$6:$A$105,0))),""),"")</f>
        <v/>
      </c>
      <c r="AA109" s="7" t="str">
        <f aca="false">IF($E109="","",IF(ISNUMBER(V109),"OK",IF(Q109="","Precio o peso por metro de "&amp;M109&amp;". ","")&amp;IFERROR(INDEX(Recetas!$AG$6:$AG$115,MATCH($E109,Recetas!$A$6:$A$115,0)),"Molde no existe en Recetas.")))</f>
        <v/>
      </c>
    </row>
    <row r="110" customFormat="false" ht="15" hidden="false" customHeight="false" outlineLevel="0" collapsed="false">
      <c r="A110" s="27"/>
      <c r="B110" s="27"/>
      <c r="C110" s="27"/>
      <c r="D110" s="27"/>
      <c r="E110" s="27"/>
      <c r="F110" s="8"/>
      <c r="G110" s="8"/>
      <c r="H110" s="8"/>
      <c r="I110" s="15"/>
      <c r="J110" s="15"/>
      <c r="K110" s="27"/>
      <c r="L110" s="27"/>
      <c r="M110" s="7" t="str">
        <f aca="false">IF($E110="","",IF(F110="",IFERROR(INDEX(Recetas!$K$6:$K$115,MATCH($E110,Recetas!$A$6:$A$115,0))&amp;"",""),F110))</f>
        <v/>
      </c>
      <c r="N110" s="7" t="str">
        <f aca="false">IF($E110="","",IF(AND(G110="",N(IFERROR(INDEX(Recetas!$T$6:$T$115,MATCH($E110,Recetas!$A$6:$A$115,0)),1))=0),"—",IF(G110="",IFERROR(INDEX(Recetas!$L$6:$L$115,MATCH($E110,Recetas!$A$6:$A$115,0))&amp;"",""),G110)))</f>
        <v/>
      </c>
      <c r="O110" s="7" t="str">
        <f aca="false">IF($E110="","",IF(AND(H110="",N(IFERROR(INDEX(Recetas!$W$6:$W$115,MATCH($E110,Recetas!$A$6:$A$115,0)),1))=0),"—",IF(H110="",IFERROR(IF(INDEX(Recetas!$M$6:$M$115,MATCH($E110,Recetas!$A$6:$A$115,0))&amp;""="",M110,INDEX(Recetas!$M$6:$M$115,MATCH($E110,Recetas!$A$6:$A$115,0))&amp;""),""),H110)))</f>
        <v/>
      </c>
      <c r="P110" s="9" t="str">
        <f aca="false">IF($E110="","",IFERROR(INDEX(Recetas!$Q$6:$Q$115,MATCH($E110,Recetas!$A$6:$A$115,0)),""))</f>
        <v/>
      </c>
      <c r="Q110" s="10" t="str">
        <f aca="false">IF($E110="","",IFERROR(INDEX(Telas!$I$6:$I$105,MATCH(M110,Telas!$A$6:$A$105,0)),""))</f>
        <v/>
      </c>
      <c r="R110" s="10" t="str">
        <f aca="false">IF($E110="","",IFERROR(IF(ISNUMBER(P110),IF(P110=0,0,P110*INDEX(Telas!$I$6:$I$105,MATCH(M110,Telas!$A$6:$A$105,0))),NA())+IF(ISNUMBER(INDEX(Recetas!$T$6:$T$115,MATCH($E110,Recetas!$A$6:$A$115,0))),IF(INDEX(Recetas!$T$6:$T$115,MATCH($E110,Recetas!$A$6:$A$115,0))=0,0,INDEX(Recetas!$T$6:$T$115,MATCH($E110,Recetas!$A$6:$A$115,0))*INDEX(Telas!$I$6:$I$105,MATCH(N110,Telas!$A$6:$A$105,0))),NA())+IF(ISNUMBER(INDEX(Recetas!$W$6:$W$115,MATCH($E110,Recetas!$A$6:$A$115,0))),IF(INDEX(Recetas!$W$6:$W$115,MATCH($E110,Recetas!$A$6:$A$115,0))=0,0,INDEX(Recetas!$W$6:$W$115,MATCH($E110,Recetas!$A$6:$A$115,0))*INDEX(Telas!$I$6:$I$105,MATCH(O110,Telas!$A$6:$A$105,0))),NA()),""))</f>
        <v/>
      </c>
      <c r="S110" s="10" t="str">
        <f aca="false">IF($E110="","",IFERROR(INDEX(Recetas!$AA$6:$AA$115,MATCH($E110,Recetas!$A$6:$A$115,0))*1,""))</f>
        <v/>
      </c>
      <c r="T110" s="10" t="str">
        <f aca="false">IF($E110="","",IFERROR(INDEX(Recetas!$AB$6:$AB$115,MATCH($E110,Recetas!$A$6:$A$115,0))*1,""))</f>
        <v/>
      </c>
      <c r="U110" s="10" t="str">
        <f aca="false">IF($E110="","",IFERROR(INDEX(Recetas!$AC$6:$AC$115,MATCH($E110,Recetas!$A$6:$A$115,0))+N(I110),""))</f>
        <v/>
      </c>
      <c r="V110" s="11" t="str">
        <f aca="false">IF($E110="","",IFERROR(R110+S110+T110+U110,""))</f>
        <v/>
      </c>
      <c r="W110" s="11" t="str">
        <f aca="false">IF(ISNUMBER(V110),V110*Parametros!$B$12,"")</f>
        <v/>
      </c>
      <c r="X110" s="30" t="str">
        <f aca="false">IF(AND(ISNUMBER(V110),N(J110)&gt;0),(J110-V110-J110*Parametros!$B$8)/J110,"")</f>
        <v/>
      </c>
      <c r="Y110" s="10" t="str">
        <f aca="false">IF(AND(ISNUMBER(V110),N(J110)&gt;0),J110-V110-J110*Parametros!$B$8,"")</f>
        <v/>
      </c>
      <c r="Z110" s="29" t="str">
        <f aca="false">IF(AND(ISNUMBER(P110),M110&lt;&gt;""),IFERROR(1/(P110*INDEX(Telas!$G$6:$G$105,MATCH(M110,Telas!$A$6:$A$105,0))),""),"")</f>
        <v/>
      </c>
      <c r="AA110" s="7" t="str">
        <f aca="false">IF($E110="","",IF(ISNUMBER(V110),"OK",IF(Q110="","Precio o peso por metro de "&amp;M110&amp;". ","")&amp;IFERROR(INDEX(Recetas!$AG$6:$AG$115,MATCH($E110,Recetas!$A$6:$A$115,0)),"Molde no existe en Recetas.")))</f>
        <v/>
      </c>
    </row>
    <row r="111" customFormat="false" ht="15" hidden="false" customHeight="false" outlineLevel="0" collapsed="false">
      <c r="A111" s="27"/>
      <c r="B111" s="27"/>
      <c r="C111" s="27"/>
      <c r="D111" s="27"/>
      <c r="E111" s="27"/>
      <c r="F111" s="8"/>
      <c r="G111" s="8"/>
      <c r="H111" s="8"/>
      <c r="I111" s="15"/>
      <c r="J111" s="15"/>
      <c r="K111" s="27"/>
      <c r="L111" s="27"/>
      <c r="M111" s="7" t="str">
        <f aca="false">IF($E111="","",IF(F111="",IFERROR(INDEX(Recetas!$K$6:$K$115,MATCH($E111,Recetas!$A$6:$A$115,0))&amp;"",""),F111))</f>
        <v/>
      </c>
      <c r="N111" s="7" t="str">
        <f aca="false">IF($E111="","",IF(AND(G111="",N(IFERROR(INDEX(Recetas!$T$6:$T$115,MATCH($E111,Recetas!$A$6:$A$115,0)),1))=0),"—",IF(G111="",IFERROR(INDEX(Recetas!$L$6:$L$115,MATCH($E111,Recetas!$A$6:$A$115,0))&amp;"",""),G111)))</f>
        <v/>
      </c>
      <c r="O111" s="7" t="str">
        <f aca="false">IF($E111="","",IF(AND(H111="",N(IFERROR(INDEX(Recetas!$W$6:$W$115,MATCH($E111,Recetas!$A$6:$A$115,0)),1))=0),"—",IF(H111="",IFERROR(IF(INDEX(Recetas!$M$6:$M$115,MATCH($E111,Recetas!$A$6:$A$115,0))&amp;""="",M111,INDEX(Recetas!$M$6:$M$115,MATCH($E111,Recetas!$A$6:$A$115,0))&amp;""),""),H111)))</f>
        <v/>
      </c>
      <c r="P111" s="9" t="str">
        <f aca="false">IF($E111="","",IFERROR(INDEX(Recetas!$Q$6:$Q$115,MATCH($E111,Recetas!$A$6:$A$115,0)),""))</f>
        <v/>
      </c>
      <c r="Q111" s="10" t="str">
        <f aca="false">IF($E111="","",IFERROR(INDEX(Telas!$I$6:$I$105,MATCH(M111,Telas!$A$6:$A$105,0)),""))</f>
        <v/>
      </c>
      <c r="R111" s="10" t="str">
        <f aca="false">IF($E111="","",IFERROR(IF(ISNUMBER(P111),IF(P111=0,0,P111*INDEX(Telas!$I$6:$I$105,MATCH(M111,Telas!$A$6:$A$105,0))),NA())+IF(ISNUMBER(INDEX(Recetas!$T$6:$T$115,MATCH($E111,Recetas!$A$6:$A$115,0))),IF(INDEX(Recetas!$T$6:$T$115,MATCH($E111,Recetas!$A$6:$A$115,0))=0,0,INDEX(Recetas!$T$6:$T$115,MATCH($E111,Recetas!$A$6:$A$115,0))*INDEX(Telas!$I$6:$I$105,MATCH(N111,Telas!$A$6:$A$105,0))),NA())+IF(ISNUMBER(INDEX(Recetas!$W$6:$W$115,MATCH($E111,Recetas!$A$6:$A$115,0))),IF(INDEX(Recetas!$W$6:$W$115,MATCH($E111,Recetas!$A$6:$A$115,0))=0,0,INDEX(Recetas!$W$6:$W$115,MATCH($E111,Recetas!$A$6:$A$115,0))*INDEX(Telas!$I$6:$I$105,MATCH(O111,Telas!$A$6:$A$105,0))),NA()),""))</f>
        <v/>
      </c>
      <c r="S111" s="10" t="str">
        <f aca="false">IF($E111="","",IFERROR(INDEX(Recetas!$AA$6:$AA$115,MATCH($E111,Recetas!$A$6:$A$115,0))*1,""))</f>
        <v/>
      </c>
      <c r="T111" s="10" t="str">
        <f aca="false">IF($E111="","",IFERROR(INDEX(Recetas!$AB$6:$AB$115,MATCH($E111,Recetas!$A$6:$A$115,0))*1,""))</f>
        <v/>
      </c>
      <c r="U111" s="10" t="str">
        <f aca="false">IF($E111="","",IFERROR(INDEX(Recetas!$AC$6:$AC$115,MATCH($E111,Recetas!$A$6:$A$115,0))+N(I111),""))</f>
        <v/>
      </c>
      <c r="V111" s="11" t="str">
        <f aca="false">IF($E111="","",IFERROR(R111+S111+T111+U111,""))</f>
        <v/>
      </c>
      <c r="W111" s="11" t="str">
        <f aca="false">IF(ISNUMBER(V111),V111*Parametros!$B$12,"")</f>
        <v/>
      </c>
      <c r="X111" s="30" t="str">
        <f aca="false">IF(AND(ISNUMBER(V111),N(J111)&gt;0),(J111-V111-J111*Parametros!$B$8)/J111,"")</f>
        <v/>
      </c>
      <c r="Y111" s="10" t="str">
        <f aca="false">IF(AND(ISNUMBER(V111),N(J111)&gt;0),J111-V111-J111*Parametros!$B$8,"")</f>
        <v/>
      </c>
      <c r="Z111" s="29" t="str">
        <f aca="false">IF(AND(ISNUMBER(P111),M111&lt;&gt;""),IFERROR(1/(P111*INDEX(Telas!$G$6:$G$105,MATCH(M111,Telas!$A$6:$A$105,0))),""),"")</f>
        <v/>
      </c>
      <c r="AA111" s="7" t="str">
        <f aca="false">IF($E111="","",IF(ISNUMBER(V111),"OK",IF(Q111="","Precio o peso por metro de "&amp;M111&amp;". ","")&amp;IFERROR(INDEX(Recetas!$AG$6:$AG$115,MATCH($E111,Recetas!$A$6:$A$115,0)),"Molde no existe en Recetas.")))</f>
        <v/>
      </c>
    </row>
    <row r="112" customFormat="false" ht="15" hidden="false" customHeight="false" outlineLevel="0" collapsed="false">
      <c r="A112" s="27"/>
      <c r="B112" s="27"/>
      <c r="C112" s="27"/>
      <c r="D112" s="27"/>
      <c r="E112" s="27"/>
      <c r="F112" s="8"/>
      <c r="G112" s="8"/>
      <c r="H112" s="8"/>
      <c r="I112" s="15"/>
      <c r="J112" s="15"/>
      <c r="K112" s="27"/>
      <c r="L112" s="27"/>
      <c r="M112" s="7" t="str">
        <f aca="false">IF($E112="","",IF(F112="",IFERROR(INDEX(Recetas!$K$6:$K$115,MATCH($E112,Recetas!$A$6:$A$115,0))&amp;"",""),F112))</f>
        <v/>
      </c>
      <c r="N112" s="7" t="str">
        <f aca="false">IF($E112="","",IF(AND(G112="",N(IFERROR(INDEX(Recetas!$T$6:$T$115,MATCH($E112,Recetas!$A$6:$A$115,0)),1))=0),"—",IF(G112="",IFERROR(INDEX(Recetas!$L$6:$L$115,MATCH($E112,Recetas!$A$6:$A$115,0))&amp;"",""),G112)))</f>
        <v/>
      </c>
      <c r="O112" s="7" t="str">
        <f aca="false">IF($E112="","",IF(AND(H112="",N(IFERROR(INDEX(Recetas!$W$6:$W$115,MATCH($E112,Recetas!$A$6:$A$115,0)),1))=0),"—",IF(H112="",IFERROR(IF(INDEX(Recetas!$M$6:$M$115,MATCH($E112,Recetas!$A$6:$A$115,0))&amp;""="",M112,INDEX(Recetas!$M$6:$M$115,MATCH($E112,Recetas!$A$6:$A$115,0))&amp;""),""),H112)))</f>
        <v/>
      </c>
      <c r="P112" s="9" t="str">
        <f aca="false">IF($E112="","",IFERROR(INDEX(Recetas!$Q$6:$Q$115,MATCH($E112,Recetas!$A$6:$A$115,0)),""))</f>
        <v/>
      </c>
      <c r="Q112" s="10" t="str">
        <f aca="false">IF($E112="","",IFERROR(INDEX(Telas!$I$6:$I$105,MATCH(M112,Telas!$A$6:$A$105,0)),""))</f>
        <v/>
      </c>
      <c r="R112" s="10" t="str">
        <f aca="false">IF($E112="","",IFERROR(IF(ISNUMBER(P112),IF(P112=0,0,P112*INDEX(Telas!$I$6:$I$105,MATCH(M112,Telas!$A$6:$A$105,0))),NA())+IF(ISNUMBER(INDEX(Recetas!$T$6:$T$115,MATCH($E112,Recetas!$A$6:$A$115,0))),IF(INDEX(Recetas!$T$6:$T$115,MATCH($E112,Recetas!$A$6:$A$115,0))=0,0,INDEX(Recetas!$T$6:$T$115,MATCH($E112,Recetas!$A$6:$A$115,0))*INDEX(Telas!$I$6:$I$105,MATCH(N112,Telas!$A$6:$A$105,0))),NA())+IF(ISNUMBER(INDEX(Recetas!$W$6:$W$115,MATCH($E112,Recetas!$A$6:$A$115,0))),IF(INDEX(Recetas!$W$6:$W$115,MATCH($E112,Recetas!$A$6:$A$115,0))=0,0,INDEX(Recetas!$W$6:$W$115,MATCH($E112,Recetas!$A$6:$A$115,0))*INDEX(Telas!$I$6:$I$105,MATCH(O112,Telas!$A$6:$A$105,0))),NA()),""))</f>
        <v/>
      </c>
      <c r="S112" s="10" t="str">
        <f aca="false">IF($E112="","",IFERROR(INDEX(Recetas!$AA$6:$AA$115,MATCH($E112,Recetas!$A$6:$A$115,0))*1,""))</f>
        <v/>
      </c>
      <c r="T112" s="10" t="str">
        <f aca="false">IF($E112="","",IFERROR(INDEX(Recetas!$AB$6:$AB$115,MATCH($E112,Recetas!$A$6:$A$115,0))*1,""))</f>
        <v/>
      </c>
      <c r="U112" s="10" t="str">
        <f aca="false">IF($E112="","",IFERROR(INDEX(Recetas!$AC$6:$AC$115,MATCH($E112,Recetas!$A$6:$A$115,0))+N(I112),""))</f>
        <v/>
      </c>
      <c r="V112" s="11" t="str">
        <f aca="false">IF($E112="","",IFERROR(R112+S112+T112+U112,""))</f>
        <v/>
      </c>
      <c r="W112" s="11" t="str">
        <f aca="false">IF(ISNUMBER(V112),V112*Parametros!$B$12,"")</f>
        <v/>
      </c>
      <c r="X112" s="30" t="str">
        <f aca="false">IF(AND(ISNUMBER(V112),N(J112)&gt;0),(J112-V112-J112*Parametros!$B$8)/J112,"")</f>
        <v/>
      </c>
      <c r="Y112" s="10" t="str">
        <f aca="false">IF(AND(ISNUMBER(V112),N(J112)&gt;0),J112-V112-J112*Parametros!$B$8,"")</f>
        <v/>
      </c>
      <c r="Z112" s="29" t="str">
        <f aca="false">IF(AND(ISNUMBER(P112),M112&lt;&gt;""),IFERROR(1/(P112*INDEX(Telas!$G$6:$G$105,MATCH(M112,Telas!$A$6:$A$105,0))),""),"")</f>
        <v/>
      </c>
      <c r="AA112" s="7" t="str">
        <f aca="false">IF($E112="","",IF(ISNUMBER(V112),"OK",IF(Q112="","Precio o peso por metro de "&amp;M112&amp;". ","")&amp;IFERROR(INDEX(Recetas!$AG$6:$AG$115,MATCH($E112,Recetas!$A$6:$A$115,0)),"Molde no existe en Recetas.")))</f>
        <v/>
      </c>
    </row>
    <row r="113" customFormat="false" ht="15" hidden="false" customHeight="false" outlineLevel="0" collapsed="false">
      <c r="A113" s="27"/>
      <c r="B113" s="27"/>
      <c r="C113" s="27"/>
      <c r="D113" s="27"/>
      <c r="E113" s="27"/>
      <c r="F113" s="8"/>
      <c r="G113" s="8"/>
      <c r="H113" s="8"/>
      <c r="I113" s="15"/>
      <c r="J113" s="15"/>
      <c r="K113" s="27"/>
      <c r="L113" s="27"/>
      <c r="M113" s="7" t="str">
        <f aca="false">IF($E113="","",IF(F113="",IFERROR(INDEX(Recetas!$K$6:$K$115,MATCH($E113,Recetas!$A$6:$A$115,0))&amp;"",""),F113))</f>
        <v/>
      </c>
      <c r="N113" s="7" t="str">
        <f aca="false">IF($E113="","",IF(AND(G113="",N(IFERROR(INDEX(Recetas!$T$6:$T$115,MATCH($E113,Recetas!$A$6:$A$115,0)),1))=0),"—",IF(G113="",IFERROR(INDEX(Recetas!$L$6:$L$115,MATCH($E113,Recetas!$A$6:$A$115,0))&amp;"",""),G113)))</f>
        <v/>
      </c>
      <c r="O113" s="7" t="str">
        <f aca="false">IF($E113="","",IF(AND(H113="",N(IFERROR(INDEX(Recetas!$W$6:$W$115,MATCH($E113,Recetas!$A$6:$A$115,0)),1))=0),"—",IF(H113="",IFERROR(IF(INDEX(Recetas!$M$6:$M$115,MATCH($E113,Recetas!$A$6:$A$115,0))&amp;""="",M113,INDEX(Recetas!$M$6:$M$115,MATCH($E113,Recetas!$A$6:$A$115,0))&amp;""),""),H113)))</f>
        <v/>
      </c>
      <c r="P113" s="9" t="str">
        <f aca="false">IF($E113="","",IFERROR(INDEX(Recetas!$Q$6:$Q$115,MATCH($E113,Recetas!$A$6:$A$115,0)),""))</f>
        <v/>
      </c>
      <c r="Q113" s="10" t="str">
        <f aca="false">IF($E113="","",IFERROR(INDEX(Telas!$I$6:$I$105,MATCH(M113,Telas!$A$6:$A$105,0)),""))</f>
        <v/>
      </c>
      <c r="R113" s="10" t="str">
        <f aca="false">IF($E113="","",IFERROR(IF(ISNUMBER(P113),IF(P113=0,0,P113*INDEX(Telas!$I$6:$I$105,MATCH(M113,Telas!$A$6:$A$105,0))),NA())+IF(ISNUMBER(INDEX(Recetas!$T$6:$T$115,MATCH($E113,Recetas!$A$6:$A$115,0))),IF(INDEX(Recetas!$T$6:$T$115,MATCH($E113,Recetas!$A$6:$A$115,0))=0,0,INDEX(Recetas!$T$6:$T$115,MATCH($E113,Recetas!$A$6:$A$115,0))*INDEX(Telas!$I$6:$I$105,MATCH(N113,Telas!$A$6:$A$105,0))),NA())+IF(ISNUMBER(INDEX(Recetas!$W$6:$W$115,MATCH($E113,Recetas!$A$6:$A$115,0))),IF(INDEX(Recetas!$W$6:$W$115,MATCH($E113,Recetas!$A$6:$A$115,0))=0,0,INDEX(Recetas!$W$6:$W$115,MATCH($E113,Recetas!$A$6:$A$115,0))*INDEX(Telas!$I$6:$I$105,MATCH(O113,Telas!$A$6:$A$105,0))),NA()),""))</f>
        <v/>
      </c>
      <c r="S113" s="10" t="str">
        <f aca="false">IF($E113="","",IFERROR(INDEX(Recetas!$AA$6:$AA$115,MATCH($E113,Recetas!$A$6:$A$115,0))*1,""))</f>
        <v/>
      </c>
      <c r="T113" s="10" t="str">
        <f aca="false">IF($E113="","",IFERROR(INDEX(Recetas!$AB$6:$AB$115,MATCH($E113,Recetas!$A$6:$A$115,0))*1,""))</f>
        <v/>
      </c>
      <c r="U113" s="10" t="str">
        <f aca="false">IF($E113="","",IFERROR(INDEX(Recetas!$AC$6:$AC$115,MATCH($E113,Recetas!$A$6:$A$115,0))+N(I113),""))</f>
        <v/>
      </c>
      <c r="V113" s="11" t="str">
        <f aca="false">IF($E113="","",IFERROR(R113+S113+T113+U113,""))</f>
        <v/>
      </c>
      <c r="W113" s="11" t="str">
        <f aca="false">IF(ISNUMBER(V113),V113*Parametros!$B$12,"")</f>
        <v/>
      </c>
      <c r="X113" s="30" t="str">
        <f aca="false">IF(AND(ISNUMBER(V113),N(J113)&gt;0),(J113-V113-J113*Parametros!$B$8)/J113,"")</f>
        <v/>
      </c>
      <c r="Y113" s="10" t="str">
        <f aca="false">IF(AND(ISNUMBER(V113),N(J113)&gt;0),J113-V113-J113*Parametros!$B$8,"")</f>
        <v/>
      </c>
      <c r="Z113" s="29" t="str">
        <f aca="false">IF(AND(ISNUMBER(P113),M113&lt;&gt;""),IFERROR(1/(P113*INDEX(Telas!$G$6:$G$105,MATCH(M113,Telas!$A$6:$A$105,0))),""),"")</f>
        <v/>
      </c>
      <c r="AA113" s="7" t="str">
        <f aca="false">IF($E113="","",IF(ISNUMBER(V113),"OK",IF(Q113="","Precio o peso por metro de "&amp;M113&amp;". ","")&amp;IFERROR(INDEX(Recetas!$AG$6:$AG$115,MATCH($E113,Recetas!$A$6:$A$115,0)),"Molde no existe en Recetas.")))</f>
        <v/>
      </c>
    </row>
    <row r="114" customFormat="false" ht="15" hidden="false" customHeight="false" outlineLevel="0" collapsed="false">
      <c r="A114" s="27"/>
      <c r="B114" s="27"/>
      <c r="C114" s="27"/>
      <c r="D114" s="27"/>
      <c r="E114" s="27"/>
      <c r="F114" s="8"/>
      <c r="G114" s="8"/>
      <c r="H114" s="8"/>
      <c r="I114" s="15"/>
      <c r="J114" s="15"/>
      <c r="K114" s="27"/>
      <c r="L114" s="27"/>
      <c r="M114" s="7" t="str">
        <f aca="false">IF($E114="","",IF(F114="",IFERROR(INDEX(Recetas!$K$6:$K$115,MATCH($E114,Recetas!$A$6:$A$115,0))&amp;"",""),F114))</f>
        <v/>
      </c>
      <c r="N114" s="7" t="str">
        <f aca="false">IF($E114="","",IF(AND(G114="",N(IFERROR(INDEX(Recetas!$T$6:$T$115,MATCH($E114,Recetas!$A$6:$A$115,0)),1))=0),"—",IF(G114="",IFERROR(INDEX(Recetas!$L$6:$L$115,MATCH($E114,Recetas!$A$6:$A$115,0))&amp;"",""),G114)))</f>
        <v/>
      </c>
      <c r="O114" s="7" t="str">
        <f aca="false">IF($E114="","",IF(AND(H114="",N(IFERROR(INDEX(Recetas!$W$6:$W$115,MATCH($E114,Recetas!$A$6:$A$115,0)),1))=0),"—",IF(H114="",IFERROR(IF(INDEX(Recetas!$M$6:$M$115,MATCH($E114,Recetas!$A$6:$A$115,0))&amp;""="",M114,INDEX(Recetas!$M$6:$M$115,MATCH($E114,Recetas!$A$6:$A$115,0))&amp;""),""),H114)))</f>
        <v/>
      </c>
      <c r="P114" s="9" t="str">
        <f aca="false">IF($E114="","",IFERROR(INDEX(Recetas!$Q$6:$Q$115,MATCH($E114,Recetas!$A$6:$A$115,0)),""))</f>
        <v/>
      </c>
      <c r="Q114" s="10" t="str">
        <f aca="false">IF($E114="","",IFERROR(INDEX(Telas!$I$6:$I$105,MATCH(M114,Telas!$A$6:$A$105,0)),""))</f>
        <v/>
      </c>
      <c r="R114" s="10" t="str">
        <f aca="false">IF($E114="","",IFERROR(IF(ISNUMBER(P114),IF(P114=0,0,P114*INDEX(Telas!$I$6:$I$105,MATCH(M114,Telas!$A$6:$A$105,0))),NA())+IF(ISNUMBER(INDEX(Recetas!$T$6:$T$115,MATCH($E114,Recetas!$A$6:$A$115,0))),IF(INDEX(Recetas!$T$6:$T$115,MATCH($E114,Recetas!$A$6:$A$115,0))=0,0,INDEX(Recetas!$T$6:$T$115,MATCH($E114,Recetas!$A$6:$A$115,0))*INDEX(Telas!$I$6:$I$105,MATCH(N114,Telas!$A$6:$A$105,0))),NA())+IF(ISNUMBER(INDEX(Recetas!$W$6:$W$115,MATCH($E114,Recetas!$A$6:$A$115,0))),IF(INDEX(Recetas!$W$6:$W$115,MATCH($E114,Recetas!$A$6:$A$115,0))=0,0,INDEX(Recetas!$W$6:$W$115,MATCH($E114,Recetas!$A$6:$A$115,0))*INDEX(Telas!$I$6:$I$105,MATCH(O114,Telas!$A$6:$A$105,0))),NA()),""))</f>
        <v/>
      </c>
      <c r="S114" s="10" t="str">
        <f aca="false">IF($E114="","",IFERROR(INDEX(Recetas!$AA$6:$AA$115,MATCH($E114,Recetas!$A$6:$A$115,0))*1,""))</f>
        <v/>
      </c>
      <c r="T114" s="10" t="str">
        <f aca="false">IF($E114="","",IFERROR(INDEX(Recetas!$AB$6:$AB$115,MATCH($E114,Recetas!$A$6:$A$115,0))*1,""))</f>
        <v/>
      </c>
      <c r="U114" s="10" t="str">
        <f aca="false">IF($E114="","",IFERROR(INDEX(Recetas!$AC$6:$AC$115,MATCH($E114,Recetas!$A$6:$A$115,0))+N(I114),""))</f>
        <v/>
      </c>
      <c r="V114" s="11" t="str">
        <f aca="false">IF($E114="","",IFERROR(R114+S114+T114+U114,""))</f>
        <v/>
      </c>
      <c r="W114" s="11" t="str">
        <f aca="false">IF(ISNUMBER(V114),V114*Parametros!$B$12,"")</f>
        <v/>
      </c>
      <c r="X114" s="30" t="str">
        <f aca="false">IF(AND(ISNUMBER(V114),N(J114)&gt;0),(J114-V114-J114*Parametros!$B$8)/J114,"")</f>
        <v/>
      </c>
      <c r="Y114" s="10" t="str">
        <f aca="false">IF(AND(ISNUMBER(V114),N(J114)&gt;0),J114-V114-J114*Parametros!$B$8,"")</f>
        <v/>
      </c>
      <c r="Z114" s="29" t="str">
        <f aca="false">IF(AND(ISNUMBER(P114),M114&lt;&gt;""),IFERROR(1/(P114*INDEX(Telas!$G$6:$G$105,MATCH(M114,Telas!$A$6:$A$105,0))),""),"")</f>
        <v/>
      </c>
      <c r="AA114" s="7" t="str">
        <f aca="false">IF($E114="","",IF(ISNUMBER(V114),"OK",IF(Q114="","Precio o peso por metro de "&amp;M114&amp;". ","")&amp;IFERROR(INDEX(Recetas!$AG$6:$AG$115,MATCH($E114,Recetas!$A$6:$A$115,0)),"Molde no existe en Recetas.")))</f>
        <v/>
      </c>
    </row>
    <row r="115" customFormat="false" ht="15" hidden="false" customHeight="false" outlineLevel="0" collapsed="false">
      <c r="A115" s="27"/>
      <c r="B115" s="27"/>
      <c r="C115" s="27"/>
      <c r="D115" s="27"/>
      <c r="E115" s="27"/>
      <c r="F115" s="8"/>
      <c r="G115" s="8"/>
      <c r="H115" s="8"/>
      <c r="I115" s="15"/>
      <c r="J115" s="15"/>
      <c r="K115" s="27"/>
      <c r="L115" s="27"/>
      <c r="M115" s="7" t="str">
        <f aca="false">IF($E115="","",IF(F115="",IFERROR(INDEX(Recetas!$K$6:$K$115,MATCH($E115,Recetas!$A$6:$A$115,0))&amp;"",""),F115))</f>
        <v/>
      </c>
      <c r="N115" s="7" t="str">
        <f aca="false">IF($E115="","",IF(AND(G115="",N(IFERROR(INDEX(Recetas!$T$6:$T$115,MATCH($E115,Recetas!$A$6:$A$115,0)),1))=0),"—",IF(G115="",IFERROR(INDEX(Recetas!$L$6:$L$115,MATCH($E115,Recetas!$A$6:$A$115,0))&amp;"",""),G115)))</f>
        <v/>
      </c>
      <c r="O115" s="7" t="str">
        <f aca="false">IF($E115="","",IF(AND(H115="",N(IFERROR(INDEX(Recetas!$W$6:$W$115,MATCH($E115,Recetas!$A$6:$A$115,0)),1))=0),"—",IF(H115="",IFERROR(IF(INDEX(Recetas!$M$6:$M$115,MATCH($E115,Recetas!$A$6:$A$115,0))&amp;""="",M115,INDEX(Recetas!$M$6:$M$115,MATCH($E115,Recetas!$A$6:$A$115,0))&amp;""),""),H115)))</f>
        <v/>
      </c>
      <c r="P115" s="9" t="str">
        <f aca="false">IF($E115="","",IFERROR(INDEX(Recetas!$Q$6:$Q$115,MATCH($E115,Recetas!$A$6:$A$115,0)),""))</f>
        <v/>
      </c>
      <c r="Q115" s="10" t="str">
        <f aca="false">IF($E115="","",IFERROR(INDEX(Telas!$I$6:$I$105,MATCH(M115,Telas!$A$6:$A$105,0)),""))</f>
        <v/>
      </c>
      <c r="R115" s="10" t="str">
        <f aca="false">IF($E115="","",IFERROR(IF(ISNUMBER(P115),IF(P115=0,0,P115*INDEX(Telas!$I$6:$I$105,MATCH(M115,Telas!$A$6:$A$105,0))),NA())+IF(ISNUMBER(INDEX(Recetas!$T$6:$T$115,MATCH($E115,Recetas!$A$6:$A$115,0))),IF(INDEX(Recetas!$T$6:$T$115,MATCH($E115,Recetas!$A$6:$A$115,0))=0,0,INDEX(Recetas!$T$6:$T$115,MATCH($E115,Recetas!$A$6:$A$115,0))*INDEX(Telas!$I$6:$I$105,MATCH(N115,Telas!$A$6:$A$105,0))),NA())+IF(ISNUMBER(INDEX(Recetas!$W$6:$W$115,MATCH($E115,Recetas!$A$6:$A$115,0))),IF(INDEX(Recetas!$W$6:$W$115,MATCH($E115,Recetas!$A$6:$A$115,0))=0,0,INDEX(Recetas!$W$6:$W$115,MATCH($E115,Recetas!$A$6:$A$115,0))*INDEX(Telas!$I$6:$I$105,MATCH(O115,Telas!$A$6:$A$105,0))),NA()),""))</f>
        <v/>
      </c>
      <c r="S115" s="10" t="str">
        <f aca="false">IF($E115="","",IFERROR(INDEX(Recetas!$AA$6:$AA$115,MATCH($E115,Recetas!$A$6:$A$115,0))*1,""))</f>
        <v/>
      </c>
      <c r="T115" s="10" t="str">
        <f aca="false">IF($E115="","",IFERROR(INDEX(Recetas!$AB$6:$AB$115,MATCH($E115,Recetas!$A$6:$A$115,0))*1,""))</f>
        <v/>
      </c>
      <c r="U115" s="10" t="str">
        <f aca="false">IF($E115="","",IFERROR(INDEX(Recetas!$AC$6:$AC$115,MATCH($E115,Recetas!$A$6:$A$115,0))+N(I115),""))</f>
        <v/>
      </c>
      <c r="V115" s="11" t="str">
        <f aca="false">IF($E115="","",IFERROR(R115+S115+T115+U115,""))</f>
        <v/>
      </c>
      <c r="W115" s="11" t="str">
        <f aca="false">IF(ISNUMBER(V115),V115*Parametros!$B$12,"")</f>
        <v/>
      </c>
      <c r="X115" s="30" t="str">
        <f aca="false">IF(AND(ISNUMBER(V115),N(J115)&gt;0),(J115-V115-J115*Parametros!$B$8)/J115,"")</f>
        <v/>
      </c>
      <c r="Y115" s="10" t="str">
        <f aca="false">IF(AND(ISNUMBER(V115),N(J115)&gt;0),J115-V115-J115*Parametros!$B$8,"")</f>
        <v/>
      </c>
      <c r="Z115" s="29" t="str">
        <f aca="false">IF(AND(ISNUMBER(P115),M115&lt;&gt;""),IFERROR(1/(P115*INDEX(Telas!$G$6:$G$105,MATCH(M115,Telas!$A$6:$A$105,0))),""),"")</f>
        <v/>
      </c>
      <c r="AA115" s="7" t="str">
        <f aca="false">IF($E115="","",IF(ISNUMBER(V115),"OK",IF(Q115="","Precio o peso por metro de "&amp;M115&amp;". ","")&amp;IFERROR(INDEX(Recetas!$AG$6:$AG$115,MATCH($E115,Recetas!$A$6:$A$115,0)),"Molde no existe en Recetas.")))</f>
        <v/>
      </c>
    </row>
    <row r="116" customFormat="false" ht="15" hidden="false" customHeight="false" outlineLevel="0" collapsed="false">
      <c r="A116" s="27"/>
      <c r="B116" s="27"/>
      <c r="C116" s="27"/>
      <c r="D116" s="27"/>
      <c r="E116" s="27"/>
      <c r="F116" s="8"/>
      <c r="G116" s="8"/>
      <c r="H116" s="8"/>
      <c r="I116" s="15"/>
      <c r="J116" s="15"/>
      <c r="K116" s="27"/>
      <c r="L116" s="27"/>
      <c r="M116" s="7" t="str">
        <f aca="false">IF($E116="","",IF(F116="",IFERROR(INDEX(Recetas!$K$6:$K$115,MATCH($E116,Recetas!$A$6:$A$115,0))&amp;"",""),F116))</f>
        <v/>
      </c>
      <c r="N116" s="7" t="str">
        <f aca="false">IF($E116="","",IF(AND(G116="",N(IFERROR(INDEX(Recetas!$T$6:$T$115,MATCH($E116,Recetas!$A$6:$A$115,0)),1))=0),"—",IF(G116="",IFERROR(INDEX(Recetas!$L$6:$L$115,MATCH($E116,Recetas!$A$6:$A$115,0))&amp;"",""),G116)))</f>
        <v/>
      </c>
      <c r="O116" s="7" t="str">
        <f aca="false">IF($E116="","",IF(AND(H116="",N(IFERROR(INDEX(Recetas!$W$6:$W$115,MATCH($E116,Recetas!$A$6:$A$115,0)),1))=0),"—",IF(H116="",IFERROR(IF(INDEX(Recetas!$M$6:$M$115,MATCH($E116,Recetas!$A$6:$A$115,0))&amp;""="",M116,INDEX(Recetas!$M$6:$M$115,MATCH($E116,Recetas!$A$6:$A$115,0))&amp;""),""),H116)))</f>
        <v/>
      </c>
      <c r="P116" s="9" t="str">
        <f aca="false">IF($E116="","",IFERROR(INDEX(Recetas!$Q$6:$Q$115,MATCH($E116,Recetas!$A$6:$A$115,0)),""))</f>
        <v/>
      </c>
      <c r="Q116" s="10" t="str">
        <f aca="false">IF($E116="","",IFERROR(INDEX(Telas!$I$6:$I$105,MATCH(M116,Telas!$A$6:$A$105,0)),""))</f>
        <v/>
      </c>
      <c r="R116" s="10" t="str">
        <f aca="false">IF($E116="","",IFERROR(IF(ISNUMBER(P116),IF(P116=0,0,P116*INDEX(Telas!$I$6:$I$105,MATCH(M116,Telas!$A$6:$A$105,0))),NA())+IF(ISNUMBER(INDEX(Recetas!$T$6:$T$115,MATCH($E116,Recetas!$A$6:$A$115,0))),IF(INDEX(Recetas!$T$6:$T$115,MATCH($E116,Recetas!$A$6:$A$115,0))=0,0,INDEX(Recetas!$T$6:$T$115,MATCH($E116,Recetas!$A$6:$A$115,0))*INDEX(Telas!$I$6:$I$105,MATCH(N116,Telas!$A$6:$A$105,0))),NA())+IF(ISNUMBER(INDEX(Recetas!$W$6:$W$115,MATCH($E116,Recetas!$A$6:$A$115,0))),IF(INDEX(Recetas!$W$6:$W$115,MATCH($E116,Recetas!$A$6:$A$115,0))=0,0,INDEX(Recetas!$W$6:$W$115,MATCH($E116,Recetas!$A$6:$A$115,0))*INDEX(Telas!$I$6:$I$105,MATCH(O116,Telas!$A$6:$A$105,0))),NA()),""))</f>
        <v/>
      </c>
      <c r="S116" s="10" t="str">
        <f aca="false">IF($E116="","",IFERROR(INDEX(Recetas!$AA$6:$AA$115,MATCH($E116,Recetas!$A$6:$A$115,0))*1,""))</f>
        <v/>
      </c>
      <c r="T116" s="10" t="str">
        <f aca="false">IF($E116="","",IFERROR(INDEX(Recetas!$AB$6:$AB$115,MATCH($E116,Recetas!$A$6:$A$115,0))*1,""))</f>
        <v/>
      </c>
      <c r="U116" s="10" t="str">
        <f aca="false">IF($E116="","",IFERROR(INDEX(Recetas!$AC$6:$AC$115,MATCH($E116,Recetas!$A$6:$A$115,0))+N(I116),""))</f>
        <v/>
      </c>
      <c r="V116" s="11" t="str">
        <f aca="false">IF($E116="","",IFERROR(R116+S116+T116+U116,""))</f>
        <v/>
      </c>
      <c r="W116" s="11" t="str">
        <f aca="false">IF(ISNUMBER(V116),V116*Parametros!$B$12,"")</f>
        <v/>
      </c>
      <c r="X116" s="30" t="str">
        <f aca="false">IF(AND(ISNUMBER(V116),N(J116)&gt;0),(J116-V116-J116*Parametros!$B$8)/J116,"")</f>
        <v/>
      </c>
      <c r="Y116" s="10" t="str">
        <f aca="false">IF(AND(ISNUMBER(V116),N(J116)&gt;0),J116-V116-J116*Parametros!$B$8,"")</f>
        <v/>
      </c>
      <c r="Z116" s="29" t="str">
        <f aca="false">IF(AND(ISNUMBER(P116),M116&lt;&gt;""),IFERROR(1/(P116*INDEX(Telas!$G$6:$G$105,MATCH(M116,Telas!$A$6:$A$105,0))),""),"")</f>
        <v/>
      </c>
      <c r="AA116" s="7" t="str">
        <f aca="false">IF($E116="","",IF(ISNUMBER(V116),"OK",IF(Q116="","Precio o peso por metro de "&amp;M116&amp;". ","")&amp;IFERROR(INDEX(Recetas!$AG$6:$AG$115,MATCH($E116,Recetas!$A$6:$A$115,0)),"Molde no existe en Recetas.")))</f>
        <v/>
      </c>
    </row>
    <row r="117" customFormat="false" ht="15" hidden="false" customHeight="false" outlineLevel="0" collapsed="false">
      <c r="A117" s="27"/>
      <c r="B117" s="27"/>
      <c r="C117" s="27"/>
      <c r="D117" s="27"/>
      <c r="E117" s="27"/>
      <c r="F117" s="8"/>
      <c r="G117" s="8"/>
      <c r="H117" s="8"/>
      <c r="I117" s="15"/>
      <c r="J117" s="15"/>
      <c r="K117" s="27"/>
      <c r="L117" s="27"/>
      <c r="M117" s="7" t="str">
        <f aca="false">IF($E117="","",IF(F117="",IFERROR(INDEX(Recetas!$K$6:$K$115,MATCH($E117,Recetas!$A$6:$A$115,0))&amp;"",""),F117))</f>
        <v/>
      </c>
      <c r="N117" s="7" t="str">
        <f aca="false">IF($E117="","",IF(AND(G117="",N(IFERROR(INDEX(Recetas!$T$6:$T$115,MATCH($E117,Recetas!$A$6:$A$115,0)),1))=0),"—",IF(G117="",IFERROR(INDEX(Recetas!$L$6:$L$115,MATCH($E117,Recetas!$A$6:$A$115,0))&amp;"",""),G117)))</f>
        <v/>
      </c>
      <c r="O117" s="7" t="str">
        <f aca="false">IF($E117="","",IF(AND(H117="",N(IFERROR(INDEX(Recetas!$W$6:$W$115,MATCH($E117,Recetas!$A$6:$A$115,0)),1))=0),"—",IF(H117="",IFERROR(IF(INDEX(Recetas!$M$6:$M$115,MATCH($E117,Recetas!$A$6:$A$115,0))&amp;""="",M117,INDEX(Recetas!$M$6:$M$115,MATCH($E117,Recetas!$A$6:$A$115,0))&amp;""),""),H117)))</f>
        <v/>
      </c>
      <c r="P117" s="9" t="str">
        <f aca="false">IF($E117="","",IFERROR(INDEX(Recetas!$Q$6:$Q$115,MATCH($E117,Recetas!$A$6:$A$115,0)),""))</f>
        <v/>
      </c>
      <c r="Q117" s="10" t="str">
        <f aca="false">IF($E117="","",IFERROR(INDEX(Telas!$I$6:$I$105,MATCH(M117,Telas!$A$6:$A$105,0)),""))</f>
        <v/>
      </c>
      <c r="R117" s="10" t="str">
        <f aca="false">IF($E117="","",IFERROR(IF(ISNUMBER(P117),IF(P117=0,0,P117*INDEX(Telas!$I$6:$I$105,MATCH(M117,Telas!$A$6:$A$105,0))),NA())+IF(ISNUMBER(INDEX(Recetas!$T$6:$T$115,MATCH($E117,Recetas!$A$6:$A$115,0))),IF(INDEX(Recetas!$T$6:$T$115,MATCH($E117,Recetas!$A$6:$A$115,0))=0,0,INDEX(Recetas!$T$6:$T$115,MATCH($E117,Recetas!$A$6:$A$115,0))*INDEX(Telas!$I$6:$I$105,MATCH(N117,Telas!$A$6:$A$105,0))),NA())+IF(ISNUMBER(INDEX(Recetas!$W$6:$W$115,MATCH($E117,Recetas!$A$6:$A$115,0))),IF(INDEX(Recetas!$W$6:$W$115,MATCH($E117,Recetas!$A$6:$A$115,0))=0,0,INDEX(Recetas!$W$6:$W$115,MATCH($E117,Recetas!$A$6:$A$115,0))*INDEX(Telas!$I$6:$I$105,MATCH(O117,Telas!$A$6:$A$105,0))),NA()),""))</f>
        <v/>
      </c>
      <c r="S117" s="10" t="str">
        <f aca="false">IF($E117="","",IFERROR(INDEX(Recetas!$AA$6:$AA$115,MATCH($E117,Recetas!$A$6:$A$115,0))*1,""))</f>
        <v/>
      </c>
      <c r="T117" s="10" t="str">
        <f aca="false">IF($E117="","",IFERROR(INDEX(Recetas!$AB$6:$AB$115,MATCH($E117,Recetas!$A$6:$A$115,0))*1,""))</f>
        <v/>
      </c>
      <c r="U117" s="10" t="str">
        <f aca="false">IF($E117="","",IFERROR(INDEX(Recetas!$AC$6:$AC$115,MATCH($E117,Recetas!$A$6:$A$115,0))+N(I117),""))</f>
        <v/>
      </c>
      <c r="V117" s="11" t="str">
        <f aca="false">IF($E117="","",IFERROR(R117+S117+T117+U117,""))</f>
        <v/>
      </c>
      <c r="W117" s="11" t="str">
        <f aca="false">IF(ISNUMBER(V117),V117*Parametros!$B$12,"")</f>
        <v/>
      </c>
      <c r="X117" s="30" t="str">
        <f aca="false">IF(AND(ISNUMBER(V117),N(J117)&gt;0),(J117-V117-J117*Parametros!$B$8)/J117,"")</f>
        <v/>
      </c>
      <c r="Y117" s="10" t="str">
        <f aca="false">IF(AND(ISNUMBER(V117),N(J117)&gt;0),J117-V117-J117*Parametros!$B$8,"")</f>
        <v/>
      </c>
      <c r="Z117" s="29" t="str">
        <f aca="false">IF(AND(ISNUMBER(P117),M117&lt;&gt;""),IFERROR(1/(P117*INDEX(Telas!$G$6:$G$105,MATCH(M117,Telas!$A$6:$A$105,0))),""),"")</f>
        <v/>
      </c>
      <c r="AA117" s="7" t="str">
        <f aca="false">IF($E117="","",IF(ISNUMBER(V117),"OK",IF(Q117="","Precio o peso por metro de "&amp;M117&amp;". ","")&amp;IFERROR(INDEX(Recetas!$AG$6:$AG$115,MATCH($E117,Recetas!$A$6:$A$115,0)),"Molde no existe en Recetas.")))</f>
        <v/>
      </c>
    </row>
    <row r="118" customFormat="false" ht="15" hidden="false" customHeight="false" outlineLevel="0" collapsed="false">
      <c r="A118" s="27"/>
      <c r="B118" s="27"/>
      <c r="C118" s="27"/>
      <c r="D118" s="27"/>
      <c r="E118" s="27"/>
      <c r="F118" s="8"/>
      <c r="G118" s="8"/>
      <c r="H118" s="8"/>
      <c r="I118" s="15"/>
      <c r="J118" s="15"/>
      <c r="K118" s="27"/>
      <c r="L118" s="27"/>
      <c r="M118" s="7" t="str">
        <f aca="false">IF($E118="","",IF(F118="",IFERROR(INDEX(Recetas!$K$6:$K$115,MATCH($E118,Recetas!$A$6:$A$115,0))&amp;"",""),F118))</f>
        <v/>
      </c>
      <c r="N118" s="7" t="str">
        <f aca="false">IF($E118="","",IF(AND(G118="",N(IFERROR(INDEX(Recetas!$T$6:$T$115,MATCH($E118,Recetas!$A$6:$A$115,0)),1))=0),"—",IF(G118="",IFERROR(INDEX(Recetas!$L$6:$L$115,MATCH($E118,Recetas!$A$6:$A$115,0))&amp;"",""),G118)))</f>
        <v/>
      </c>
      <c r="O118" s="7" t="str">
        <f aca="false">IF($E118="","",IF(AND(H118="",N(IFERROR(INDEX(Recetas!$W$6:$W$115,MATCH($E118,Recetas!$A$6:$A$115,0)),1))=0),"—",IF(H118="",IFERROR(IF(INDEX(Recetas!$M$6:$M$115,MATCH($E118,Recetas!$A$6:$A$115,0))&amp;""="",M118,INDEX(Recetas!$M$6:$M$115,MATCH($E118,Recetas!$A$6:$A$115,0))&amp;""),""),H118)))</f>
        <v/>
      </c>
      <c r="P118" s="9" t="str">
        <f aca="false">IF($E118="","",IFERROR(INDEX(Recetas!$Q$6:$Q$115,MATCH($E118,Recetas!$A$6:$A$115,0)),""))</f>
        <v/>
      </c>
      <c r="Q118" s="10" t="str">
        <f aca="false">IF($E118="","",IFERROR(INDEX(Telas!$I$6:$I$105,MATCH(M118,Telas!$A$6:$A$105,0)),""))</f>
        <v/>
      </c>
      <c r="R118" s="10" t="str">
        <f aca="false">IF($E118="","",IFERROR(IF(ISNUMBER(P118),IF(P118=0,0,P118*INDEX(Telas!$I$6:$I$105,MATCH(M118,Telas!$A$6:$A$105,0))),NA())+IF(ISNUMBER(INDEX(Recetas!$T$6:$T$115,MATCH($E118,Recetas!$A$6:$A$115,0))),IF(INDEX(Recetas!$T$6:$T$115,MATCH($E118,Recetas!$A$6:$A$115,0))=0,0,INDEX(Recetas!$T$6:$T$115,MATCH($E118,Recetas!$A$6:$A$115,0))*INDEX(Telas!$I$6:$I$105,MATCH(N118,Telas!$A$6:$A$105,0))),NA())+IF(ISNUMBER(INDEX(Recetas!$W$6:$W$115,MATCH($E118,Recetas!$A$6:$A$115,0))),IF(INDEX(Recetas!$W$6:$W$115,MATCH($E118,Recetas!$A$6:$A$115,0))=0,0,INDEX(Recetas!$W$6:$W$115,MATCH($E118,Recetas!$A$6:$A$115,0))*INDEX(Telas!$I$6:$I$105,MATCH(O118,Telas!$A$6:$A$105,0))),NA()),""))</f>
        <v/>
      </c>
      <c r="S118" s="10" t="str">
        <f aca="false">IF($E118="","",IFERROR(INDEX(Recetas!$AA$6:$AA$115,MATCH($E118,Recetas!$A$6:$A$115,0))*1,""))</f>
        <v/>
      </c>
      <c r="T118" s="10" t="str">
        <f aca="false">IF($E118="","",IFERROR(INDEX(Recetas!$AB$6:$AB$115,MATCH($E118,Recetas!$A$6:$A$115,0))*1,""))</f>
        <v/>
      </c>
      <c r="U118" s="10" t="str">
        <f aca="false">IF($E118="","",IFERROR(INDEX(Recetas!$AC$6:$AC$115,MATCH($E118,Recetas!$A$6:$A$115,0))+N(I118),""))</f>
        <v/>
      </c>
      <c r="V118" s="11" t="str">
        <f aca="false">IF($E118="","",IFERROR(R118+S118+T118+U118,""))</f>
        <v/>
      </c>
      <c r="W118" s="11" t="str">
        <f aca="false">IF(ISNUMBER(V118),V118*Parametros!$B$12,"")</f>
        <v/>
      </c>
      <c r="X118" s="30" t="str">
        <f aca="false">IF(AND(ISNUMBER(V118),N(J118)&gt;0),(J118-V118-J118*Parametros!$B$8)/J118,"")</f>
        <v/>
      </c>
      <c r="Y118" s="10" t="str">
        <f aca="false">IF(AND(ISNUMBER(V118),N(J118)&gt;0),J118-V118-J118*Parametros!$B$8,"")</f>
        <v/>
      </c>
      <c r="Z118" s="29" t="str">
        <f aca="false">IF(AND(ISNUMBER(P118),M118&lt;&gt;""),IFERROR(1/(P118*INDEX(Telas!$G$6:$G$105,MATCH(M118,Telas!$A$6:$A$105,0))),""),"")</f>
        <v/>
      </c>
      <c r="AA118" s="7" t="str">
        <f aca="false">IF($E118="","",IF(ISNUMBER(V118),"OK",IF(Q118="","Precio o peso por metro de "&amp;M118&amp;". ","")&amp;IFERROR(INDEX(Recetas!$AG$6:$AG$115,MATCH($E118,Recetas!$A$6:$A$115,0)),"Molde no existe en Recetas.")))</f>
        <v/>
      </c>
    </row>
    <row r="119" customFormat="false" ht="15" hidden="false" customHeight="false" outlineLevel="0" collapsed="false">
      <c r="A119" s="27"/>
      <c r="B119" s="27"/>
      <c r="C119" s="27"/>
      <c r="D119" s="27"/>
      <c r="E119" s="27"/>
      <c r="F119" s="8"/>
      <c r="G119" s="8"/>
      <c r="H119" s="8"/>
      <c r="I119" s="15"/>
      <c r="J119" s="15"/>
      <c r="K119" s="27"/>
      <c r="L119" s="27"/>
      <c r="M119" s="7" t="str">
        <f aca="false">IF($E119="","",IF(F119="",IFERROR(INDEX(Recetas!$K$6:$K$115,MATCH($E119,Recetas!$A$6:$A$115,0))&amp;"",""),F119))</f>
        <v/>
      </c>
      <c r="N119" s="7" t="str">
        <f aca="false">IF($E119="","",IF(AND(G119="",N(IFERROR(INDEX(Recetas!$T$6:$T$115,MATCH($E119,Recetas!$A$6:$A$115,0)),1))=0),"—",IF(G119="",IFERROR(INDEX(Recetas!$L$6:$L$115,MATCH($E119,Recetas!$A$6:$A$115,0))&amp;"",""),G119)))</f>
        <v/>
      </c>
      <c r="O119" s="7" t="str">
        <f aca="false">IF($E119="","",IF(AND(H119="",N(IFERROR(INDEX(Recetas!$W$6:$W$115,MATCH($E119,Recetas!$A$6:$A$115,0)),1))=0),"—",IF(H119="",IFERROR(IF(INDEX(Recetas!$M$6:$M$115,MATCH($E119,Recetas!$A$6:$A$115,0))&amp;""="",M119,INDEX(Recetas!$M$6:$M$115,MATCH($E119,Recetas!$A$6:$A$115,0))&amp;""),""),H119)))</f>
        <v/>
      </c>
      <c r="P119" s="9" t="str">
        <f aca="false">IF($E119="","",IFERROR(INDEX(Recetas!$Q$6:$Q$115,MATCH($E119,Recetas!$A$6:$A$115,0)),""))</f>
        <v/>
      </c>
      <c r="Q119" s="10" t="str">
        <f aca="false">IF($E119="","",IFERROR(INDEX(Telas!$I$6:$I$105,MATCH(M119,Telas!$A$6:$A$105,0)),""))</f>
        <v/>
      </c>
      <c r="R119" s="10" t="str">
        <f aca="false">IF($E119="","",IFERROR(IF(ISNUMBER(P119),IF(P119=0,0,P119*INDEX(Telas!$I$6:$I$105,MATCH(M119,Telas!$A$6:$A$105,0))),NA())+IF(ISNUMBER(INDEX(Recetas!$T$6:$T$115,MATCH($E119,Recetas!$A$6:$A$115,0))),IF(INDEX(Recetas!$T$6:$T$115,MATCH($E119,Recetas!$A$6:$A$115,0))=0,0,INDEX(Recetas!$T$6:$T$115,MATCH($E119,Recetas!$A$6:$A$115,0))*INDEX(Telas!$I$6:$I$105,MATCH(N119,Telas!$A$6:$A$105,0))),NA())+IF(ISNUMBER(INDEX(Recetas!$W$6:$W$115,MATCH($E119,Recetas!$A$6:$A$115,0))),IF(INDEX(Recetas!$W$6:$W$115,MATCH($E119,Recetas!$A$6:$A$115,0))=0,0,INDEX(Recetas!$W$6:$W$115,MATCH($E119,Recetas!$A$6:$A$115,0))*INDEX(Telas!$I$6:$I$105,MATCH(O119,Telas!$A$6:$A$105,0))),NA()),""))</f>
        <v/>
      </c>
      <c r="S119" s="10" t="str">
        <f aca="false">IF($E119="","",IFERROR(INDEX(Recetas!$AA$6:$AA$115,MATCH($E119,Recetas!$A$6:$A$115,0))*1,""))</f>
        <v/>
      </c>
      <c r="T119" s="10" t="str">
        <f aca="false">IF($E119="","",IFERROR(INDEX(Recetas!$AB$6:$AB$115,MATCH($E119,Recetas!$A$6:$A$115,0))*1,""))</f>
        <v/>
      </c>
      <c r="U119" s="10" t="str">
        <f aca="false">IF($E119="","",IFERROR(INDEX(Recetas!$AC$6:$AC$115,MATCH($E119,Recetas!$A$6:$A$115,0))+N(I119),""))</f>
        <v/>
      </c>
      <c r="V119" s="11" t="str">
        <f aca="false">IF($E119="","",IFERROR(R119+S119+T119+U119,""))</f>
        <v/>
      </c>
      <c r="W119" s="11" t="str">
        <f aca="false">IF(ISNUMBER(V119),V119*Parametros!$B$12,"")</f>
        <v/>
      </c>
      <c r="X119" s="30" t="str">
        <f aca="false">IF(AND(ISNUMBER(V119),N(J119)&gt;0),(J119-V119-J119*Parametros!$B$8)/J119,"")</f>
        <v/>
      </c>
      <c r="Y119" s="10" t="str">
        <f aca="false">IF(AND(ISNUMBER(V119),N(J119)&gt;0),J119-V119-J119*Parametros!$B$8,"")</f>
        <v/>
      </c>
      <c r="Z119" s="29" t="str">
        <f aca="false">IF(AND(ISNUMBER(P119),M119&lt;&gt;""),IFERROR(1/(P119*INDEX(Telas!$G$6:$G$105,MATCH(M119,Telas!$A$6:$A$105,0))),""),"")</f>
        <v/>
      </c>
      <c r="AA119" s="7" t="str">
        <f aca="false">IF($E119="","",IF(ISNUMBER(V119),"OK",IF(Q119="","Precio o peso por metro de "&amp;M119&amp;". ","")&amp;IFERROR(INDEX(Recetas!$AG$6:$AG$115,MATCH($E119,Recetas!$A$6:$A$115,0)),"Molde no existe en Recetas.")))</f>
        <v/>
      </c>
    </row>
    <row r="120" customFormat="false" ht="15" hidden="false" customHeight="false" outlineLevel="0" collapsed="false">
      <c r="A120" s="27"/>
      <c r="B120" s="27"/>
      <c r="C120" s="27"/>
      <c r="D120" s="27"/>
      <c r="E120" s="27"/>
      <c r="F120" s="8"/>
      <c r="G120" s="8"/>
      <c r="H120" s="8"/>
      <c r="I120" s="15"/>
      <c r="J120" s="15"/>
      <c r="K120" s="27"/>
      <c r="L120" s="27"/>
      <c r="M120" s="7" t="str">
        <f aca="false">IF($E120="","",IF(F120="",IFERROR(INDEX(Recetas!$K$6:$K$115,MATCH($E120,Recetas!$A$6:$A$115,0))&amp;"",""),F120))</f>
        <v/>
      </c>
      <c r="N120" s="7" t="str">
        <f aca="false">IF($E120="","",IF(AND(G120="",N(IFERROR(INDEX(Recetas!$T$6:$T$115,MATCH($E120,Recetas!$A$6:$A$115,0)),1))=0),"—",IF(G120="",IFERROR(INDEX(Recetas!$L$6:$L$115,MATCH($E120,Recetas!$A$6:$A$115,0))&amp;"",""),G120)))</f>
        <v/>
      </c>
      <c r="O120" s="7" t="str">
        <f aca="false">IF($E120="","",IF(AND(H120="",N(IFERROR(INDEX(Recetas!$W$6:$W$115,MATCH($E120,Recetas!$A$6:$A$115,0)),1))=0),"—",IF(H120="",IFERROR(IF(INDEX(Recetas!$M$6:$M$115,MATCH($E120,Recetas!$A$6:$A$115,0))&amp;""="",M120,INDEX(Recetas!$M$6:$M$115,MATCH($E120,Recetas!$A$6:$A$115,0))&amp;""),""),H120)))</f>
        <v/>
      </c>
      <c r="P120" s="9" t="str">
        <f aca="false">IF($E120="","",IFERROR(INDEX(Recetas!$Q$6:$Q$115,MATCH($E120,Recetas!$A$6:$A$115,0)),""))</f>
        <v/>
      </c>
      <c r="Q120" s="10" t="str">
        <f aca="false">IF($E120="","",IFERROR(INDEX(Telas!$I$6:$I$105,MATCH(M120,Telas!$A$6:$A$105,0)),""))</f>
        <v/>
      </c>
      <c r="R120" s="10" t="str">
        <f aca="false">IF($E120="","",IFERROR(IF(ISNUMBER(P120),IF(P120=0,0,P120*INDEX(Telas!$I$6:$I$105,MATCH(M120,Telas!$A$6:$A$105,0))),NA())+IF(ISNUMBER(INDEX(Recetas!$T$6:$T$115,MATCH($E120,Recetas!$A$6:$A$115,0))),IF(INDEX(Recetas!$T$6:$T$115,MATCH($E120,Recetas!$A$6:$A$115,0))=0,0,INDEX(Recetas!$T$6:$T$115,MATCH($E120,Recetas!$A$6:$A$115,0))*INDEX(Telas!$I$6:$I$105,MATCH(N120,Telas!$A$6:$A$105,0))),NA())+IF(ISNUMBER(INDEX(Recetas!$W$6:$W$115,MATCH($E120,Recetas!$A$6:$A$115,0))),IF(INDEX(Recetas!$W$6:$W$115,MATCH($E120,Recetas!$A$6:$A$115,0))=0,0,INDEX(Recetas!$W$6:$W$115,MATCH($E120,Recetas!$A$6:$A$115,0))*INDEX(Telas!$I$6:$I$105,MATCH(O120,Telas!$A$6:$A$105,0))),NA()),""))</f>
        <v/>
      </c>
      <c r="S120" s="10" t="str">
        <f aca="false">IF($E120="","",IFERROR(INDEX(Recetas!$AA$6:$AA$115,MATCH($E120,Recetas!$A$6:$A$115,0))*1,""))</f>
        <v/>
      </c>
      <c r="T120" s="10" t="str">
        <f aca="false">IF($E120="","",IFERROR(INDEX(Recetas!$AB$6:$AB$115,MATCH($E120,Recetas!$A$6:$A$115,0))*1,""))</f>
        <v/>
      </c>
      <c r="U120" s="10" t="str">
        <f aca="false">IF($E120="","",IFERROR(INDEX(Recetas!$AC$6:$AC$115,MATCH($E120,Recetas!$A$6:$A$115,0))+N(I120),""))</f>
        <v/>
      </c>
      <c r="V120" s="11" t="str">
        <f aca="false">IF($E120="","",IFERROR(R120+S120+T120+U120,""))</f>
        <v/>
      </c>
      <c r="W120" s="11" t="str">
        <f aca="false">IF(ISNUMBER(V120),V120*Parametros!$B$12,"")</f>
        <v/>
      </c>
      <c r="X120" s="30" t="str">
        <f aca="false">IF(AND(ISNUMBER(V120),N(J120)&gt;0),(J120-V120-J120*Parametros!$B$8)/J120,"")</f>
        <v/>
      </c>
      <c r="Y120" s="10" t="str">
        <f aca="false">IF(AND(ISNUMBER(V120),N(J120)&gt;0),J120-V120-J120*Parametros!$B$8,"")</f>
        <v/>
      </c>
      <c r="Z120" s="29" t="str">
        <f aca="false">IF(AND(ISNUMBER(P120),M120&lt;&gt;""),IFERROR(1/(P120*INDEX(Telas!$G$6:$G$105,MATCH(M120,Telas!$A$6:$A$105,0))),""),"")</f>
        <v/>
      </c>
      <c r="AA120" s="7" t="str">
        <f aca="false">IF($E120="","",IF(ISNUMBER(V120),"OK",IF(Q120="","Precio o peso por metro de "&amp;M120&amp;". ","")&amp;IFERROR(INDEX(Recetas!$AG$6:$AG$115,MATCH($E120,Recetas!$A$6:$A$115,0)),"Molde no existe en Recetas.")))</f>
        <v/>
      </c>
    </row>
    <row r="121" customFormat="false" ht="15" hidden="false" customHeight="false" outlineLevel="0" collapsed="false">
      <c r="A121" s="27"/>
      <c r="B121" s="27"/>
      <c r="C121" s="27"/>
      <c r="D121" s="27"/>
      <c r="E121" s="27"/>
      <c r="F121" s="8"/>
      <c r="G121" s="8"/>
      <c r="H121" s="8"/>
      <c r="I121" s="15"/>
      <c r="J121" s="15"/>
      <c r="K121" s="27"/>
      <c r="L121" s="27"/>
      <c r="M121" s="7" t="str">
        <f aca="false">IF($E121="","",IF(F121="",IFERROR(INDEX(Recetas!$K$6:$K$115,MATCH($E121,Recetas!$A$6:$A$115,0))&amp;"",""),F121))</f>
        <v/>
      </c>
      <c r="N121" s="7" t="str">
        <f aca="false">IF($E121="","",IF(AND(G121="",N(IFERROR(INDEX(Recetas!$T$6:$T$115,MATCH($E121,Recetas!$A$6:$A$115,0)),1))=0),"—",IF(G121="",IFERROR(INDEX(Recetas!$L$6:$L$115,MATCH($E121,Recetas!$A$6:$A$115,0))&amp;"",""),G121)))</f>
        <v/>
      </c>
      <c r="O121" s="7" t="str">
        <f aca="false">IF($E121="","",IF(AND(H121="",N(IFERROR(INDEX(Recetas!$W$6:$W$115,MATCH($E121,Recetas!$A$6:$A$115,0)),1))=0),"—",IF(H121="",IFERROR(IF(INDEX(Recetas!$M$6:$M$115,MATCH($E121,Recetas!$A$6:$A$115,0))&amp;""="",M121,INDEX(Recetas!$M$6:$M$115,MATCH($E121,Recetas!$A$6:$A$115,0))&amp;""),""),H121)))</f>
        <v/>
      </c>
      <c r="P121" s="9" t="str">
        <f aca="false">IF($E121="","",IFERROR(INDEX(Recetas!$Q$6:$Q$115,MATCH($E121,Recetas!$A$6:$A$115,0)),""))</f>
        <v/>
      </c>
      <c r="Q121" s="10" t="str">
        <f aca="false">IF($E121="","",IFERROR(INDEX(Telas!$I$6:$I$105,MATCH(M121,Telas!$A$6:$A$105,0)),""))</f>
        <v/>
      </c>
      <c r="R121" s="10" t="str">
        <f aca="false">IF($E121="","",IFERROR(IF(ISNUMBER(P121),IF(P121=0,0,P121*INDEX(Telas!$I$6:$I$105,MATCH(M121,Telas!$A$6:$A$105,0))),NA())+IF(ISNUMBER(INDEX(Recetas!$T$6:$T$115,MATCH($E121,Recetas!$A$6:$A$115,0))),IF(INDEX(Recetas!$T$6:$T$115,MATCH($E121,Recetas!$A$6:$A$115,0))=0,0,INDEX(Recetas!$T$6:$T$115,MATCH($E121,Recetas!$A$6:$A$115,0))*INDEX(Telas!$I$6:$I$105,MATCH(N121,Telas!$A$6:$A$105,0))),NA())+IF(ISNUMBER(INDEX(Recetas!$W$6:$W$115,MATCH($E121,Recetas!$A$6:$A$115,0))),IF(INDEX(Recetas!$W$6:$W$115,MATCH($E121,Recetas!$A$6:$A$115,0))=0,0,INDEX(Recetas!$W$6:$W$115,MATCH($E121,Recetas!$A$6:$A$115,0))*INDEX(Telas!$I$6:$I$105,MATCH(O121,Telas!$A$6:$A$105,0))),NA()),""))</f>
        <v/>
      </c>
      <c r="S121" s="10" t="str">
        <f aca="false">IF($E121="","",IFERROR(INDEX(Recetas!$AA$6:$AA$115,MATCH($E121,Recetas!$A$6:$A$115,0))*1,""))</f>
        <v/>
      </c>
      <c r="T121" s="10" t="str">
        <f aca="false">IF($E121="","",IFERROR(INDEX(Recetas!$AB$6:$AB$115,MATCH($E121,Recetas!$A$6:$A$115,0))*1,""))</f>
        <v/>
      </c>
      <c r="U121" s="10" t="str">
        <f aca="false">IF($E121="","",IFERROR(INDEX(Recetas!$AC$6:$AC$115,MATCH($E121,Recetas!$A$6:$A$115,0))+N(I121),""))</f>
        <v/>
      </c>
      <c r="V121" s="11" t="str">
        <f aca="false">IF($E121="","",IFERROR(R121+S121+T121+U121,""))</f>
        <v/>
      </c>
      <c r="W121" s="11" t="str">
        <f aca="false">IF(ISNUMBER(V121),V121*Parametros!$B$12,"")</f>
        <v/>
      </c>
      <c r="X121" s="30" t="str">
        <f aca="false">IF(AND(ISNUMBER(V121),N(J121)&gt;0),(J121-V121-J121*Parametros!$B$8)/J121,"")</f>
        <v/>
      </c>
      <c r="Y121" s="10" t="str">
        <f aca="false">IF(AND(ISNUMBER(V121),N(J121)&gt;0),J121-V121-J121*Parametros!$B$8,"")</f>
        <v/>
      </c>
      <c r="Z121" s="29" t="str">
        <f aca="false">IF(AND(ISNUMBER(P121),M121&lt;&gt;""),IFERROR(1/(P121*INDEX(Telas!$G$6:$G$105,MATCH(M121,Telas!$A$6:$A$105,0))),""),"")</f>
        <v/>
      </c>
      <c r="AA121" s="7" t="str">
        <f aca="false">IF($E121="","",IF(ISNUMBER(V121),"OK",IF(Q121="","Precio o peso por metro de "&amp;M121&amp;". ","")&amp;IFERROR(INDEX(Recetas!$AG$6:$AG$115,MATCH($E121,Recetas!$A$6:$A$115,0)),"Molde no existe en Recetas.")))</f>
        <v/>
      </c>
    </row>
    <row r="122" customFormat="false" ht="15" hidden="false" customHeight="false" outlineLevel="0" collapsed="false">
      <c r="A122" s="27"/>
      <c r="B122" s="27"/>
      <c r="C122" s="27"/>
      <c r="D122" s="27"/>
      <c r="E122" s="27"/>
      <c r="F122" s="8"/>
      <c r="G122" s="8"/>
      <c r="H122" s="8"/>
      <c r="I122" s="15"/>
      <c r="J122" s="15"/>
      <c r="K122" s="27"/>
      <c r="L122" s="27"/>
      <c r="M122" s="7" t="str">
        <f aca="false">IF($E122="","",IF(F122="",IFERROR(INDEX(Recetas!$K$6:$K$115,MATCH($E122,Recetas!$A$6:$A$115,0))&amp;"",""),F122))</f>
        <v/>
      </c>
      <c r="N122" s="7" t="str">
        <f aca="false">IF($E122="","",IF(AND(G122="",N(IFERROR(INDEX(Recetas!$T$6:$T$115,MATCH($E122,Recetas!$A$6:$A$115,0)),1))=0),"—",IF(G122="",IFERROR(INDEX(Recetas!$L$6:$L$115,MATCH($E122,Recetas!$A$6:$A$115,0))&amp;"",""),G122)))</f>
        <v/>
      </c>
      <c r="O122" s="7" t="str">
        <f aca="false">IF($E122="","",IF(AND(H122="",N(IFERROR(INDEX(Recetas!$W$6:$W$115,MATCH($E122,Recetas!$A$6:$A$115,0)),1))=0),"—",IF(H122="",IFERROR(IF(INDEX(Recetas!$M$6:$M$115,MATCH($E122,Recetas!$A$6:$A$115,0))&amp;""="",M122,INDEX(Recetas!$M$6:$M$115,MATCH($E122,Recetas!$A$6:$A$115,0))&amp;""),""),H122)))</f>
        <v/>
      </c>
      <c r="P122" s="9" t="str">
        <f aca="false">IF($E122="","",IFERROR(INDEX(Recetas!$Q$6:$Q$115,MATCH($E122,Recetas!$A$6:$A$115,0)),""))</f>
        <v/>
      </c>
      <c r="Q122" s="10" t="str">
        <f aca="false">IF($E122="","",IFERROR(INDEX(Telas!$I$6:$I$105,MATCH(M122,Telas!$A$6:$A$105,0)),""))</f>
        <v/>
      </c>
      <c r="R122" s="10" t="str">
        <f aca="false">IF($E122="","",IFERROR(IF(ISNUMBER(P122),IF(P122=0,0,P122*INDEX(Telas!$I$6:$I$105,MATCH(M122,Telas!$A$6:$A$105,0))),NA())+IF(ISNUMBER(INDEX(Recetas!$T$6:$T$115,MATCH($E122,Recetas!$A$6:$A$115,0))),IF(INDEX(Recetas!$T$6:$T$115,MATCH($E122,Recetas!$A$6:$A$115,0))=0,0,INDEX(Recetas!$T$6:$T$115,MATCH($E122,Recetas!$A$6:$A$115,0))*INDEX(Telas!$I$6:$I$105,MATCH(N122,Telas!$A$6:$A$105,0))),NA())+IF(ISNUMBER(INDEX(Recetas!$W$6:$W$115,MATCH($E122,Recetas!$A$6:$A$115,0))),IF(INDEX(Recetas!$W$6:$W$115,MATCH($E122,Recetas!$A$6:$A$115,0))=0,0,INDEX(Recetas!$W$6:$W$115,MATCH($E122,Recetas!$A$6:$A$115,0))*INDEX(Telas!$I$6:$I$105,MATCH(O122,Telas!$A$6:$A$105,0))),NA()),""))</f>
        <v/>
      </c>
      <c r="S122" s="10" t="str">
        <f aca="false">IF($E122="","",IFERROR(INDEX(Recetas!$AA$6:$AA$115,MATCH($E122,Recetas!$A$6:$A$115,0))*1,""))</f>
        <v/>
      </c>
      <c r="T122" s="10" t="str">
        <f aca="false">IF($E122="","",IFERROR(INDEX(Recetas!$AB$6:$AB$115,MATCH($E122,Recetas!$A$6:$A$115,0))*1,""))</f>
        <v/>
      </c>
      <c r="U122" s="10" t="str">
        <f aca="false">IF($E122="","",IFERROR(INDEX(Recetas!$AC$6:$AC$115,MATCH($E122,Recetas!$A$6:$A$115,0))+N(I122),""))</f>
        <v/>
      </c>
      <c r="V122" s="11" t="str">
        <f aca="false">IF($E122="","",IFERROR(R122+S122+T122+U122,""))</f>
        <v/>
      </c>
      <c r="W122" s="11" t="str">
        <f aca="false">IF(ISNUMBER(V122),V122*Parametros!$B$12,"")</f>
        <v/>
      </c>
      <c r="X122" s="30" t="str">
        <f aca="false">IF(AND(ISNUMBER(V122),N(J122)&gt;0),(J122-V122-J122*Parametros!$B$8)/J122,"")</f>
        <v/>
      </c>
      <c r="Y122" s="10" t="str">
        <f aca="false">IF(AND(ISNUMBER(V122),N(J122)&gt;0),J122-V122-J122*Parametros!$B$8,"")</f>
        <v/>
      </c>
      <c r="Z122" s="29" t="str">
        <f aca="false">IF(AND(ISNUMBER(P122),M122&lt;&gt;""),IFERROR(1/(P122*INDEX(Telas!$G$6:$G$105,MATCH(M122,Telas!$A$6:$A$105,0))),""),"")</f>
        <v/>
      </c>
      <c r="AA122" s="7" t="str">
        <f aca="false">IF($E122="","",IF(ISNUMBER(V122),"OK",IF(Q122="","Precio o peso por metro de "&amp;M122&amp;". ","")&amp;IFERROR(INDEX(Recetas!$AG$6:$AG$115,MATCH($E122,Recetas!$A$6:$A$115,0)),"Molde no existe en Recetas.")))</f>
        <v/>
      </c>
    </row>
    <row r="123" customFormat="false" ht="15" hidden="false" customHeight="false" outlineLevel="0" collapsed="false">
      <c r="A123" s="27"/>
      <c r="B123" s="27"/>
      <c r="C123" s="27"/>
      <c r="D123" s="27"/>
      <c r="E123" s="27"/>
      <c r="F123" s="8"/>
      <c r="G123" s="8"/>
      <c r="H123" s="8"/>
      <c r="I123" s="15"/>
      <c r="J123" s="15"/>
      <c r="K123" s="27"/>
      <c r="L123" s="27"/>
      <c r="M123" s="7" t="str">
        <f aca="false">IF($E123="","",IF(F123="",IFERROR(INDEX(Recetas!$K$6:$K$115,MATCH($E123,Recetas!$A$6:$A$115,0))&amp;"",""),F123))</f>
        <v/>
      </c>
      <c r="N123" s="7" t="str">
        <f aca="false">IF($E123="","",IF(AND(G123="",N(IFERROR(INDEX(Recetas!$T$6:$T$115,MATCH($E123,Recetas!$A$6:$A$115,0)),1))=0),"—",IF(G123="",IFERROR(INDEX(Recetas!$L$6:$L$115,MATCH($E123,Recetas!$A$6:$A$115,0))&amp;"",""),G123)))</f>
        <v/>
      </c>
      <c r="O123" s="7" t="str">
        <f aca="false">IF($E123="","",IF(AND(H123="",N(IFERROR(INDEX(Recetas!$W$6:$W$115,MATCH($E123,Recetas!$A$6:$A$115,0)),1))=0),"—",IF(H123="",IFERROR(IF(INDEX(Recetas!$M$6:$M$115,MATCH($E123,Recetas!$A$6:$A$115,0))&amp;""="",M123,INDEX(Recetas!$M$6:$M$115,MATCH($E123,Recetas!$A$6:$A$115,0))&amp;""),""),H123)))</f>
        <v/>
      </c>
      <c r="P123" s="9" t="str">
        <f aca="false">IF($E123="","",IFERROR(INDEX(Recetas!$Q$6:$Q$115,MATCH($E123,Recetas!$A$6:$A$115,0)),""))</f>
        <v/>
      </c>
      <c r="Q123" s="10" t="str">
        <f aca="false">IF($E123="","",IFERROR(INDEX(Telas!$I$6:$I$105,MATCH(M123,Telas!$A$6:$A$105,0)),""))</f>
        <v/>
      </c>
      <c r="R123" s="10" t="str">
        <f aca="false">IF($E123="","",IFERROR(IF(ISNUMBER(P123),IF(P123=0,0,P123*INDEX(Telas!$I$6:$I$105,MATCH(M123,Telas!$A$6:$A$105,0))),NA())+IF(ISNUMBER(INDEX(Recetas!$T$6:$T$115,MATCH($E123,Recetas!$A$6:$A$115,0))),IF(INDEX(Recetas!$T$6:$T$115,MATCH($E123,Recetas!$A$6:$A$115,0))=0,0,INDEX(Recetas!$T$6:$T$115,MATCH($E123,Recetas!$A$6:$A$115,0))*INDEX(Telas!$I$6:$I$105,MATCH(N123,Telas!$A$6:$A$105,0))),NA())+IF(ISNUMBER(INDEX(Recetas!$W$6:$W$115,MATCH($E123,Recetas!$A$6:$A$115,0))),IF(INDEX(Recetas!$W$6:$W$115,MATCH($E123,Recetas!$A$6:$A$115,0))=0,0,INDEX(Recetas!$W$6:$W$115,MATCH($E123,Recetas!$A$6:$A$115,0))*INDEX(Telas!$I$6:$I$105,MATCH(O123,Telas!$A$6:$A$105,0))),NA()),""))</f>
        <v/>
      </c>
      <c r="S123" s="10" t="str">
        <f aca="false">IF($E123="","",IFERROR(INDEX(Recetas!$AA$6:$AA$115,MATCH($E123,Recetas!$A$6:$A$115,0))*1,""))</f>
        <v/>
      </c>
      <c r="T123" s="10" t="str">
        <f aca="false">IF($E123="","",IFERROR(INDEX(Recetas!$AB$6:$AB$115,MATCH($E123,Recetas!$A$6:$A$115,0))*1,""))</f>
        <v/>
      </c>
      <c r="U123" s="10" t="str">
        <f aca="false">IF($E123="","",IFERROR(INDEX(Recetas!$AC$6:$AC$115,MATCH($E123,Recetas!$A$6:$A$115,0))+N(I123),""))</f>
        <v/>
      </c>
      <c r="V123" s="11" t="str">
        <f aca="false">IF($E123="","",IFERROR(R123+S123+T123+U123,""))</f>
        <v/>
      </c>
      <c r="W123" s="11" t="str">
        <f aca="false">IF(ISNUMBER(V123),V123*Parametros!$B$12,"")</f>
        <v/>
      </c>
      <c r="X123" s="30" t="str">
        <f aca="false">IF(AND(ISNUMBER(V123),N(J123)&gt;0),(J123-V123-J123*Parametros!$B$8)/J123,"")</f>
        <v/>
      </c>
      <c r="Y123" s="10" t="str">
        <f aca="false">IF(AND(ISNUMBER(V123),N(J123)&gt;0),J123-V123-J123*Parametros!$B$8,"")</f>
        <v/>
      </c>
      <c r="Z123" s="29" t="str">
        <f aca="false">IF(AND(ISNUMBER(P123),M123&lt;&gt;""),IFERROR(1/(P123*INDEX(Telas!$G$6:$G$105,MATCH(M123,Telas!$A$6:$A$105,0))),""),"")</f>
        <v/>
      </c>
      <c r="AA123" s="7" t="str">
        <f aca="false">IF($E123="","",IF(ISNUMBER(V123),"OK",IF(Q123="","Precio o peso por metro de "&amp;M123&amp;". ","")&amp;IFERROR(INDEX(Recetas!$AG$6:$AG$115,MATCH($E123,Recetas!$A$6:$A$115,0)),"Molde no existe en Recetas.")))</f>
        <v/>
      </c>
    </row>
    <row r="124" customFormat="false" ht="15" hidden="false" customHeight="false" outlineLevel="0" collapsed="false">
      <c r="A124" s="27"/>
      <c r="B124" s="27"/>
      <c r="C124" s="27"/>
      <c r="D124" s="27"/>
      <c r="E124" s="27"/>
      <c r="F124" s="8"/>
      <c r="G124" s="8"/>
      <c r="H124" s="8"/>
      <c r="I124" s="15"/>
      <c r="J124" s="15"/>
      <c r="K124" s="27"/>
      <c r="L124" s="27"/>
      <c r="M124" s="7" t="str">
        <f aca="false">IF($E124="","",IF(F124="",IFERROR(INDEX(Recetas!$K$6:$K$115,MATCH($E124,Recetas!$A$6:$A$115,0))&amp;"",""),F124))</f>
        <v/>
      </c>
      <c r="N124" s="7" t="str">
        <f aca="false">IF($E124="","",IF(AND(G124="",N(IFERROR(INDEX(Recetas!$T$6:$T$115,MATCH($E124,Recetas!$A$6:$A$115,0)),1))=0),"—",IF(G124="",IFERROR(INDEX(Recetas!$L$6:$L$115,MATCH($E124,Recetas!$A$6:$A$115,0))&amp;"",""),G124)))</f>
        <v/>
      </c>
      <c r="O124" s="7" t="str">
        <f aca="false">IF($E124="","",IF(AND(H124="",N(IFERROR(INDEX(Recetas!$W$6:$W$115,MATCH($E124,Recetas!$A$6:$A$115,0)),1))=0),"—",IF(H124="",IFERROR(IF(INDEX(Recetas!$M$6:$M$115,MATCH($E124,Recetas!$A$6:$A$115,0))&amp;""="",M124,INDEX(Recetas!$M$6:$M$115,MATCH($E124,Recetas!$A$6:$A$115,0))&amp;""),""),H124)))</f>
        <v/>
      </c>
      <c r="P124" s="9" t="str">
        <f aca="false">IF($E124="","",IFERROR(INDEX(Recetas!$Q$6:$Q$115,MATCH($E124,Recetas!$A$6:$A$115,0)),""))</f>
        <v/>
      </c>
      <c r="Q124" s="10" t="str">
        <f aca="false">IF($E124="","",IFERROR(INDEX(Telas!$I$6:$I$105,MATCH(M124,Telas!$A$6:$A$105,0)),""))</f>
        <v/>
      </c>
      <c r="R124" s="10" t="str">
        <f aca="false">IF($E124="","",IFERROR(IF(ISNUMBER(P124),IF(P124=0,0,P124*INDEX(Telas!$I$6:$I$105,MATCH(M124,Telas!$A$6:$A$105,0))),NA())+IF(ISNUMBER(INDEX(Recetas!$T$6:$T$115,MATCH($E124,Recetas!$A$6:$A$115,0))),IF(INDEX(Recetas!$T$6:$T$115,MATCH($E124,Recetas!$A$6:$A$115,0))=0,0,INDEX(Recetas!$T$6:$T$115,MATCH($E124,Recetas!$A$6:$A$115,0))*INDEX(Telas!$I$6:$I$105,MATCH(N124,Telas!$A$6:$A$105,0))),NA())+IF(ISNUMBER(INDEX(Recetas!$W$6:$W$115,MATCH($E124,Recetas!$A$6:$A$115,0))),IF(INDEX(Recetas!$W$6:$W$115,MATCH($E124,Recetas!$A$6:$A$115,0))=0,0,INDEX(Recetas!$W$6:$W$115,MATCH($E124,Recetas!$A$6:$A$115,0))*INDEX(Telas!$I$6:$I$105,MATCH(O124,Telas!$A$6:$A$105,0))),NA()),""))</f>
        <v/>
      </c>
      <c r="S124" s="10" t="str">
        <f aca="false">IF($E124="","",IFERROR(INDEX(Recetas!$AA$6:$AA$115,MATCH($E124,Recetas!$A$6:$A$115,0))*1,""))</f>
        <v/>
      </c>
      <c r="T124" s="10" t="str">
        <f aca="false">IF($E124="","",IFERROR(INDEX(Recetas!$AB$6:$AB$115,MATCH($E124,Recetas!$A$6:$A$115,0))*1,""))</f>
        <v/>
      </c>
      <c r="U124" s="10" t="str">
        <f aca="false">IF($E124="","",IFERROR(INDEX(Recetas!$AC$6:$AC$115,MATCH($E124,Recetas!$A$6:$A$115,0))+N(I124),""))</f>
        <v/>
      </c>
      <c r="V124" s="11" t="str">
        <f aca="false">IF($E124="","",IFERROR(R124+S124+T124+U124,""))</f>
        <v/>
      </c>
      <c r="W124" s="11" t="str">
        <f aca="false">IF(ISNUMBER(V124),V124*Parametros!$B$12,"")</f>
        <v/>
      </c>
      <c r="X124" s="30" t="str">
        <f aca="false">IF(AND(ISNUMBER(V124),N(J124)&gt;0),(J124-V124-J124*Parametros!$B$8)/J124,"")</f>
        <v/>
      </c>
      <c r="Y124" s="10" t="str">
        <f aca="false">IF(AND(ISNUMBER(V124),N(J124)&gt;0),J124-V124-J124*Parametros!$B$8,"")</f>
        <v/>
      </c>
      <c r="Z124" s="29" t="str">
        <f aca="false">IF(AND(ISNUMBER(P124),M124&lt;&gt;""),IFERROR(1/(P124*INDEX(Telas!$G$6:$G$105,MATCH(M124,Telas!$A$6:$A$105,0))),""),"")</f>
        <v/>
      </c>
      <c r="AA124" s="7" t="str">
        <f aca="false">IF($E124="","",IF(ISNUMBER(V124),"OK",IF(Q124="","Precio o peso por metro de "&amp;M124&amp;". ","")&amp;IFERROR(INDEX(Recetas!$AG$6:$AG$115,MATCH($E124,Recetas!$A$6:$A$115,0)),"Molde no existe en Recetas.")))</f>
        <v/>
      </c>
    </row>
    <row r="125" customFormat="false" ht="15" hidden="false" customHeight="false" outlineLevel="0" collapsed="false">
      <c r="A125" s="27"/>
      <c r="B125" s="27"/>
      <c r="C125" s="27"/>
      <c r="D125" s="27"/>
      <c r="E125" s="27"/>
      <c r="F125" s="8"/>
      <c r="G125" s="8"/>
      <c r="H125" s="8"/>
      <c r="I125" s="15"/>
      <c r="J125" s="15"/>
      <c r="K125" s="27"/>
      <c r="L125" s="27"/>
      <c r="M125" s="7" t="str">
        <f aca="false">IF($E125="","",IF(F125="",IFERROR(INDEX(Recetas!$K$6:$K$115,MATCH($E125,Recetas!$A$6:$A$115,0))&amp;"",""),F125))</f>
        <v/>
      </c>
      <c r="N125" s="7" t="str">
        <f aca="false">IF($E125="","",IF(AND(G125="",N(IFERROR(INDEX(Recetas!$T$6:$T$115,MATCH($E125,Recetas!$A$6:$A$115,0)),1))=0),"—",IF(G125="",IFERROR(INDEX(Recetas!$L$6:$L$115,MATCH($E125,Recetas!$A$6:$A$115,0))&amp;"",""),G125)))</f>
        <v/>
      </c>
      <c r="O125" s="7" t="str">
        <f aca="false">IF($E125="","",IF(AND(H125="",N(IFERROR(INDEX(Recetas!$W$6:$W$115,MATCH($E125,Recetas!$A$6:$A$115,0)),1))=0),"—",IF(H125="",IFERROR(IF(INDEX(Recetas!$M$6:$M$115,MATCH($E125,Recetas!$A$6:$A$115,0))&amp;""="",M125,INDEX(Recetas!$M$6:$M$115,MATCH($E125,Recetas!$A$6:$A$115,0))&amp;""),""),H125)))</f>
        <v/>
      </c>
      <c r="P125" s="9" t="str">
        <f aca="false">IF($E125="","",IFERROR(INDEX(Recetas!$Q$6:$Q$115,MATCH($E125,Recetas!$A$6:$A$115,0)),""))</f>
        <v/>
      </c>
      <c r="Q125" s="10" t="str">
        <f aca="false">IF($E125="","",IFERROR(INDEX(Telas!$I$6:$I$105,MATCH(M125,Telas!$A$6:$A$105,0)),""))</f>
        <v/>
      </c>
      <c r="R125" s="10" t="str">
        <f aca="false">IF($E125="","",IFERROR(IF(ISNUMBER(P125),IF(P125=0,0,P125*INDEX(Telas!$I$6:$I$105,MATCH(M125,Telas!$A$6:$A$105,0))),NA())+IF(ISNUMBER(INDEX(Recetas!$T$6:$T$115,MATCH($E125,Recetas!$A$6:$A$115,0))),IF(INDEX(Recetas!$T$6:$T$115,MATCH($E125,Recetas!$A$6:$A$115,0))=0,0,INDEX(Recetas!$T$6:$T$115,MATCH($E125,Recetas!$A$6:$A$115,0))*INDEX(Telas!$I$6:$I$105,MATCH(N125,Telas!$A$6:$A$105,0))),NA())+IF(ISNUMBER(INDEX(Recetas!$W$6:$W$115,MATCH($E125,Recetas!$A$6:$A$115,0))),IF(INDEX(Recetas!$W$6:$W$115,MATCH($E125,Recetas!$A$6:$A$115,0))=0,0,INDEX(Recetas!$W$6:$W$115,MATCH($E125,Recetas!$A$6:$A$115,0))*INDEX(Telas!$I$6:$I$105,MATCH(O125,Telas!$A$6:$A$105,0))),NA()),""))</f>
        <v/>
      </c>
      <c r="S125" s="10" t="str">
        <f aca="false">IF($E125="","",IFERROR(INDEX(Recetas!$AA$6:$AA$115,MATCH($E125,Recetas!$A$6:$A$115,0))*1,""))</f>
        <v/>
      </c>
      <c r="T125" s="10" t="str">
        <f aca="false">IF($E125="","",IFERROR(INDEX(Recetas!$AB$6:$AB$115,MATCH($E125,Recetas!$A$6:$A$115,0))*1,""))</f>
        <v/>
      </c>
      <c r="U125" s="10" t="str">
        <f aca="false">IF($E125="","",IFERROR(INDEX(Recetas!$AC$6:$AC$115,MATCH($E125,Recetas!$A$6:$A$115,0))+N(I125),""))</f>
        <v/>
      </c>
      <c r="V125" s="11" t="str">
        <f aca="false">IF($E125="","",IFERROR(R125+S125+T125+U125,""))</f>
        <v/>
      </c>
      <c r="W125" s="11" t="str">
        <f aca="false">IF(ISNUMBER(V125),V125*Parametros!$B$12,"")</f>
        <v/>
      </c>
      <c r="X125" s="30" t="str">
        <f aca="false">IF(AND(ISNUMBER(V125),N(J125)&gt;0),(J125-V125-J125*Parametros!$B$8)/J125,"")</f>
        <v/>
      </c>
      <c r="Y125" s="10" t="str">
        <f aca="false">IF(AND(ISNUMBER(V125),N(J125)&gt;0),J125-V125-J125*Parametros!$B$8,"")</f>
        <v/>
      </c>
      <c r="Z125" s="29" t="str">
        <f aca="false">IF(AND(ISNUMBER(P125),M125&lt;&gt;""),IFERROR(1/(P125*INDEX(Telas!$G$6:$G$105,MATCH(M125,Telas!$A$6:$A$105,0))),""),"")</f>
        <v/>
      </c>
      <c r="AA125" s="7" t="str">
        <f aca="false">IF($E125="","",IF(ISNUMBER(V125),"OK",IF(Q125="","Precio o peso por metro de "&amp;M125&amp;". ","")&amp;IFERROR(INDEX(Recetas!$AG$6:$AG$115,MATCH($E125,Recetas!$A$6:$A$115,0)),"Molde no existe en Recetas.")))</f>
        <v/>
      </c>
    </row>
    <row r="126" customFormat="false" ht="15" hidden="false" customHeight="false" outlineLevel="0" collapsed="false">
      <c r="A126" s="27"/>
      <c r="B126" s="27"/>
      <c r="C126" s="27"/>
      <c r="D126" s="27"/>
      <c r="E126" s="27"/>
      <c r="F126" s="8"/>
      <c r="G126" s="8"/>
      <c r="H126" s="8"/>
      <c r="I126" s="15"/>
      <c r="J126" s="15"/>
      <c r="K126" s="27"/>
      <c r="L126" s="27"/>
      <c r="M126" s="7" t="str">
        <f aca="false">IF($E126="","",IF(F126="",IFERROR(INDEX(Recetas!$K$6:$K$115,MATCH($E126,Recetas!$A$6:$A$115,0))&amp;"",""),F126))</f>
        <v/>
      </c>
      <c r="N126" s="7" t="str">
        <f aca="false">IF($E126="","",IF(AND(G126="",N(IFERROR(INDEX(Recetas!$T$6:$T$115,MATCH($E126,Recetas!$A$6:$A$115,0)),1))=0),"—",IF(G126="",IFERROR(INDEX(Recetas!$L$6:$L$115,MATCH($E126,Recetas!$A$6:$A$115,0))&amp;"",""),G126)))</f>
        <v/>
      </c>
      <c r="O126" s="7" t="str">
        <f aca="false">IF($E126="","",IF(AND(H126="",N(IFERROR(INDEX(Recetas!$W$6:$W$115,MATCH($E126,Recetas!$A$6:$A$115,0)),1))=0),"—",IF(H126="",IFERROR(IF(INDEX(Recetas!$M$6:$M$115,MATCH($E126,Recetas!$A$6:$A$115,0))&amp;""="",M126,INDEX(Recetas!$M$6:$M$115,MATCH($E126,Recetas!$A$6:$A$115,0))&amp;""),""),H126)))</f>
        <v/>
      </c>
      <c r="P126" s="9" t="str">
        <f aca="false">IF($E126="","",IFERROR(INDEX(Recetas!$Q$6:$Q$115,MATCH($E126,Recetas!$A$6:$A$115,0)),""))</f>
        <v/>
      </c>
      <c r="Q126" s="10" t="str">
        <f aca="false">IF($E126="","",IFERROR(INDEX(Telas!$I$6:$I$105,MATCH(M126,Telas!$A$6:$A$105,0)),""))</f>
        <v/>
      </c>
      <c r="R126" s="10" t="str">
        <f aca="false">IF($E126="","",IFERROR(IF(ISNUMBER(P126),IF(P126=0,0,P126*INDEX(Telas!$I$6:$I$105,MATCH(M126,Telas!$A$6:$A$105,0))),NA())+IF(ISNUMBER(INDEX(Recetas!$T$6:$T$115,MATCH($E126,Recetas!$A$6:$A$115,0))),IF(INDEX(Recetas!$T$6:$T$115,MATCH($E126,Recetas!$A$6:$A$115,0))=0,0,INDEX(Recetas!$T$6:$T$115,MATCH($E126,Recetas!$A$6:$A$115,0))*INDEX(Telas!$I$6:$I$105,MATCH(N126,Telas!$A$6:$A$105,0))),NA())+IF(ISNUMBER(INDEX(Recetas!$W$6:$W$115,MATCH($E126,Recetas!$A$6:$A$115,0))),IF(INDEX(Recetas!$W$6:$W$115,MATCH($E126,Recetas!$A$6:$A$115,0))=0,0,INDEX(Recetas!$W$6:$W$115,MATCH($E126,Recetas!$A$6:$A$115,0))*INDEX(Telas!$I$6:$I$105,MATCH(O126,Telas!$A$6:$A$105,0))),NA()),""))</f>
        <v/>
      </c>
      <c r="S126" s="10" t="str">
        <f aca="false">IF($E126="","",IFERROR(INDEX(Recetas!$AA$6:$AA$115,MATCH($E126,Recetas!$A$6:$A$115,0))*1,""))</f>
        <v/>
      </c>
      <c r="T126" s="10" t="str">
        <f aca="false">IF($E126="","",IFERROR(INDEX(Recetas!$AB$6:$AB$115,MATCH($E126,Recetas!$A$6:$A$115,0))*1,""))</f>
        <v/>
      </c>
      <c r="U126" s="10" t="str">
        <f aca="false">IF($E126="","",IFERROR(INDEX(Recetas!$AC$6:$AC$115,MATCH($E126,Recetas!$A$6:$A$115,0))+N(I126),""))</f>
        <v/>
      </c>
      <c r="V126" s="11" t="str">
        <f aca="false">IF($E126="","",IFERROR(R126+S126+T126+U126,""))</f>
        <v/>
      </c>
      <c r="W126" s="11" t="str">
        <f aca="false">IF(ISNUMBER(V126),V126*Parametros!$B$12,"")</f>
        <v/>
      </c>
      <c r="X126" s="30" t="str">
        <f aca="false">IF(AND(ISNUMBER(V126),N(J126)&gt;0),(J126-V126-J126*Parametros!$B$8)/J126,"")</f>
        <v/>
      </c>
      <c r="Y126" s="10" t="str">
        <f aca="false">IF(AND(ISNUMBER(V126),N(J126)&gt;0),J126-V126-J126*Parametros!$B$8,"")</f>
        <v/>
      </c>
      <c r="Z126" s="29" t="str">
        <f aca="false">IF(AND(ISNUMBER(P126),M126&lt;&gt;""),IFERROR(1/(P126*INDEX(Telas!$G$6:$G$105,MATCH(M126,Telas!$A$6:$A$105,0))),""),"")</f>
        <v/>
      </c>
      <c r="AA126" s="7" t="str">
        <f aca="false">IF($E126="","",IF(ISNUMBER(V126),"OK",IF(Q126="","Precio o peso por metro de "&amp;M126&amp;". ","")&amp;IFERROR(INDEX(Recetas!$AG$6:$AG$115,MATCH($E126,Recetas!$A$6:$A$115,0)),"Molde no existe en Recetas.")))</f>
        <v/>
      </c>
    </row>
    <row r="127" customFormat="false" ht="15" hidden="false" customHeight="false" outlineLevel="0" collapsed="false">
      <c r="A127" s="27"/>
      <c r="B127" s="27"/>
      <c r="C127" s="27"/>
      <c r="D127" s="27"/>
      <c r="E127" s="27"/>
      <c r="F127" s="8"/>
      <c r="G127" s="8"/>
      <c r="H127" s="8"/>
      <c r="I127" s="15"/>
      <c r="J127" s="15"/>
      <c r="K127" s="27"/>
      <c r="L127" s="27"/>
      <c r="M127" s="7" t="str">
        <f aca="false">IF($E127="","",IF(F127="",IFERROR(INDEX(Recetas!$K$6:$K$115,MATCH($E127,Recetas!$A$6:$A$115,0))&amp;"",""),F127))</f>
        <v/>
      </c>
      <c r="N127" s="7" t="str">
        <f aca="false">IF($E127="","",IF(AND(G127="",N(IFERROR(INDEX(Recetas!$T$6:$T$115,MATCH($E127,Recetas!$A$6:$A$115,0)),1))=0),"—",IF(G127="",IFERROR(INDEX(Recetas!$L$6:$L$115,MATCH($E127,Recetas!$A$6:$A$115,0))&amp;"",""),G127)))</f>
        <v/>
      </c>
      <c r="O127" s="7" t="str">
        <f aca="false">IF($E127="","",IF(AND(H127="",N(IFERROR(INDEX(Recetas!$W$6:$W$115,MATCH($E127,Recetas!$A$6:$A$115,0)),1))=0),"—",IF(H127="",IFERROR(IF(INDEX(Recetas!$M$6:$M$115,MATCH($E127,Recetas!$A$6:$A$115,0))&amp;""="",M127,INDEX(Recetas!$M$6:$M$115,MATCH($E127,Recetas!$A$6:$A$115,0))&amp;""),""),H127)))</f>
        <v/>
      </c>
      <c r="P127" s="9" t="str">
        <f aca="false">IF($E127="","",IFERROR(INDEX(Recetas!$Q$6:$Q$115,MATCH($E127,Recetas!$A$6:$A$115,0)),""))</f>
        <v/>
      </c>
      <c r="Q127" s="10" t="str">
        <f aca="false">IF($E127="","",IFERROR(INDEX(Telas!$I$6:$I$105,MATCH(M127,Telas!$A$6:$A$105,0)),""))</f>
        <v/>
      </c>
      <c r="R127" s="10" t="str">
        <f aca="false">IF($E127="","",IFERROR(IF(ISNUMBER(P127),IF(P127=0,0,P127*INDEX(Telas!$I$6:$I$105,MATCH(M127,Telas!$A$6:$A$105,0))),NA())+IF(ISNUMBER(INDEX(Recetas!$T$6:$T$115,MATCH($E127,Recetas!$A$6:$A$115,0))),IF(INDEX(Recetas!$T$6:$T$115,MATCH($E127,Recetas!$A$6:$A$115,0))=0,0,INDEX(Recetas!$T$6:$T$115,MATCH($E127,Recetas!$A$6:$A$115,0))*INDEX(Telas!$I$6:$I$105,MATCH(N127,Telas!$A$6:$A$105,0))),NA())+IF(ISNUMBER(INDEX(Recetas!$W$6:$W$115,MATCH($E127,Recetas!$A$6:$A$115,0))),IF(INDEX(Recetas!$W$6:$W$115,MATCH($E127,Recetas!$A$6:$A$115,0))=0,0,INDEX(Recetas!$W$6:$W$115,MATCH($E127,Recetas!$A$6:$A$115,0))*INDEX(Telas!$I$6:$I$105,MATCH(O127,Telas!$A$6:$A$105,0))),NA()),""))</f>
        <v/>
      </c>
      <c r="S127" s="10" t="str">
        <f aca="false">IF($E127="","",IFERROR(INDEX(Recetas!$AA$6:$AA$115,MATCH($E127,Recetas!$A$6:$A$115,0))*1,""))</f>
        <v/>
      </c>
      <c r="T127" s="10" t="str">
        <f aca="false">IF($E127="","",IFERROR(INDEX(Recetas!$AB$6:$AB$115,MATCH($E127,Recetas!$A$6:$A$115,0))*1,""))</f>
        <v/>
      </c>
      <c r="U127" s="10" t="str">
        <f aca="false">IF($E127="","",IFERROR(INDEX(Recetas!$AC$6:$AC$115,MATCH($E127,Recetas!$A$6:$A$115,0))+N(I127),""))</f>
        <v/>
      </c>
      <c r="V127" s="11" t="str">
        <f aca="false">IF($E127="","",IFERROR(R127+S127+T127+U127,""))</f>
        <v/>
      </c>
      <c r="W127" s="11" t="str">
        <f aca="false">IF(ISNUMBER(V127),V127*Parametros!$B$12,"")</f>
        <v/>
      </c>
      <c r="X127" s="30" t="str">
        <f aca="false">IF(AND(ISNUMBER(V127),N(J127)&gt;0),(J127-V127-J127*Parametros!$B$8)/J127,"")</f>
        <v/>
      </c>
      <c r="Y127" s="10" t="str">
        <f aca="false">IF(AND(ISNUMBER(V127),N(J127)&gt;0),J127-V127-J127*Parametros!$B$8,"")</f>
        <v/>
      </c>
      <c r="Z127" s="29" t="str">
        <f aca="false">IF(AND(ISNUMBER(P127),M127&lt;&gt;""),IFERROR(1/(P127*INDEX(Telas!$G$6:$G$105,MATCH(M127,Telas!$A$6:$A$105,0))),""),"")</f>
        <v/>
      </c>
      <c r="AA127" s="7" t="str">
        <f aca="false">IF($E127="","",IF(ISNUMBER(V127),"OK",IF(Q127="","Precio o peso por metro de "&amp;M127&amp;". ","")&amp;IFERROR(INDEX(Recetas!$AG$6:$AG$115,MATCH($E127,Recetas!$A$6:$A$115,0)),"Molde no existe en Recetas.")))</f>
        <v/>
      </c>
    </row>
    <row r="128" customFormat="false" ht="15" hidden="false" customHeight="false" outlineLevel="0" collapsed="false">
      <c r="A128" s="27"/>
      <c r="B128" s="27"/>
      <c r="C128" s="27"/>
      <c r="D128" s="27"/>
      <c r="E128" s="27"/>
      <c r="F128" s="8"/>
      <c r="G128" s="8"/>
      <c r="H128" s="8"/>
      <c r="I128" s="15"/>
      <c r="J128" s="15"/>
      <c r="K128" s="27"/>
      <c r="L128" s="27"/>
      <c r="M128" s="7" t="str">
        <f aca="false">IF($E128="","",IF(F128="",IFERROR(INDEX(Recetas!$K$6:$K$115,MATCH($E128,Recetas!$A$6:$A$115,0))&amp;"",""),F128))</f>
        <v/>
      </c>
      <c r="N128" s="7" t="str">
        <f aca="false">IF($E128="","",IF(AND(G128="",N(IFERROR(INDEX(Recetas!$T$6:$T$115,MATCH($E128,Recetas!$A$6:$A$115,0)),1))=0),"—",IF(G128="",IFERROR(INDEX(Recetas!$L$6:$L$115,MATCH($E128,Recetas!$A$6:$A$115,0))&amp;"",""),G128)))</f>
        <v/>
      </c>
      <c r="O128" s="7" t="str">
        <f aca="false">IF($E128="","",IF(AND(H128="",N(IFERROR(INDEX(Recetas!$W$6:$W$115,MATCH($E128,Recetas!$A$6:$A$115,0)),1))=0),"—",IF(H128="",IFERROR(IF(INDEX(Recetas!$M$6:$M$115,MATCH($E128,Recetas!$A$6:$A$115,0))&amp;""="",M128,INDEX(Recetas!$M$6:$M$115,MATCH($E128,Recetas!$A$6:$A$115,0))&amp;""),""),H128)))</f>
        <v/>
      </c>
      <c r="P128" s="9" t="str">
        <f aca="false">IF($E128="","",IFERROR(INDEX(Recetas!$Q$6:$Q$115,MATCH($E128,Recetas!$A$6:$A$115,0)),""))</f>
        <v/>
      </c>
      <c r="Q128" s="10" t="str">
        <f aca="false">IF($E128="","",IFERROR(INDEX(Telas!$I$6:$I$105,MATCH(M128,Telas!$A$6:$A$105,0)),""))</f>
        <v/>
      </c>
      <c r="R128" s="10" t="str">
        <f aca="false">IF($E128="","",IFERROR(IF(ISNUMBER(P128),IF(P128=0,0,P128*INDEX(Telas!$I$6:$I$105,MATCH(M128,Telas!$A$6:$A$105,0))),NA())+IF(ISNUMBER(INDEX(Recetas!$T$6:$T$115,MATCH($E128,Recetas!$A$6:$A$115,0))),IF(INDEX(Recetas!$T$6:$T$115,MATCH($E128,Recetas!$A$6:$A$115,0))=0,0,INDEX(Recetas!$T$6:$T$115,MATCH($E128,Recetas!$A$6:$A$115,0))*INDEX(Telas!$I$6:$I$105,MATCH(N128,Telas!$A$6:$A$105,0))),NA())+IF(ISNUMBER(INDEX(Recetas!$W$6:$W$115,MATCH($E128,Recetas!$A$6:$A$115,0))),IF(INDEX(Recetas!$W$6:$W$115,MATCH($E128,Recetas!$A$6:$A$115,0))=0,0,INDEX(Recetas!$W$6:$W$115,MATCH($E128,Recetas!$A$6:$A$115,0))*INDEX(Telas!$I$6:$I$105,MATCH(O128,Telas!$A$6:$A$105,0))),NA()),""))</f>
        <v/>
      </c>
      <c r="S128" s="10" t="str">
        <f aca="false">IF($E128="","",IFERROR(INDEX(Recetas!$AA$6:$AA$115,MATCH($E128,Recetas!$A$6:$A$115,0))*1,""))</f>
        <v/>
      </c>
      <c r="T128" s="10" t="str">
        <f aca="false">IF($E128="","",IFERROR(INDEX(Recetas!$AB$6:$AB$115,MATCH($E128,Recetas!$A$6:$A$115,0))*1,""))</f>
        <v/>
      </c>
      <c r="U128" s="10" t="str">
        <f aca="false">IF($E128="","",IFERROR(INDEX(Recetas!$AC$6:$AC$115,MATCH($E128,Recetas!$A$6:$A$115,0))+N(I128),""))</f>
        <v/>
      </c>
      <c r="V128" s="11" t="str">
        <f aca="false">IF($E128="","",IFERROR(R128+S128+T128+U128,""))</f>
        <v/>
      </c>
      <c r="W128" s="11" t="str">
        <f aca="false">IF(ISNUMBER(V128),V128*Parametros!$B$12,"")</f>
        <v/>
      </c>
      <c r="X128" s="30" t="str">
        <f aca="false">IF(AND(ISNUMBER(V128),N(J128)&gt;0),(J128-V128-J128*Parametros!$B$8)/J128,"")</f>
        <v/>
      </c>
      <c r="Y128" s="10" t="str">
        <f aca="false">IF(AND(ISNUMBER(V128),N(J128)&gt;0),J128-V128-J128*Parametros!$B$8,"")</f>
        <v/>
      </c>
      <c r="Z128" s="29" t="str">
        <f aca="false">IF(AND(ISNUMBER(P128),M128&lt;&gt;""),IFERROR(1/(P128*INDEX(Telas!$G$6:$G$105,MATCH(M128,Telas!$A$6:$A$105,0))),""),"")</f>
        <v/>
      </c>
      <c r="AA128" s="7" t="str">
        <f aca="false">IF($E128="","",IF(ISNUMBER(V128),"OK",IF(Q128="","Precio o peso por metro de "&amp;M128&amp;". ","")&amp;IFERROR(INDEX(Recetas!$AG$6:$AG$115,MATCH($E128,Recetas!$A$6:$A$115,0)),"Molde no existe en Recetas.")))</f>
        <v/>
      </c>
    </row>
    <row r="129" customFormat="false" ht="15" hidden="false" customHeight="false" outlineLevel="0" collapsed="false">
      <c r="A129" s="27"/>
      <c r="B129" s="27"/>
      <c r="C129" s="27"/>
      <c r="D129" s="27"/>
      <c r="E129" s="27"/>
      <c r="F129" s="8"/>
      <c r="G129" s="8"/>
      <c r="H129" s="8"/>
      <c r="I129" s="15"/>
      <c r="J129" s="15"/>
      <c r="K129" s="27"/>
      <c r="L129" s="27"/>
      <c r="M129" s="7" t="str">
        <f aca="false">IF($E129="","",IF(F129="",IFERROR(INDEX(Recetas!$K$6:$K$115,MATCH($E129,Recetas!$A$6:$A$115,0))&amp;"",""),F129))</f>
        <v/>
      </c>
      <c r="N129" s="7" t="str">
        <f aca="false">IF($E129="","",IF(AND(G129="",N(IFERROR(INDEX(Recetas!$T$6:$T$115,MATCH($E129,Recetas!$A$6:$A$115,0)),1))=0),"—",IF(G129="",IFERROR(INDEX(Recetas!$L$6:$L$115,MATCH($E129,Recetas!$A$6:$A$115,0))&amp;"",""),G129)))</f>
        <v/>
      </c>
      <c r="O129" s="7" t="str">
        <f aca="false">IF($E129="","",IF(AND(H129="",N(IFERROR(INDEX(Recetas!$W$6:$W$115,MATCH($E129,Recetas!$A$6:$A$115,0)),1))=0),"—",IF(H129="",IFERROR(IF(INDEX(Recetas!$M$6:$M$115,MATCH($E129,Recetas!$A$6:$A$115,0))&amp;""="",M129,INDEX(Recetas!$M$6:$M$115,MATCH($E129,Recetas!$A$6:$A$115,0))&amp;""),""),H129)))</f>
        <v/>
      </c>
      <c r="P129" s="9" t="str">
        <f aca="false">IF($E129="","",IFERROR(INDEX(Recetas!$Q$6:$Q$115,MATCH($E129,Recetas!$A$6:$A$115,0)),""))</f>
        <v/>
      </c>
      <c r="Q129" s="10" t="str">
        <f aca="false">IF($E129="","",IFERROR(INDEX(Telas!$I$6:$I$105,MATCH(M129,Telas!$A$6:$A$105,0)),""))</f>
        <v/>
      </c>
      <c r="R129" s="10" t="str">
        <f aca="false">IF($E129="","",IFERROR(IF(ISNUMBER(P129),IF(P129=0,0,P129*INDEX(Telas!$I$6:$I$105,MATCH(M129,Telas!$A$6:$A$105,0))),NA())+IF(ISNUMBER(INDEX(Recetas!$T$6:$T$115,MATCH($E129,Recetas!$A$6:$A$115,0))),IF(INDEX(Recetas!$T$6:$T$115,MATCH($E129,Recetas!$A$6:$A$115,0))=0,0,INDEX(Recetas!$T$6:$T$115,MATCH($E129,Recetas!$A$6:$A$115,0))*INDEX(Telas!$I$6:$I$105,MATCH(N129,Telas!$A$6:$A$105,0))),NA())+IF(ISNUMBER(INDEX(Recetas!$W$6:$W$115,MATCH($E129,Recetas!$A$6:$A$115,0))),IF(INDEX(Recetas!$W$6:$W$115,MATCH($E129,Recetas!$A$6:$A$115,0))=0,0,INDEX(Recetas!$W$6:$W$115,MATCH($E129,Recetas!$A$6:$A$115,0))*INDEX(Telas!$I$6:$I$105,MATCH(O129,Telas!$A$6:$A$105,0))),NA()),""))</f>
        <v/>
      </c>
      <c r="S129" s="10" t="str">
        <f aca="false">IF($E129="","",IFERROR(INDEX(Recetas!$AA$6:$AA$115,MATCH($E129,Recetas!$A$6:$A$115,0))*1,""))</f>
        <v/>
      </c>
      <c r="T129" s="10" t="str">
        <f aca="false">IF($E129="","",IFERROR(INDEX(Recetas!$AB$6:$AB$115,MATCH($E129,Recetas!$A$6:$A$115,0))*1,""))</f>
        <v/>
      </c>
      <c r="U129" s="10" t="str">
        <f aca="false">IF($E129="","",IFERROR(INDEX(Recetas!$AC$6:$AC$115,MATCH($E129,Recetas!$A$6:$A$115,0))+N(I129),""))</f>
        <v/>
      </c>
      <c r="V129" s="11" t="str">
        <f aca="false">IF($E129="","",IFERROR(R129+S129+T129+U129,""))</f>
        <v/>
      </c>
      <c r="W129" s="11" t="str">
        <f aca="false">IF(ISNUMBER(V129),V129*Parametros!$B$12,"")</f>
        <v/>
      </c>
      <c r="X129" s="30" t="str">
        <f aca="false">IF(AND(ISNUMBER(V129),N(J129)&gt;0),(J129-V129-J129*Parametros!$B$8)/J129,"")</f>
        <v/>
      </c>
      <c r="Y129" s="10" t="str">
        <f aca="false">IF(AND(ISNUMBER(V129),N(J129)&gt;0),J129-V129-J129*Parametros!$B$8,"")</f>
        <v/>
      </c>
      <c r="Z129" s="29" t="str">
        <f aca="false">IF(AND(ISNUMBER(P129),M129&lt;&gt;""),IFERROR(1/(P129*INDEX(Telas!$G$6:$G$105,MATCH(M129,Telas!$A$6:$A$105,0))),""),"")</f>
        <v/>
      </c>
      <c r="AA129" s="7" t="str">
        <f aca="false">IF($E129="","",IF(ISNUMBER(V129),"OK",IF(Q129="","Precio o peso por metro de "&amp;M129&amp;". ","")&amp;IFERROR(INDEX(Recetas!$AG$6:$AG$115,MATCH($E129,Recetas!$A$6:$A$115,0)),"Molde no existe en Recetas.")))</f>
        <v/>
      </c>
    </row>
    <row r="130" customFormat="false" ht="15" hidden="false" customHeight="false" outlineLevel="0" collapsed="false">
      <c r="A130" s="27"/>
      <c r="B130" s="27"/>
      <c r="C130" s="27"/>
      <c r="D130" s="27"/>
      <c r="E130" s="27"/>
      <c r="F130" s="8"/>
      <c r="G130" s="8"/>
      <c r="H130" s="8"/>
      <c r="I130" s="15"/>
      <c r="J130" s="15"/>
      <c r="K130" s="27"/>
      <c r="L130" s="27"/>
      <c r="M130" s="7" t="str">
        <f aca="false">IF($E130="","",IF(F130="",IFERROR(INDEX(Recetas!$K$6:$K$115,MATCH($E130,Recetas!$A$6:$A$115,0))&amp;"",""),F130))</f>
        <v/>
      </c>
      <c r="N130" s="7" t="str">
        <f aca="false">IF($E130="","",IF(AND(G130="",N(IFERROR(INDEX(Recetas!$T$6:$T$115,MATCH($E130,Recetas!$A$6:$A$115,0)),1))=0),"—",IF(G130="",IFERROR(INDEX(Recetas!$L$6:$L$115,MATCH($E130,Recetas!$A$6:$A$115,0))&amp;"",""),G130)))</f>
        <v/>
      </c>
      <c r="O130" s="7" t="str">
        <f aca="false">IF($E130="","",IF(AND(H130="",N(IFERROR(INDEX(Recetas!$W$6:$W$115,MATCH($E130,Recetas!$A$6:$A$115,0)),1))=0),"—",IF(H130="",IFERROR(IF(INDEX(Recetas!$M$6:$M$115,MATCH($E130,Recetas!$A$6:$A$115,0))&amp;""="",M130,INDEX(Recetas!$M$6:$M$115,MATCH($E130,Recetas!$A$6:$A$115,0))&amp;""),""),H130)))</f>
        <v/>
      </c>
      <c r="P130" s="9" t="str">
        <f aca="false">IF($E130="","",IFERROR(INDEX(Recetas!$Q$6:$Q$115,MATCH($E130,Recetas!$A$6:$A$115,0)),""))</f>
        <v/>
      </c>
      <c r="Q130" s="10" t="str">
        <f aca="false">IF($E130="","",IFERROR(INDEX(Telas!$I$6:$I$105,MATCH(M130,Telas!$A$6:$A$105,0)),""))</f>
        <v/>
      </c>
      <c r="R130" s="10" t="str">
        <f aca="false">IF($E130="","",IFERROR(IF(ISNUMBER(P130),IF(P130=0,0,P130*INDEX(Telas!$I$6:$I$105,MATCH(M130,Telas!$A$6:$A$105,0))),NA())+IF(ISNUMBER(INDEX(Recetas!$T$6:$T$115,MATCH($E130,Recetas!$A$6:$A$115,0))),IF(INDEX(Recetas!$T$6:$T$115,MATCH($E130,Recetas!$A$6:$A$115,0))=0,0,INDEX(Recetas!$T$6:$T$115,MATCH($E130,Recetas!$A$6:$A$115,0))*INDEX(Telas!$I$6:$I$105,MATCH(N130,Telas!$A$6:$A$105,0))),NA())+IF(ISNUMBER(INDEX(Recetas!$W$6:$W$115,MATCH($E130,Recetas!$A$6:$A$115,0))),IF(INDEX(Recetas!$W$6:$W$115,MATCH($E130,Recetas!$A$6:$A$115,0))=0,0,INDEX(Recetas!$W$6:$W$115,MATCH($E130,Recetas!$A$6:$A$115,0))*INDEX(Telas!$I$6:$I$105,MATCH(O130,Telas!$A$6:$A$105,0))),NA()),""))</f>
        <v/>
      </c>
      <c r="S130" s="10" t="str">
        <f aca="false">IF($E130="","",IFERROR(INDEX(Recetas!$AA$6:$AA$115,MATCH($E130,Recetas!$A$6:$A$115,0))*1,""))</f>
        <v/>
      </c>
      <c r="T130" s="10" t="str">
        <f aca="false">IF($E130="","",IFERROR(INDEX(Recetas!$AB$6:$AB$115,MATCH($E130,Recetas!$A$6:$A$115,0))*1,""))</f>
        <v/>
      </c>
      <c r="U130" s="10" t="str">
        <f aca="false">IF($E130="","",IFERROR(INDEX(Recetas!$AC$6:$AC$115,MATCH($E130,Recetas!$A$6:$A$115,0))+N(I130),""))</f>
        <v/>
      </c>
      <c r="V130" s="11" t="str">
        <f aca="false">IF($E130="","",IFERROR(R130+S130+T130+U130,""))</f>
        <v/>
      </c>
      <c r="W130" s="11" t="str">
        <f aca="false">IF(ISNUMBER(V130),V130*Parametros!$B$12,"")</f>
        <v/>
      </c>
      <c r="X130" s="30" t="str">
        <f aca="false">IF(AND(ISNUMBER(V130),N(J130)&gt;0),(J130-V130-J130*Parametros!$B$8)/J130,"")</f>
        <v/>
      </c>
      <c r="Y130" s="10" t="str">
        <f aca="false">IF(AND(ISNUMBER(V130),N(J130)&gt;0),J130-V130-J130*Parametros!$B$8,"")</f>
        <v/>
      </c>
      <c r="Z130" s="29" t="str">
        <f aca="false">IF(AND(ISNUMBER(P130),M130&lt;&gt;""),IFERROR(1/(P130*INDEX(Telas!$G$6:$G$105,MATCH(M130,Telas!$A$6:$A$105,0))),""),"")</f>
        <v/>
      </c>
      <c r="AA130" s="7" t="str">
        <f aca="false">IF($E130="","",IF(ISNUMBER(V130),"OK",IF(Q130="","Precio o peso por metro de "&amp;M130&amp;". ","")&amp;IFERROR(INDEX(Recetas!$AG$6:$AG$115,MATCH($E130,Recetas!$A$6:$A$115,0)),"Molde no existe en Recetas.")))</f>
        <v/>
      </c>
    </row>
    <row r="131" customFormat="false" ht="15" hidden="false" customHeight="false" outlineLevel="0" collapsed="false">
      <c r="A131" s="27"/>
      <c r="B131" s="27"/>
      <c r="C131" s="27"/>
      <c r="D131" s="27"/>
      <c r="E131" s="27"/>
      <c r="F131" s="8"/>
      <c r="G131" s="8"/>
      <c r="H131" s="8"/>
      <c r="I131" s="15"/>
      <c r="J131" s="15"/>
      <c r="K131" s="27"/>
      <c r="L131" s="27"/>
      <c r="M131" s="7" t="str">
        <f aca="false">IF($E131="","",IF(F131="",IFERROR(INDEX(Recetas!$K$6:$K$115,MATCH($E131,Recetas!$A$6:$A$115,0))&amp;"",""),F131))</f>
        <v/>
      </c>
      <c r="N131" s="7" t="str">
        <f aca="false">IF($E131="","",IF(AND(G131="",N(IFERROR(INDEX(Recetas!$T$6:$T$115,MATCH($E131,Recetas!$A$6:$A$115,0)),1))=0),"—",IF(G131="",IFERROR(INDEX(Recetas!$L$6:$L$115,MATCH($E131,Recetas!$A$6:$A$115,0))&amp;"",""),G131)))</f>
        <v/>
      </c>
      <c r="O131" s="7" t="str">
        <f aca="false">IF($E131="","",IF(AND(H131="",N(IFERROR(INDEX(Recetas!$W$6:$W$115,MATCH($E131,Recetas!$A$6:$A$115,0)),1))=0),"—",IF(H131="",IFERROR(IF(INDEX(Recetas!$M$6:$M$115,MATCH($E131,Recetas!$A$6:$A$115,0))&amp;""="",M131,INDEX(Recetas!$M$6:$M$115,MATCH($E131,Recetas!$A$6:$A$115,0))&amp;""),""),H131)))</f>
        <v/>
      </c>
      <c r="P131" s="9" t="str">
        <f aca="false">IF($E131="","",IFERROR(INDEX(Recetas!$Q$6:$Q$115,MATCH($E131,Recetas!$A$6:$A$115,0)),""))</f>
        <v/>
      </c>
      <c r="Q131" s="10" t="str">
        <f aca="false">IF($E131="","",IFERROR(INDEX(Telas!$I$6:$I$105,MATCH(M131,Telas!$A$6:$A$105,0)),""))</f>
        <v/>
      </c>
      <c r="R131" s="10" t="str">
        <f aca="false">IF($E131="","",IFERROR(IF(ISNUMBER(P131),IF(P131=0,0,P131*INDEX(Telas!$I$6:$I$105,MATCH(M131,Telas!$A$6:$A$105,0))),NA())+IF(ISNUMBER(INDEX(Recetas!$T$6:$T$115,MATCH($E131,Recetas!$A$6:$A$115,0))),IF(INDEX(Recetas!$T$6:$T$115,MATCH($E131,Recetas!$A$6:$A$115,0))=0,0,INDEX(Recetas!$T$6:$T$115,MATCH($E131,Recetas!$A$6:$A$115,0))*INDEX(Telas!$I$6:$I$105,MATCH(N131,Telas!$A$6:$A$105,0))),NA())+IF(ISNUMBER(INDEX(Recetas!$W$6:$W$115,MATCH($E131,Recetas!$A$6:$A$115,0))),IF(INDEX(Recetas!$W$6:$W$115,MATCH($E131,Recetas!$A$6:$A$115,0))=0,0,INDEX(Recetas!$W$6:$W$115,MATCH($E131,Recetas!$A$6:$A$115,0))*INDEX(Telas!$I$6:$I$105,MATCH(O131,Telas!$A$6:$A$105,0))),NA()),""))</f>
        <v/>
      </c>
      <c r="S131" s="10" t="str">
        <f aca="false">IF($E131="","",IFERROR(INDEX(Recetas!$AA$6:$AA$115,MATCH($E131,Recetas!$A$6:$A$115,0))*1,""))</f>
        <v/>
      </c>
      <c r="T131" s="10" t="str">
        <f aca="false">IF($E131="","",IFERROR(INDEX(Recetas!$AB$6:$AB$115,MATCH($E131,Recetas!$A$6:$A$115,0))*1,""))</f>
        <v/>
      </c>
      <c r="U131" s="10" t="str">
        <f aca="false">IF($E131="","",IFERROR(INDEX(Recetas!$AC$6:$AC$115,MATCH($E131,Recetas!$A$6:$A$115,0))+N(I131),""))</f>
        <v/>
      </c>
      <c r="V131" s="11" t="str">
        <f aca="false">IF($E131="","",IFERROR(R131+S131+T131+U131,""))</f>
        <v/>
      </c>
      <c r="W131" s="11" t="str">
        <f aca="false">IF(ISNUMBER(V131),V131*Parametros!$B$12,"")</f>
        <v/>
      </c>
      <c r="X131" s="30" t="str">
        <f aca="false">IF(AND(ISNUMBER(V131),N(J131)&gt;0),(J131-V131-J131*Parametros!$B$8)/J131,"")</f>
        <v/>
      </c>
      <c r="Y131" s="10" t="str">
        <f aca="false">IF(AND(ISNUMBER(V131),N(J131)&gt;0),J131-V131-J131*Parametros!$B$8,"")</f>
        <v/>
      </c>
      <c r="Z131" s="29" t="str">
        <f aca="false">IF(AND(ISNUMBER(P131),M131&lt;&gt;""),IFERROR(1/(P131*INDEX(Telas!$G$6:$G$105,MATCH(M131,Telas!$A$6:$A$105,0))),""),"")</f>
        <v/>
      </c>
      <c r="AA131" s="7" t="str">
        <f aca="false">IF($E131="","",IF(ISNUMBER(V131),"OK",IF(Q131="","Precio o peso por metro de "&amp;M131&amp;". ","")&amp;IFERROR(INDEX(Recetas!$AG$6:$AG$115,MATCH($E131,Recetas!$A$6:$A$115,0)),"Molde no existe en Recetas.")))</f>
        <v/>
      </c>
    </row>
    <row r="132" customFormat="false" ht="15" hidden="false" customHeight="false" outlineLevel="0" collapsed="false">
      <c r="A132" s="27"/>
      <c r="B132" s="27"/>
      <c r="C132" s="27"/>
      <c r="D132" s="27"/>
      <c r="E132" s="27"/>
      <c r="F132" s="8"/>
      <c r="G132" s="8"/>
      <c r="H132" s="8"/>
      <c r="I132" s="15"/>
      <c r="J132" s="15"/>
      <c r="K132" s="27"/>
      <c r="L132" s="27"/>
      <c r="M132" s="7" t="str">
        <f aca="false">IF($E132="","",IF(F132="",IFERROR(INDEX(Recetas!$K$6:$K$115,MATCH($E132,Recetas!$A$6:$A$115,0))&amp;"",""),F132))</f>
        <v/>
      </c>
      <c r="N132" s="7" t="str">
        <f aca="false">IF($E132="","",IF(AND(G132="",N(IFERROR(INDEX(Recetas!$T$6:$T$115,MATCH($E132,Recetas!$A$6:$A$115,0)),1))=0),"—",IF(G132="",IFERROR(INDEX(Recetas!$L$6:$L$115,MATCH($E132,Recetas!$A$6:$A$115,0))&amp;"",""),G132)))</f>
        <v/>
      </c>
      <c r="O132" s="7" t="str">
        <f aca="false">IF($E132="","",IF(AND(H132="",N(IFERROR(INDEX(Recetas!$W$6:$W$115,MATCH($E132,Recetas!$A$6:$A$115,0)),1))=0),"—",IF(H132="",IFERROR(IF(INDEX(Recetas!$M$6:$M$115,MATCH($E132,Recetas!$A$6:$A$115,0))&amp;""="",M132,INDEX(Recetas!$M$6:$M$115,MATCH($E132,Recetas!$A$6:$A$115,0))&amp;""),""),H132)))</f>
        <v/>
      </c>
      <c r="P132" s="9" t="str">
        <f aca="false">IF($E132="","",IFERROR(INDEX(Recetas!$Q$6:$Q$115,MATCH($E132,Recetas!$A$6:$A$115,0)),""))</f>
        <v/>
      </c>
      <c r="Q132" s="10" t="str">
        <f aca="false">IF($E132="","",IFERROR(INDEX(Telas!$I$6:$I$105,MATCH(M132,Telas!$A$6:$A$105,0)),""))</f>
        <v/>
      </c>
      <c r="R132" s="10" t="str">
        <f aca="false">IF($E132="","",IFERROR(IF(ISNUMBER(P132),IF(P132=0,0,P132*INDEX(Telas!$I$6:$I$105,MATCH(M132,Telas!$A$6:$A$105,0))),NA())+IF(ISNUMBER(INDEX(Recetas!$T$6:$T$115,MATCH($E132,Recetas!$A$6:$A$115,0))),IF(INDEX(Recetas!$T$6:$T$115,MATCH($E132,Recetas!$A$6:$A$115,0))=0,0,INDEX(Recetas!$T$6:$T$115,MATCH($E132,Recetas!$A$6:$A$115,0))*INDEX(Telas!$I$6:$I$105,MATCH(N132,Telas!$A$6:$A$105,0))),NA())+IF(ISNUMBER(INDEX(Recetas!$W$6:$W$115,MATCH($E132,Recetas!$A$6:$A$115,0))),IF(INDEX(Recetas!$W$6:$W$115,MATCH($E132,Recetas!$A$6:$A$115,0))=0,0,INDEX(Recetas!$W$6:$W$115,MATCH($E132,Recetas!$A$6:$A$115,0))*INDEX(Telas!$I$6:$I$105,MATCH(O132,Telas!$A$6:$A$105,0))),NA()),""))</f>
        <v/>
      </c>
      <c r="S132" s="10" t="str">
        <f aca="false">IF($E132="","",IFERROR(INDEX(Recetas!$AA$6:$AA$115,MATCH($E132,Recetas!$A$6:$A$115,0))*1,""))</f>
        <v/>
      </c>
      <c r="T132" s="10" t="str">
        <f aca="false">IF($E132="","",IFERROR(INDEX(Recetas!$AB$6:$AB$115,MATCH($E132,Recetas!$A$6:$A$115,0))*1,""))</f>
        <v/>
      </c>
      <c r="U132" s="10" t="str">
        <f aca="false">IF($E132="","",IFERROR(INDEX(Recetas!$AC$6:$AC$115,MATCH($E132,Recetas!$A$6:$A$115,0))+N(I132),""))</f>
        <v/>
      </c>
      <c r="V132" s="11" t="str">
        <f aca="false">IF($E132="","",IFERROR(R132+S132+T132+U132,""))</f>
        <v/>
      </c>
      <c r="W132" s="11" t="str">
        <f aca="false">IF(ISNUMBER(V132),V132*Parametros!$B$12,"")</f>
        <v/>
      </c>
      <c r="X132" s="30" t="str">
        <f aca="false">IF(AND(ISNUMBER(V132),N(J132)&gt;0),(J132-V132-J132*Parametros!$B$8)/J132,"")</f>
        <v/>
      </c>
      <c r="Y132" s="10" t="str">
        <f aca="false">IF(AND(ISNUMBER(V132),N(J132)&gt;0),J132-V132-J132*Parametros!$B$8,"")</f>
        <v/>
      </c>
      <c r="Z132" s="29" t="str">
        <f aca="false">IF(AND(ISNUMBER(P132),M132&lt;&gt;""),IFERROR(1/(P132*INDEX(Telas!$G$6:$G$105,MATCH(M132,Telas!$A$6:$A$105,0))),""),"")</f>
        <v/>
      </c>
      <c r="AA132" s="7" t="str">
        <f aca="false">IF($E132="","",IF(ISNUMBER(V132),"OK",IF(Q132="","Precio o peso por metro de "&amp;M132&amp;". ","")&amp;IFERROR(INDEX(Recetas!$AG$6:$AG$115,MATCH($E132,Recetas!$A$6:$A$115,0)),"Molde no existe en Recetas.")))</f>
        <v/>
      </c>
    </row>
    <row r="133" customFormat="false" ht="15" hidden="false" customHeight="false" outlineLevel="0" collapsed="false">
      <c r="A133" s="27"/>
      <c r="B133" s="27"/>
      <c r="C133" s="27"/>
      <c r="D133" s="27"/>
      <c r="E133" s="27"/>
      <c r="F133" s="8"/>
      <c r="G133" s="8"/>
      <c r="H133" s="8"/>
      <c r="I133" s="15"/>
      <c r="J133" s="15"/>
      <c r="K133" s="27"/>
      <c r="L133" s="27"/>
      <c r="M133" s="7" t="str">
        <f aca="false">IF($E133="","",IF(F133="",IFERROR(INDEX(Recetas!$K$6:$K$115,MATCH($E133,Recetas!$A$6:$A$115,0))&amp;"",""),F133))</f>
        <v/>
      </c>
      <c r="N133" s="7" t="str">
        <f aca="false">IF($E133="","",IF(AND(G133="",N(IFERROR(INDEX(Recetas!$T$6:$T$115,MATCH($E133,Recetas!$A$6:$A$115,0)),1))=0),"—",IF(G133="",IFERROR(INDEX(Recetas!$L$6:$L$115,MATCH($E133,Recetas!$A$6:$A$115,0))&amp;"",""),G133)))</f>
        <v/>
      </c>
      <c r="O133" s="7" t="str">
        <f aca="false">IF($E133="","",IF(AND(H133="",N(IFERROR(INDEX(Recetas!$W$6:$W$115,MATCH($E133,Recetas!$A$6:$A$115,0)),1))=0),"—",IF(H133="",IFERROR(IF(INDEX(Recetas!$M$6:$M$115,MATCH($E133,Recetas!$A$6:$A$115,0))&amp;""="",M133,INDEX(Recetas!$M$6:$M$115,MATCH($E133,Recetas!$A$6:$A$115,0))&amp;""),""),H133)))</f>
        <v/>
      </c>
      <c r="P133" s="9" t="str">
        <f aca="false">IF($E133="","",IFERROR(INDEX(Recetas!$Q$6:$Q$115,MATCH($E133,Recetas!$A$6:$A$115,0)),""))</f>
        <v/>
      </c>
      <c r="Q133" s="10" t="str">
        <f aca="false">IF($E133="","",IFERROR(INDEX(Telas!$I$6:$I$105,MATCH(M133,Telas!$A$6:$A$105,0)),""))</f>
        <v/>
      </c>
      <c r="R133" s="10" t="str">
        <f aca="false">IF($E133="","",IFERROR(IF(ISNUMBER(P133),IF(P133=0,0,P133*INDEX(Telas!$I$6:$I$105,MATCH(M133,Telas!$A$6:$A$105,0))),NA())+IF(ISNUMBER(INDEX(Recetas!$T$6:$T$115,MATCH($E133,Recetas!$A$6:$A$115,0))),IF(INDEX(Recetas!$T$6:$T$115,MATCH($E133,Recetas!$A$6:$A$115,0))=0,0,INDEX(Recetas!$T$6:$T$115,MATCH($E133,Recetas!$A$6:$A$115,0))*INDEX(Telas!$I$6:$I$105,MATCH(N133,Telas!$A$6:$A$105,0))),NA())+IF(ISNUMBER(INDEX(Recetas!$W$6:$W$115,MATCH($E133,Recetas!$A$6:$A$115,0))),IF(INDEX(Recetas!$W$6:$W$115,MATCH($E133,Recetas!$A$6:$A$115,0))=0,0,INDEX(Recetas!$W$6:$W$115,MATCH($E133,Recetas!$A$6:$A$115,0))*INDEX(Telas!$I$6:$I$105,MATCH(O133,Telas!$A$6:$A$105,0))),NA()),""))</f>
        <v/>
      </c>
      <c r="S133" s="10" t="str">
        <f aca="false">IF($E133="","",IFERROR(INDEX(Recetas!$AA$6:$AA$115,MATCH($E133,Recetas!$A$6:$A$115,0))*1,""))</f>
        <v/>
      </c>
      <c r="T133" s="10" t="str">
        <f aca="false">IF($E133="","",IFERROR(INDEX(Recetas!$AB$6:$AB$115,MATCH($E133,Recetas!$A$6:$A$115,0))*1,""))</f>
        <v/>
      </c>
      <c r="U133" s="10" t="str">
        <f aca="false">IF($E133="","",IFERROR(INDEX(Recetas!$AC$6:$AC$115,MATCH($E133,Recetas!$A$6:$A$115,0))+N(I133),""))</f>
        <v/>
      </c>
      <c r="V133" s="11" t="str">
        <f aca="false">IF($E133="","",IFERROR(R133+S133+T133+U133,""))</f>
        <v/>
      </c>
      <c r="W133" s="11" t="str">
        <f aca="false">IF(ISNUMBER(V133),V133*Parametros!$B$12,"")</f>
        <v/>
      </c>
      <c r="X133" s="30" t="str">
        <f aca="false">IF(AND(ISNUMBER(V133),N(J133)&gt;0),(J133-V133-J133*Parametros!$B$8)/J133,"")</f>
        <v/>
      </c>
      <c r="Y133" s="10" t="str">
        <f aca="false">IF(AND(ISNUMBER(V133),N(J133)&gt;0),J133-V133-J133*Parametros!$B$8,"")</f>
        <v/>
      </c>
      <c r="Z133" s="29" t="str">
        <f aca="false">IF(AND(ISNUMBER(P133),M133&lt;&gt;""),IFERROR(1/(P133*INDEX(Telas!$G$6:$G$105,MATCH(M133,Telas!$A$6:$A$105,0))),""),"")</f>
        <v/>
      </c>
      <c r="AA133" s="7" t="str">
        <f aca="false">IF($E133="","",IF(ISNUMBER(V133),"OK",IF(Q133="","Precio o peso por metro de "&amp;M133&amp;". ","")&amp;IFERROR(INDEX(Recetas!$AG$6:$AG$115,MATCH($E133,Recetas!$A$6:$A$115,0)),"Molde no existe en Recetas.")))</f>
        <v/>
      </c>
    </row>
    <row r="134" customFormat="false" ht="15" hidden="false" customHeight="false" outlineLevel="0" collapsed="false">
      <c r="A134" s="27"/>
      <c r="B134" s="27"/>
      <c r="C134" s="27"/>
      <c r="D134" s="27"/>
      <c r="E134" s="27"/>
      <c r="F134" s="8"/>
      <c r="G134" s="8"/>
      <c r="H134" s="8"/>
      <c r="I134" s="15"/>
      <c r="J134" s="15"/>
      <c r="K134" s="27"/>
      <c r="L134" s="27"/>
      <c r="M134" s="7" t="str">
        <f aca="false">IF($E134="","",IF(F134="",IFERROR(INDEX(Recetas!$K$6:$K$115,MATCH($E134,Recetas!$A$6:$A$115,0))&amp;"",""),F134))</f>
        <v/>
      </c>
      <c r="N134" s="7" t="str">
        <f aca="false">IF($E134="","",IF(AND(G134="",N(IFERROR(INDEX(Recetas!$T$6:$T$115,MATCH($E134,Recetas!$A$6:$A$115,0)),1))=0),"—",IF(G134="",IFERROR(INDEX(Recetas!$L$6:$L$115,MATCH($E134,Recetas!$A$6:$A$115,0))&amp;"",""),G134)))</f>
        <v/>
      </c>
      <c r="O134" s="7" t="str">
        <f aca="false">IF($E134="","",IF(AND(H134="",N(IFERROR(INDEX(Recetas!$W$6:$W$115,MATCH($E134,Recetas!$A$6:$A$115,0)),1))=0),"—",IF(H134="",IFERROR(IF(INDEX(Recetas!$M$6:$M$115,MATCH($E134,Recetas!$A$6:$A$115,0))&amp;""="",M134,INDEX(Recetas!$M$6:$M$115,MATCH($E134,Recetas!$A$6:$A$115,0))&amp;""),""),H134)))</f>
        <v/>
      </c>
      <c r="P134" s="9" t="str">
        <f aca="false">IF($E134="","",IFERROR(INDEX(Recetas!$Q$6:$Q$115,MATCH($E134,Recetas!$A$6:$A$115,0)),""))</f>
        <v/>
      </c>
      <c r="Q134" s="10" t="str">
        <f aca="false">IF($E134="","",IFERROR(INDEX(Telas!$I$6:$I$105,MATCH(M134,Telas!$A$6:$A$105,0)),""))</f>
        <v/>
      </c>
      <c r="R134" s="10" t="str">
        <f aca="false">IF($E134="","",IFERROR(IF(ISNUMBER(P134),IF(P134=0,0,P134*INDEX(Telas!$I$6:$I$105,MATCH(M134,Telas!$A$6:$A$105,0))),NA())+IF(ISNUMBER(INDEX(Recetas!$T$6:$T$115,MATCH($E134,Recetas!$A$6:$A$115,0))),IF(INDEX(Recetas!$T$6:$T$115,MATCH($E134,Recetas!$A$6:$A$115,0))=0,0,INDEX(Recetas!$T$6:$T$115,MATCH($E134,Recetas!$A$6:$A$115,0))*INDEX(Telas!$I$6:$I$105,MATCH(N134,Telas!$A$6:$A$105,0))),NA())+IF(ISNUMBER(INDEX(Recetas!$W$6:$W$115,MATCH($E134,Recetas!$A$6:$A$115,0))),IF(INDEX(Recetas!$W$6:$W$115,MATCH($E134,Recetas!$A$6:$A$115,0))=0,0,INDEX(Recetas!$W$6:$W$115,MATCH($E134,Recetas!$A$6:$A$115,0))*INDEX(Telas!$I$6:$I$105,MATCH(O134,Telas!$A$6:$A$105,0))),NA()),""))</f>
        <v/>
      </c>
      <c r="S134" s="10" t="str">
        <f aca="false">IF($E134="","",IFERROR(INDEX(Recetas!$AA$6:$AA$115,MATCH($E134,Recetas!$A$6:$A$115,0))*1,""))</f>
        <v/>
      </c>
      <c r="T134" s="10" t="str">
        <f aca="false">IF($E134="","",IFERROR(INDEX(Recetas!$AB$6:$AB$115,MATCH($E134,Recetas!$A$6:$A$115,0))*1,""))</f>
        <v/>
      </c>
      <c r="U134" s="10" t="str">
        <f aca="false">IF($E134="","",IFERROR(INDEX(Recetas!$AC$6:$AC$115,MATCH($E134,Recetas!$A$6:$A$115,0))+N(I134),""))</f>
        <v/>
      </c>
      <c r="V134" s="11" t="str">
        <f aca="false">IF($E134="","",IFERROR(R134+S134+T134+U134,""))</f>
        <v/>
      </c>
      <c r="W134" s="11" t="str">
        <f aca="false">IF(ISNUMBER(V134),V134*Parametros!$B$12,"")</f>
        <v/>
      </c>
      <c r="X134" s="30" t="str">
        <f aca="false">IF(AND(ISNUMBER(V134),N(J134)&gt;0),(J134-V134-J134*Parametros!$B$8)/J134,"")</f>
        <v/>
      </c>
      <c r="Y134" s="10" t="str">
        <f aca="false">IF(AND(ISNUMBER(V134),N(J134)&gt;0),J134-V134-J134*Parametros!$B$8,"")</f>
        <v/>
      </c>
      <c r="Z134" s="29" t="str">
        <f aca="false">IF(AND(ISNUMBER(P134),M134&lt;&gt;""),IFERROR(1/(P134*INDEX(Telas!$G$6:$G$105,MATCH(M134,Telas!$A$6:$A$105,0))),""),"")</f>
        <v/>
      </c>
      <c r="AA134" s="7" t="str">
        <f aca="false">IF($E134="","",IF(ISNUMBER(V134),"OK",IF(Q134="","Precio o peso por metro de "&amp;M134&amp;". ","")&amp;IFERROR(INDEX(Recetas!$AG$6:$AG$115,MATCH($E134,Recetas!$A$6:$A$115,0)),"Molde no existe en Recetas.")))</f>
        <v/>
      </c>
    </row>
    <row r="135" customFormat="false" ht="15" hidden="false" customHeight="false" outlineLevel="0" collapsed="false">
      <c r="A135" s="27"/>
      <c r="B135" s="27"/>
      <c r="C135" s="27"/>
      <c r="D135" s="27"/>
      <c r="E135" s="27"/>
      <c r="F135" s="8"/>
      <c r="G135" s="8"/>
      <c r="H135" s="8"/>
      <c r="I135" s="15"/>
      <c r="J135" s="15"/>
      <c r="K135" s="27"/>
      <c r="L135" s="27"/>
      <c r="M135" s="7" t="str">
        <f aca="false">IF($E135="","",IF(F135="",IFERROR(INDEX(Recetas!$K$6:$K$115,MATCH($E135,Recetas!$A$6:$A$115,0))&amp;"",""),F135))</f>
        <v/>
      </c>
      <c r="N135" s="7" t="str">
        <f aca="false">IF($E135="","",IF(AND(G135="",N(IFERROR(INDEX(Recetas!$T$6:$T$115,MATCH($E135,Recetas!$A$6:$A$115,0)),1))=0),"—",IF(G135="",IFERROR(INDEX(Recetas!$L$6:$L$115,MATCH($E135,Recetas!$A$6:$A$115,0))&amp;"",""),G135)))</f>
        <v/>
      </c>
      <c r="O135" s="7" t="str">
        <f aca="false">IF($E135="","",IF(AND(H135="",N(IFERROR(INDEX(Recetas!$W$6:$W$115,MATCH($E135,Recetas!$A$6:$A$115,0)),1))=0),"—",IF(H135="",IFERROR(IF(INDEX(Recetas!$M$6:$M$115,MATCH($E135,Recetas!$A$6:$A$115,0))&amp;""="",M135,INDEX(Recetas!$M$6:$M$115,MATCH($E135,Recetas!$A$6:$A$115,0))&amp;""),""),H135)))</f>
        <v/>
      </c>
      <c r="P135" s="9" t="str">
        <f aca="false">IF($E135="","",IFERROR(INDEX(Recetas!$Q$6:$Q$115,MATCH($E135,Recetas!$A$6:$A$115,0)),""))</f>
        <v/>
      </c>
      <c r="Q135" s="10" t="str">
        <f aca="false">IF($E135="","",IFERROR(INDEX(Telas!$I$6:$I$105,MATCH(M135,Telas!$A$6:$A$105,0)),""))</f>
        <v/>
      </c>
      <c r="R135" s="10" t="str">
        <f aca="false">IF($E135="","",IFERROR(IF(ISNUMBER(P135),IF(P135=0,0,P135*INDEX(Telas!$I$6:$I$105,MATCH(M135,Telas!$A$6:$A$105,0))),NA())+IF(ISNUMBER(INDEX(Recetas!$T$6:$T$115,MATCH($E135,Recetas!$A$6:$A$115,0))),IF(INDEX(Recetas!$T$6:$T$115,MATCH($E135,Recetas!$A$6:$A$115,0))=0,0,INDEX(Recetas!$T$6:$T$115,MATCH($E135,Recetas!$A$6:$A$115,0))*INDEX(Telas!$I$6:$I$105,MATCH(N135,Telas!$A$6:$A$105,0))),NA())+IF(ISNUMBER(INDEX(Recetas!$W$6:$W$115,MATCH($E135,Recetas!$A$6:$A$115,0))),IF(INDEX(Recetas!$W$6:$W$115,MATCH($E135,Recetas!$A$6:$A$115,0))=0,0,INDEX(Recetas!$W$6:$W$115,MATCH($E135,Recetas!$A$6:$A$115,0))*INDEX(Telas!$I$6:$I$105,MATCH(O135,Telas!$A$6:$A$105,0))),NA()),""))</f>
        <v/>
      </c>
      <c r="S135" s="10" t="str">
        <f aca="false">IF($E135="","",IFERROR(INDEX(Recetas!$AA$6:$AA$115,MATCH($E135,Recetas!$A$6:$A$115,0))*1,""))</f>
        <v/>
      </c>
      <c r="T135" s="10" t="str">
        <f aca="false">IF($E135="","",IFERROR(INDEX(Recetas!$AB$6:$AB$115,MATCH($E135,Recetas!$A$6:$A$115,0))*1,""))</f>
        <v/>
      </c>
      <c r="U135" s="10" t="str">
        <f aca="false">IF($E135="","",IFERROR(INDEX(Recetas!$AC$6:$AC$115,MATCH($E135,Recetas!$A$6:$A$115,0))+N(I135),""))</f>
        <v/>
      </c>
      <c r="V135" s="11" t="str">
        <f aca="false">IF($E135="","",IFERROR(R135+S135+T135+U135,""))</f>
        <v/>
      </c>
      <c r="W135" s="11" t="str">
        <f aca="false">IF(ISNUMBER(V135),V135*Parametros!$B$12,"")</f>
        <v/>
      </c>
      <c r="X135" s="30" t="str">
        <f aca="false">IF(AND(ISNUMBER(V135),N(J135)&gt;0),(J135-V135-J135*Parametros!$B$8)/J135,"")</f>
        <v/>
      </c>
      <c r="Y135" s="10" t="str">
        <f aca="false">IF(AND(ISNUMBER(V135),N(J135)&gt;0),J135-V135-J135*Parametros!$B$8,"")</f>
        <v/>
      </c>
      <c r="Z135" s="29" t="str">
        <f aca="false">IF(AND(ISNUMBER(P135),M135&lt;&gt;""),IFERROR(1/(P135*INDEX(Telas!$G$6:$G$105,MATCH(M135,Telas!$A$6:$A$105,0))),""),"")</f>
        <v/>
      </c>
      <c r="AA135" s="7" t="str">
        <f aca="false">IF($E135="","",IF(ISNUMBER(V135),"OK",IF(Q135="","Precio o peso por metro de "&amp;M135&amp;". ","")&amp;IFERROR(INDEX(Recetas!$AG$6:$AG$115,MATCH($E135,Recetas!$A$6:$A$115,0)),"Molde no existe en Recetas.")))</f>
        <v/>
      </c>
    </row>
    <row r="136" customFormat="false" ht="15" hidden="false" customHeight="false" outlineLevel="0" collapsed="false">
      <c r="A136" s="27"/>
      <c r="B136" s="27"/>
      <c r="C136" s="27"/>
      <c r="D136" s="27"/>
      <c r="E136" s="27"/>
      <c r="F136" s="8"/>
      <c r="G136" s="8"/>
      <c r="H136" s="8"/>
      <c r="I136" s="15"/>
      <c r="J136" s="15"/>
      <c r="K136" s="27"/>
      <c r="L136" s="27"/>
      <c r="M136" s="7" t="str">
        <f aca="false">IF($E136="","",IF(F136="",IFERROR(INDEX(Recetas!$K$6:$K$115,MATCH($E136,Recetas!$A$6:$A$115,0))&amp;"",""),F136))</f>
        <v/>
      </c>
      <c r="N136" s="7" t="str">
        <f aca="false">IF($E136="","",IF(AND(G136="",N(IFERROR(INDEX(Recetas!$T$6:$T$115,MATCH($E136,Recetas!$A$6:$A$115,0)),1))=0),"—",IF(G136="",IFERROR(INDEX(Recetas!$L$6:$L$115,MATCH($E136,Recetas!$A$6:$A$115,0))&amp;"",""),G136)))</f>
        <v/>
      </c>
      <c r="O136" s="7" t="str">
        <f aca="false">IF($E136="","",IF(AND(H136="",N(IFERROR(INDEX(Recetas!$W$6:$W$115,MATCH($E136,Recetas!$A$6:$A$115,0)),1))=0),"—",IF(H136="",IFERROR(IF(INDEX(Recetas!$M$6:$M$115,MATCH($E136,Recetas!$A$6:$A$115,0))&amp;""="",M136,INDEX(Recetas!$M$6:$M$115,MATCH($E136,Recetas!$A$6:$A$115,0))&amp;""),""),H136)))</f>
        <v/>
      </c>
      <c r="P136" s="9" t="str">
        <f aca="false">IF($E136="","",IFERROR(INDEX(Recetas!$Q$6:$Q$115,MATCH($E136,Recetas!$A$6:$A$115,0)),""))</f>
        <v/>
      </c>
      <c r="Q136" s="10" t="str">
        <f aca="false">IF($E136="","",IFERROR(INDEX(Telas!$I$6:$I$105,MATCH(M136,Telas!$A$6:$A$105,0)),""))</f>
        <v/>
      </c>
      <c r="R136" s="10" t="str">
        <f aca="false">IF($E136="","",IFERROR(IF(ISNUMBER(P136),IF(P136=0,0,P136*INDEX(Telas!$I$6:$I$105,MATCH(M136,Telas!$A$6:$A$105,0))),NA())+IF(ISNUMBER(INDEX(Recetas!$T$6:$T$115,MATCH($E136,Recetas!$A$6:$A$115,0))),IF(INDEX(Recetas!$T$6:$T$115,MATCH($E136,Recetas!$A$6:$A$115,0))=0,0,INDEX(Recetas!$T$6:$T$115,MATCH($E136,Recetas!$A$6:$A$115,0))*INDEX(Telas!$I$6:$I$105,MATCH(N136,Telas!$A$6:$A$105,0))),NA())+IF(ISNUMBER(INDEX(Recetas!$W$6:$W$115,MATCH($E136,Recetas!$A$6:$A$115,0))),IF(INDEX(Recetas!$W$6:$W$115,MATCH($E136,Recetas!$A$6:$A$115,0))=0,0,INDEX(Recetas!$W$6:$W$115,MATCH($E136,Recetas!$A$6:$A$115,0))*INDEX(Telas!$I$6:$I$105,MATCH(O136,Telas!$A$6:$A$105,0))),NA()),""))</f>
        <v/>
      </c>
      <c r="S136" s="10" t="str">
        <f aca="false">IF($E136="","",IFERROR(INDEX(Recetas!$AA$6:$AA$115,MATCH($E136,Recetas!$A$6:$A$115,0))*1,""))</f>
        <v/>
      </c>
      <c r="T136" s="10" t="str">
        <f aca="false">IF($E136="","",IFERROR(INDEX(Recetas!$AB$6:$AB$115,MATCH($E136,Recetas!$A$6:$A$115,0))*1,""))</f>
        <v/>
      </c>
      <c r="U136" s="10" t="str">
        <f aca="false">IF($E136="","",IFERROR(INDEX(Recetas!$AC$6:$AC$115,MATCH($E136,Recetas!$A$6:$A$115,0))+N(I136),""))</f>
        <v/>
      </c>
      <c r="V136" s="11" t="str">
        <f aca="false">IF($E136="","",IFERROR(R136+S136+T136+U136,""))</f>
        <v/>
      </c>
      <c r="W136" s="11" t="str">
        <f aca="false">IF(ISNUMBER(V136),V136*Parametros!$B$12,"")</f>
        <v/>
      </c>
      <c r="X136" s="30" t="str">
        <f aca="false">IF(AND(ISNUMBER(V136),N(J136)&gt;0),(J136-V136-J136*Parametros!$B$8)/J136,"")</f>
        <v/>
      </c>
      <c r="Y136" s="10" t="str">
        <f aca="false">IF(AND(ISNUMBER(V136),N(J136)&gt;0),J136-V136-J136*Parametros!$B$8,"")</f>
        <v/>
      </c>
      <c r="Z136" s="29" t="str">
        <f aca="false">IF(AND(ISNUMBER(P136),M136&lt;&gt;""),IFERROR(1/(P136*INDEX(Telas!$G$6:$G$105,MATCH(M136,Telas!$A$6:$A$105,0))),""),"")</f>
        <v/>
      </c>
      <c r="AA136" s="7" t="str">
        <f aca="false">IF($E136="","",IF(ISNUMBER(V136),"OK",IF(Q136="","Precio o peso por metro de "&amp;M136&amp;". ","")&amp;IFERROR(INDEX(Recetas!$AG$6:$AG$115,MATCH($E136,Recetas!$A$6:$A$115,0)),"Molde no existe en Recetas.")))</f>
        <v/>
      </c>
    </row>
    <row r="137" customFormat="false" ht="15" hidden="false" customHeight="false" outlineLevel="0" collapsed="false">
      <c r="A137" s="27"/>
      <c r="B137" s="27"/>
      <c r="C137" s="27"/>
      <c r="D137" s="27"/>
      <c r="E137" s="27"/>
      <c r="F137" s="8"/>
      <c r="G137" s="8"/>
      <c r="H137" s="8"/>
      <c r="I137" s="15"/>
      <c r="J137" s="15"/>
      <c r="K137" s="27"/>
      <c r="L137" s="27"/>
      <c r="M137" s="7" t="str">
        <f aca="false">IF($E137="","",IF(F137="",IFERROR(INDEX(Recetas!$K$6:$K$115,MATCH($E137,Recetas!$A$6:$A$115,0))&amp;"",""),F137))</f>
        <v/>
      </c>
      <c r="N137" s="7" t="str">
        <f aca="false">IF($E137="","",IF(AND(G137="",N(IFERROR(INDEX(Recetas!$T$6:$T$115,MATCH($E137,Recetas!$A$6:$A$115,0)),1))=0),"—",IF(G137="",IFERROR(INDEX(Recetas!$L$6:$L$115,MATCH($E137,Recetas!$A$6:$A$115,0))&amp;"",""),G137)))</f>
        <v/>
      </c>
      <c r="O137" s="7" t="str">
        <f aca="false">IF($E137="","",IF(AND(H137="",N(IFERROR(INDEX(Recetas!$W$6:$W$115,MATCH($E137,Recetas!$A$6:$A$115,0)),1))=0),"—",IF(H137="",IFERROR(IF(INDEX(Recetas!$M$6:$M$115,MATCH($E137,Recetas!$A$6:$A$115,0))&amp;""="",M137,INDEX(Recetas!$M$6:$M$115,MATCH($E137,Recetas!$A$6:$A$115,0))&amp;""),""),H137)))</f>
        <v/>
      </c>
      <c r="P137" s="9" t="str">
        <f aca="false">IF($E137="","",IFERROR(INDEX(Recetas!$Q$6:$Q$115,MATCH($E137,Recetas!$A$6:$A$115,0)),""))</f>
        <v/>
      </c>
      <c r="Q137" s="10" t="str">
        <f aca="false">IF($E137="","",IFERROR(INDEX(Telas!$I$6:$I$105,MATCH(M137,Telas!$A$6:$A$105,0)),""))</f>
        <v/>
      </c>
      <c r="R137" s="10" t="str">
        <f aca="false">IF($E137="","",IFERROR(IF(ISNUMBER(P137),IF(P137=0,0,P137*INDEX(Telas!$I$6:$I$105,MATCH(M137,Telas!$A$6:$A$105,0))),NA())+IF(ISNUMBER(INDEX(Recetas!$T$6:$T$115,MATCH($E137,Recetas!$A$6:$A$115,0))),IF(INDEX(Recetas!$T$6:$T$115,MATCH($E137,Recetas!$A$6:$A$115,0))=0,0,INDEX(Recetas!$T$6:$T$115,MATCH($E137,Recetas!$A$6:$A$115,0))*INDEX(Telas!$I$6:$I$105,MATCH(N137,Telas!$A$6:$A$105,0))),NA())+IF(ISNUMBER(INDEX(Recetas!$W$6:$W$115,MATCH($E137,Recetas!$A$6:$A$115,0))),IF(INDEX(Recetas!$W$6:$W$115,MATCH($E137,Recetas!$A$6:$A$115,0))=0,0,INDEX(Recetas!$W$6:$W$115,MATCH($E137,Recetas!$A$6:$A$115,0))*INDEX(Telas!$I$6:$I$105,MATCH(O137,Telas!$A$6:$A$105,0))),NA()),""))</f>
        <v/>
      </c>
      <c r="S137" s="10" t="str">
        <f aca="false">IF($E137="","",IFERROR(INDEX(Recetas!$AA$6:$AA$115,MATCH($E137,Recetas!$A$6:$A$115,0))*1,""))</f>
        <v/>
      </c>
      <c r="T137" s="10" t="str">
        <f aca="false">IF($E137="","",IFERROR(INDEX(Recetas!$AB$6:$AB$115,MATCH($E137,Recetas!$A$6:$A$115,0))*1,""))</f>
        <v/>
      </c>
      <c r="U137" s="10" t="str">
        <f aca="false">IF($E137="","",IFERROR(INDEX(Recetas!$AC$6:$AC$115,MATCH($E137,Recetas!$A$6:$A$115,0))+N(I137),""))</f>
        <v/>
      </c>
      <c r="V137" s="11" t="str">
        <f aca="false">IF($E137="","",IFERROR(R137+S137+T137+U137,""))</f>
        <v/>
      </c>
      <c r="W137" s="11" t="str">
        <f aca="false">IF(ISNUMBER(V137),V137*Parametros!$B$12,"")</f>
        <v/>
      </c>
      <c r="X137" s="30" t="str">
        <f aca="false">IF(AND(ISNUMBER(V137),N(J137)&gt;0),(J137-V137-J137*Parametros!$B$8)/J137,"")</f>
        <v/>
      </c>
      <c r="Y137" s="10" t="str">
        <f aca="false">IF(AND(ISNUMBER(V137),N(J137)&gt;0),J137-V137-J137*Parametros!$B$8,"")</f>
        <v/>
      </c>
      <c r="Z137" s="29" t="str">
        <f aca="false">IF(AND(ISNUMBER(P137),M137&lt;&gt;""),IFERROR(1/(P137*INDEX(Telas!$G$6:$G$105,MATCH(M137,Telas!$A$6:$A$105,0))),""),"")</f>
        <v/>
      </c>
      <c r="AA137" s="7" t="str">
        <f aca="false">IF($E137="","",IF(ISNUMBER(V137),"OK",IF(Q137="","Precio o peso por metro de "&amp;M137&amp;". ","")&amp;IFERROR(INDEX(Recetas!$AG$6:$AG$115,MATCH($E137,Recetas!$A$6:$A$115,0)),"Molde no existe en Recetas.")))</f>
        <v/>
      </c>
    </row>
    <row r="138" customFormat="false" ht="15" hidden="false" customHeight="false" outlineLevel="0" collapsed="false">
      <c r="A138" s="27"/>
      <c r="B138" s="27"/>
      <c r="C138" s="27"/>
      <c r="D138" s="27"/>
      <c r="E138" s="27"/>
      <c r="F138" s="8"/>
      <c r="G138" s="8"/>
      <c r="H138" s="8"/>
      <c r="I138" s="15"/>
      <c r="J138" s="15"/>
      <c r="K138" s="27"/>
      <c r="L138" s="27"/>
      <c r="M138" s="7" t="str">
        <f aca="false">IF($E138="","",IF(F138="",IFERROR(INDEX(Recetas!$K$6:$K$115,MATCH($E138,Recetas!$A$6:$A$115,0))&amp;"",""),F138))</f>
        <v/>
      </c>
      <c r="N138" s="7" t="str">
        <f aca="false">IF($E138="","",IF(AND(G138="",N(IFERROR(INDEX(Recetas!$T$6:$T$115,MATCH($E138,Recetas!$A$6:$A$115,0)),1))=0),"—",IF(G138="",IFERROR(INDEX(Recetas!$L$6:$L$115,MATCH($E138,Recetas!$A$6:$A$115,0))&amp;"",""),G138)))</f>
        <v/>
      </c>
      <c r="O138" s="7" t="str">
        <f aca="false">IF($E138="","",IF(AND(H138="",N(IFERROR(INDEX(Recetas!$W$6:$W$115,MATCH($E138,Recetas!$A$6:$A$115,0)),1))=0),"—",IF(H138="",IFERROR(IF(INDEX(Recetas!$M$6:$M$115,MATCH($E138,Recetas!$A$6:$A$115,0))&amp;""="",M138,INDEX(Recetas!$M$6:$M$115,MATCH($E138,Recetas!$A$6:$A$115,0))&amp;""),""),H138)))</f>
        <v/>
      </c>
      <c r="P138" s="9" t="str">
        <f aca="false">IF($E138="","",IFERROR(INDEX(Recetas!$Q$6:$Q$115,MATCH($E138,Recetas!$A$6:$A$115,0)),""))</f>
        <v/>
      </c>
      <c r="Q138" s="10" t="str">
        <f aca="false">IF($E138="","",IFERROR(INDEX(Telas!$I$6:$I$105,MATCH(M138,Telas!$A$6:$A$105,0)),""))</f>
        <v/>
      </c>
      <c r="R138" s="10" t="str">
        <f aca="false">IF($E138="","",IFERROR(IF(ISNUMBER(P138),IF(P138=0,0,P138*INDEX(Telas!$I$6:$I$105,MATCH(M138,Telas!$A$6:$A$105,0))),NA())+IF(ISNUMBER(INDEX(Recetas!$T$6:$T$115,MATCH($E138,Recetas!$A$6:$A$115,0))),IF(INDEX(Recetas!$T$6:$T$115,MATCH($E138,Recetas!$A$6:$A$115,0))=0,0,INDEX(Recetas!$T$6:$T$115,MATCH($E138,Recetas!$A$6:$A$115,0))*INDEX(Telas!$I$6:$I$105,MATCH(N138,Telas!$A$6:$A$105,0))),NA())+IF(ISNUMBER(INDEX(Recetas!$W$6:$W$115,MATCH($E138,Recetas!$A$6:$A$115,0))),IF(INDEX(Recetas!$W$6:$W$115,MATCH($E138,Recetas!$A$6:$A$115,0))=0,0,INDEX(Recetas!$W$6:$W$115,MATCH($E138,Recetas!$A$6:$A$115,0))*INDEX(Telas!$I$6:$I$105,MATCH(O138,Telas!$A$6:$A$105,0))),NA()),""))</f>
        <v/>
      </c>
      <c r="S138" s="10" t="str">
        <f aca="false">IF($E138="","",IFERROR(INDEX(Recetas!$AA$6:$AA$115,MATCH($E138,Recetas!$A$6:$A$115,0))*1,""))</f>
        <v/>
      </c>
      <c r="T138" s="10" t="str">
        <f aca="false">IF($E138="","",IFERROR(INDEX(Recetas!$AB$6:$AB$115,MATCH($E138,Recetas!$A$6:$A$115,0))*1,""))</f>
        <v/>
      </c>
      <c r="U138" s="10" t="str">
        <f aca="false">IF($E138="","",IFERROR(INDEX(Recetas!$AC$6:$AC$115,MATCH($E138,Recetas!$A$6:$A$115,0))+N(I138),""))</f>
        <v/>
      </c>
      <c r="V138" s="11" t="str">
        <f aca="false">IF($E138="","",IFERROR(R138+S138+T138+U138,""))</f>
        <v/>
      </c>
      <c r="W138" s="11" t="str">
        <f aca="false">IF(ISNUMBER(V138),V138*Parametros!$B$12,"")</f>
        <v/>
      </c>
      <c r="X138" s="30" t="str">
        <f aca="false">IF(AND(ISNUMBER(V138),N(J138)&gt;0),(J138-V138-J138*Parametros!$B$8)/J138,"")</f>
        <v/>
      </c>
      <c r="Y138" s="10" t="str">
        <f aca="false">IF(AND(ISNUMBER(V138),N(J138)&gt;0),J138-V138-J138*Parametros!$B$8,"")</f>
        <v/>
      </c>
      <c r="Z138" s="29" t="str">
        <f aca="false">IF(AND(ISNUMBER(P138),M138&lt;&gt;""),IFERROR(1/(P138*INDEX(Telas!$G$6:$G$105,MATCH(M138,Telas!$A$6:$A$105,0))),""),"")</f>
        <v/>
      </c>
      <c r="AA138" s="7" t="str">
        <f aca="false">IF($E138="","",IF(ISNUMBER(V138),"OK",IF(Q138="","Precio o peso por metro de "&amp;M138&amp;". ","")&amp;IFERROR(INDEX(Recetas!$AG$6:$AG$115,MATCH($E138,Recetas!$A$6:$A$115,0)),"Molde no existe en Recetas.")))</f>
        <v/>
      </c>
    </row>
    <row r="139" customFormat="false" ht="15" hidden="false" customHeight="false" outlineLevel="0" collapsed="false">
      <c r="A139" s="27"/>
      <c r="B139" s="27"/>
      <c r="C139" s="27"/>
      <c r="D139" s="27"/>
      <c r="E139" s="27"/>
      <c r="F139" s="8"/>
      <c r="G139" s="8"/>
      <c r="H139" s="8"/>
      <c r="I139" s="15"/>
      <c r="J139" s="15"/>
      <c r="K139" s="27"/>
      <c r="L139" s="27"/>
      <c r="M139" s="7" t="str">
        <f aca="false">IF($E139="","",IF(F139="",IFERROR(INDEX(Recetas!$K$6:$K$115,MATCH($E139,Recetas!$A$6:$A$115,0))&amp;"",""),F139))</f>
        <v/>
      </c>
      <c r="N139" s="7" t="str">
        <f aca="false">IF($E139="","",IF(AND(G139="",N(IFERROR(INDEX(Recetas!$T$6:$T$115,MATCH($E139,Recetas!$A$6:$A$115,0)),1))=0),"—",IF(G139="",IFERROR(INDEX(Recetas!$L$6:$L$115,MATCH($E139,Recetas!$A$6:$A$115,0))&amp;"",""),G139)))</f>
        <v/>
      </c>
      <c r="O139" s="7" t="str">
        <f aca="false">IF($E139="","",IF(AND(H139="",N(IFERROR(INDEX(Recetas!$W$6:$W$115,MATCH($E139,Recetas!$A$6:$A$115,0)),1))=0),"—",IF(H139="",IFERROR(IF(INDEX(Recetas!$M$6:$M$115,MATCH($E139,Recetas!$A$6:$A$115,0))&amp;""="",M139,INDEX(Recetas!$M$6:$M$115,MATCH($E139,Recetas!$A$6:$A$115,0))&amp;""),""),H139)))</f>
        <v/>
      </c>
      <c r="P139" s="9" t="str">
        <f aca="false">IF($E139="","",IFERROR(INDEX(Recetas!$Q$6:$Q$115,MATCH($E139,Recetas!$A$6:$A$115,0)),""))</f>
        <v/>
      </c>
      <c r="Q139" s="10" t="str">
        <f aca="false">IF($E139="","",IFERROR(INDEX(Telas!$I$6:$I$105,MATCH(M139,Telas!$A$6:$A$105,0)),""))</f>
        <v/>
      </c>
      <c r="R139" s="10" t="str">
        <f aca="false">IF($E139="","",IFERROR(IF(ISNUMBER(P139),IF(P139=0,0,P139*INDEX(Telas!$I$6:$I$105,MATCH(M139,Telas!$A$6:$A$105,0))),NA())+IF(ISNUMBER(INDEX(Recetas!$T$6:$T$115,MATCH($E139,Recetas!$A$6:$A$115,0))),IF(INDEX(Recetas!$T$6:$T$115,MATCH($E139,Recetas!$A$6:$A$115,0))=0,0,INDEX(Recetas!$T$6:$T$115,MATCH($E139,Recetas!$A$6:$A$115,0))*INDEX(Telas!$I$6:$I$105,MATCH(N139,Telas!$A$6:$A$105,0))),NA())+IF(ISNUMBER(INDEX(Recetas!$W$6:$W$115,MATCH($E139,Recetas!$A$6:$A$115,0))),IF(INDEX(Recetas!$W$6:$W$115,MATCH($E139,Recetas!$A$6:$A$115,0))=0,0,INDEX(Recetas!$W$6:$W$115,MATCH($E139,Recetas!$A$6:$A$115,0))*INDEX(Telas!$I$6:$I$105,MATCH(O139,Telas!$A$6:$A$105,0))),NA()),""))</f>
        <v/>
      </c>
      <c r="S139" s="10" t="str">
        <f aca="false">IF($E139="","",IFERROR(INDEX(Recetas!$AA$6:$AA$115,MATCH($E139,Recetas!$A$6:$A$115,0))*1,""))</f>
        <v/>
      </c>
      <c r="T139" s="10" t="str">
        <f aca="false">IF($E139="","",IFERROR(INDEX(Recetas!$AB$6:$AB$115,MATCH($E139,Recetas!$A$6:$A$115,0))*1,""))</f>
        <v/>
      </c>
      <c r="U139" s="10" t="str">
        <f aca="false">IF($E139="","",IFERROR(INDEX(Recetas!$AC$6:$AC$115,MATCH($E139,Recetas!$A$6:$A$115,0))+N(I139),""))</f>
        <v/>
      </c>
      <c r="V139" s="11" t="str">
        <f aca="false">IF($E139="","",IFERROR(R139+S139+T139+U139,""))</f>
        <v/>
      </c>
      <c r="W139" s="11" t="str">
        <f aca="false">IF(ISNUMBER(V139),V139*Parametros!$B$12,"")</f>
        <v/>
      </c>
      <c r="X139" s="30" t="str">
        <f aca="false">IF(AND(ISNUMBER(V139),N(J139)&gt;0),(J139-V139-J139*Parametros!$B$8)/J139,"")</f>
        <v/>
      </c>
      <c r="Y139" s="10" t="str">
        <f aca="false">IF(AND(ISNUMBER(V139),N(J139)&gt;0),J139-V139-J139*Parametros!$B$8,"")</f>
        <v/>
      </c>
      <c r="Z139" s="29" t="str">
        <f aca="false">IF(AND(ISNUMBER(P139),M139&lt;&gt;""),IFERROR(1/(P139*INDEX(Telas!$G$6:$G$105,MATCH(M139,Telas!$A$6:$A$105,0))),""),"")</f>
        <v/>
      </c>
      <c r="AA139" s="7" t="str">
        <f aca="false">IF($E139="","",IF(ISNUMBER(V139),"OK",IF(Q139="","Precio o peso por metro de "&amp;M139&amp;". ","")&amp;IFERROR(INDEX(Recetas!$AG$6:$AG$115,MATCH($E139,Recetas!$A$6:$A$115,0)),"Molde no existe en Recetas.")))</f>
        <v/>
      </c>
    </row>
    <row r="140" customFormat="false" ht="15" hidden="false" customHeight="false" outlineLevel="0" collapsed="false">
      <c r="A140" s="27"/>
      <c r="B140" s="27"/>
      <c r="C140" s="27"/>
      <c r="D140" s="27"/>
      <c r="E140" s="27"/>
      <c r="F140" s="8"/>
      <c r="G140" s="8"/>
      <c r="H140" s="8"/>
      <c r="I140" s="15"/>
      <c r="J140" s="15"/>
      <c r="K140" s="27"/>
      <c r="L140" s="27"/>
      <c r="M140" s="7" t="str">
        <f aca="false">IF($E140="","",IF(F140="",IFERROR(INDEX(Recetas!$K$6:$K$115,MATCH($E140,Recetas!$A$6:$A$115,0))&amp;"",""),F140))</f>
        <v/>
      </c>
      <c r="N140" s="7" t="str">
        <f aca="false">IF($E140="","",IF(AND(G140="",N(IFERROR(INDEX(Recetas!$T$6:$T$115,MATCH($E140,Recetas!$A$6:$A$115,0)),1))=0),"—",IF(G140="",IFERROR(INDEX(Recetas!$L$6:$L$115,MATCH($E140,Recetas!$A$6:$A$115,0))&amp;"",""),G140)))</f>
        <v/>
      </c>
      <c r="O140" s="7" t="str">
        <f aca="false">IF($E140="","",IF(AND(H140="",N(IFERROR(INDEX(Recetas!$W$6:$W$115,MATCH($E140,Recetas!$A$6:$A$115,0)),1))=0),"—",IF(H140="",IFERROR(IF(INDEX(Recetas!$M$6:$M$115,MATCH($E140,Recetas!$A$6:$A$115,0))&amp;""="",M140,INDEX(Recetas!$M$6:$M$115,MATCH($E140,Recetas!$A$6:$A$115,0))&amp;""),""),H140)))</f>
        <v/>
      </c>
      <c r="P140" s="9" t="str">
        <f aca="false">IF($E140="","",IFERROR(INDEX(Recetas!$Q$6:$Q$115,MATCH($E140,Recetas!$A$6:$A$115,0)),""))</f>
        <v/>
      </c>
      <c r="Q140" s="10" t="str">
        <f aca="false">IF($E140="","",IFERROR(INDEX(Telas!$I$6:$I$105,MATCH(M140,Telas!$A$6:$A$105,0)),""))</f>
        <v/>
      </c>
      <c r="R140" s="10" t="str">
        <f aca="false">IF($E140="","",IFERROR(IF(ISNUMBER(P140),IF(P140=0,0,P140*INDEX(Telas!$I$6:$I$105,MATCH(M140,Telas!$A$6:$A$105,0))),NA())+IF(ISNUMBER(INDEX(Recetas!$T$6:$T$115,MATCH($E140,Recetas!$A$6:$A$115,0))),IF(INDEX(Recetas!$T$6:$T$115,MATCH($E140,Recetas!$A$6:$A$115,0))=0,0,INDEX(Recetas!$T$6:$T$115,MATCH($E140,Recetas!$A$6:$A$115,0))*INDEX(Telas!$I$6:$I$105,MATCH(N140,Telas!$A$6:$A$105,0))),NA())+IF(ISNUMBER(INDEX(Recetas!$W$6:$W$115,MATCH($E140,Recetas!$A$6:$A$115,0))),IF(INDEX(Recetas!$W$6:$W$115,MATCH($E140,Recetas!$A$6:$A$115,0))=0,0,INDEX(Recetas!$W$6:$W$115,MATCH($E140,Recetas!$A$6:$A$115,0))*INDEX(Telas!$I$6:$I$105,MATCH(O140,Telas!$A$6:$A$105,0))),NA()),""))</f>
        <v/>
      </c>
      <c r="S140" s="10" t="str">
        <f aca="false">IF($E140="","",IFERROR(INDEX(Recetas!$AA$6:$AA$115,MATCH($E140,Recetas!$A$6:$A$115,0))*1,""))</f>
        <v/>
      </c>
      <c r="T140" s="10" t="str">
        <f aca="false">IF($E140="","",IFERROR(INDEX(Recetas!$AB$6:$AB$115,MATCH($E140,Recetas!$A$6:$A$115,0))*1,""))</f>
        <v/>
      </c>
      <c r="U140" s="10" t="str">
        <f aca="false">IF($E140="","",IFERROR(INDEX(Recetas!$AC$6:$AC$115,MATCH($E140,Recetas!$A$6:$A$115,0))+N(I140),""))</f>
        <v/>
      </c>
      <c r="V140" s="11" t="str">
        <f aca="false">IF($E140="","",IFERROR(R140+S140+T140+U140,""))</f>
        <v/>
      </c>
      <c r="W140" s="11" t="str">
        <f aca="false">IF(ISNUMBER(V140),V140*Parametros!$B$12,"")</f>
        <v/>
      </c>
      <c r="X140" s="30" t="str">
        <f aca="false">IF(AND(ISNUMBER(V140),N(J140)&gt;0),(J140-V140-J140*Parametros!$B$8)/J140,"")</f>
        <v/>
      </c>
      <c r="Y140" s="10" t="str">
        <f aca="false">IF(AND(ISNUMBER(V140),N(J140)&gt;0),J140-V140-J140*Parametros!$B$8,"")</f>
        <v/>
      </c>
      <c r="Z140" s="29" t="str">
        <f aca="false">IF(AND(ISNUMBER(P140),M140&lt;&gt;""),IFERROR(1/(P140*INDEX(Telas!$G$6:$G$105,MATCH(M140,Telas!$A$6:$A$105,0))),""),"")</f>
        <v/>
      </c>
      <c r="AA140" s="7" t="str">
        <f aca="false">IF($E140="","",IF(ISNUMBER(V140),"OK",IF(Q140="","Precio o peso por metro de "&amp;M140&amp;". ","")&amp;IFERROR(INDEX(Recetas!$AG$6:$AG$115,MATCH($E140,Recetas!$A$6:$A$115,0)),"Molde no existe en Recetas.")))</f>
        <v/>
      </c>
    </row>
    <row r="141" customFormat="false" ht="15" hidden="false" customHeight="false" outlineLevel="0" collapsed="false">
      <c r="A141" s="27"/>
      <c r="B141" s="27"/>
      <c r="C141" s="27"/>
      <c r="D141" s="27"/>
      <c r="E141" s="27"/>
      <c r="F141" s="8"/>
      <c r="G141" s="8"/>
      <c r="H141" s="8"/>
      <c r="I141" s="15"/>
      <c r="J141" s="15"/>
      <c r="K141" s="27"/>
      <c r="L141" s="27"/>
      <c r="M141" s="7" t="str">
        <f aca="false">IF($E141="","",IF(F141="",IFERROR(INDEX(Recetas!$K$6:$K$115,MATCH($E141,Recetas!$A$6:$A$115,0))&amp;"",""),F141))</f>
        <v/>
      </c>
      <c r="N141" s="7" t="str">
        <f aca="false">IF($E141="","",IF(AND(G141="",N(IFERROR(INDEX(Recetas!$T$6:$T$115,MATCH($E141,Recetas!$A$6:$A$115,0)),1))=0),"—",IF(G141="",IFERROR(INDEX(Recetas!$L$6:$L$115,MATCH($E141,Recetas!$A$6:$A$115,0))&amp;"",""),G141)))</f>
        <v/>
      </c>
      <c r="O141" s="7" t="str">
        <f aca="false">IF($E141="","",IF(AND(H141="",N(IFERROR(INDEX(Recetas!$W$6:$W$115,MATCH($E141,Recetas!$A$6:$A$115,0)),1))=0),"—",IF(H141="",IFERROR(IF(INDEX(Recetas!$M$6:$M$115,MATCH($E141,Recetas!$A$6:$A$115,0))&amp;""="",M141,INDEX(Recetas!$M$6:$M$115,MATCH($E141,Recetas!$A$6:$A$115,0))&amp;""),""),H141)))</f>
        <v/>
      </c>
      <c r="P141" s="9" t="str">
        <f aca="false">IF($E141="","",IFERROR(INDEX(Recetas!$Q$6:$Q$115,MATCH($E141,Recetas!$A$6:$A$115,0)),""))</f>
        <v/>
      </c>
      <c r="Q141" s="10" t="str">
        <f aca="false">IF($E141="","",IFERROR(INDEX(Telas!$I$6:$I$105,MATCH(M141,Telas!$A$6:$A$105,0)),""))</f>
        <v/>
      </c>
      <c r="R141" s="10" t="str">
        <f aca="false">IF($E141="","",IFERROR(IF(ISNUMBER(P141),IF(P141=0,0,P141*INDEX(Telas!$I$6:$I$105,MATCH(M141,Telas!$A$6:$A$105,0))),NA())+IF(ISNUMBER(INDEX(Recetas!$T$6:$T$115,MATCH($E141,Recetas!$A$6:$A$115,0))),IF(INDEX(Recetas!$T$6:$T$115,MATCH($E141,Recetas!$A$6:$A$115,0))=0,0,INDEX(Recetas!$T$6:$T$115,MATCH($E141,Recetas!$A$6:$A$115,0))*INDEX(Telas!$I$6:$I$105,MATCH(N141,Telas!$A$6:$A$105,0))),NA())+IF(ISNUMBER(INDEX(Recetas!$W$6:$W$115,MATCH($E141,Recetas!$A$6:$A$115,0))),IF(INDEX(Recetas!$W$6:$W$115,MATCH($E141,Recetas!$A$6:$A$115,0))=0,0,INDEX(Recetas!$W$6:$W$115,MATCH($E141,Recetas!$A$6:$A$115,0))*INDEX(Telas!$I$6:$I$105,MATCH(O141,Telas!$A$6:$A$105,0))),NA()),""))</f>
        <v/>
      </c>
      <c r="S141" s="10" t="str">
        <f aca="false">IF($E141="","",IFERROR(INDEX(Recetas!$AA$6:$AA$115,MATCH($E141,Recetas!$A$6:$A$115,0))*1,""))</f>
        <v/>
      </c>
      <c r="T141" s="10" t="str">
        <f aca="false">IF($E141="","",IFERROR(INDEX(Recetas!$AB$6:$AB$115,MATCH($E141,Recetas!$A$6:$A$115,0))*1,""))</f>
        <v/>
      </c>
      <c r="U141" s="10" t="str">
        <f aca="false">IF($E141="","",IFERROR(INDEX(Recetas!$AC$6:$AC$115,MATCH($E141,Recetas!$A$6:$A$115,0))+N(I141),""))</f>
        <v/>
      </c>
      <c r="V141" s="11" t="str">
        <f aca="false">IF($E141="","",IFERROR(R141+S141+T141+U141,""))</f>
        <v/>
      </c>
      <c r="W141" s="11" t="str">
        <f aca="false">IF(ISNUMBER(V141),V141*Parametros!$B$12,"")</f>
        <v/>
      </c>
      <c r="X141" s="30" t="str">
        <f aca="false">IF(AND(ISNUMBER(V141),N(J141)&gt;0),(J141-V141-J141*Parametros!$B$8)/J141,"")</f>
        <v/>
      </c>
      <c r="Y141" s="10" t="str">
        <f aca="false">IF(AND(ISNUMBER(V141),N(J141)&gt;0),J141-V141-J141*Parametros!$B$8,"")</f>
        <v/>
      </c>
      <c r="Z141" s="29" t="str">
        <f aca="false">IF(AND(ISNUMBER(P141),M141&lt;&gt;""),IFERROR(1/(P141*INDEX(Telas!$G$6:$G$105,MATCH(M141,Telas!$A$6:$A$105,0))),""),"")</f>
        <v/>
      </c>
      <c r="AA141" s="7" t="str">
        <f aca="false">IF($E141="","",IF(ISNUMBER(V141),"OK",IF(Q141="","Precio o peso por metro de "&amp;M141&amp;". ","")&amp;IFERROR(INDEX(Recetas!$AG$6:$AG$115,MATCH($E141,Recetas!$A$6:$A$115,0)),"Molde no existe en Recetas.")))</f>
        <v/>
      </c>
    </row>
    <row r="142" customFormat="false" ht="15" hidden="false" customHeight="false" outlineLevel="0" collapsed="false">
      <c r="A142" s="27"/>
      <c r="B142" s="27"/>
      <c r="C142" s="27"/>
      <c r="D142" s="27"/>
      <c r="E142" s="27"/>
      <c r="F142" s="8"/>
      <c r="G142" s="8"/>
      <c r="H142" s="8"/>
      <c r="I142" s="15"/>
      <c r="J142" s="15"/>
      <c r="K142" s="27"/>
      <c r="L142" s="27"/>
      <c r="M142" s="7" t="str">
        <f aca="false">IF($E142="","",IF(F142="",IFERROR(INDEX(Recetas!$K$6:$K$115,MATCH($E142,Recetas!$A$6:$A$115,0))&amp;"",""),F142))</f>
        <v/>
      </c>
      <c r="N142" s="7" t="str">
        <f aca="false">IF($E142="","",IF(AND(G142="",N(IFERROR(INDEX(Recetas!$T$6:$T$115,MATCH($E142,Recetas!$A$6:$A$115,0)),1))=0),"—",IF(G142="",IFERROR(INDEX(Recetas!$L$6:$L$115,MATCH($E142,Recetas!$A$6:$A$115,0))&amp;"",""),G142)))</f>
        <v/>
      </c>
      <c r="O142" s="7" t="str">
        <f aca="false">IF($E142="","",IF(AND(H142="",N(IFERROR(INDEX(Recetas!$W$6:$W$115,MATCH($E142,Recetas!$A$6:$A$115,0)),1))=0),"—",IF(H142="",IFERROR(IF(INDEX(Recetas!$M$6:$M$115,MATCH($E142,Recetas!$A$6:$A$115,0))&amp;""="",M142,INDEX(Recetas!$M$6:$M$115,MATCH($E142,Recetas!$A$6:$A$115,0))&amp;""),""),H142)))</f>
        <v/>
      </c>
      <c r="P142" s="9" t="str">
        <f aca="false">IF($E142="","",IFERROR(INDEX(Recetas!$Q$6:$Q$115,MATCH($E142,Recetas!$A$6:$A$115,0)),""))</f>
        <v/>
      </c>
      <c r="Q142" s="10" t="str">
        <f aca="false">IF($E142="","",IFERROR(INDEX(Telas!$I$6:$I$105,MATCH(M142,Telas!$A$6:$A$105,0)),""))</f>
        <v/>
      </c>
      <c r="R142" s="10" t="str">
        <f aca="false">IF($E142="","",IFERROR(IF(ISNUMBER(P142),IF(P142=0,0,P142*INDEX(Telas!$I$6:$I$105,MATCH(M142,Telas!$A$6:$A$105,0))),NA())+IF(ISNUMBER(INDEX(Recetas!$T$6:$T$115,MATCH($E142,Recetas!$A$6:$A$115,0))),IF(INDEX(Recetas!$T$6:$T$115,MATCH($E142,Recetas!$A$6:$A$115,0))=0,0,INDEX(Recetas!$T$6:$T$115,MATCH($E142,Recetas!$A$6:$A$115,0))*INDEX(Telas!$I$6:$I$105,MATCH(N142,Telas!$A$6:$A$105,0))),NA())+IF(ISNUMBER(INDEX(Recetas!$W$6:$W$115,MATCH($E142,Recetas!$A$6:$A$115,0))),IF(INDEX(Recetas!$W$6:$W$115,MATCH($E142,Recetas!$A$6:$A$115,0))=0,0,INDEX(Recetas!$W$6:$W$115,MATCH($E142,Recetas!$A$6:$A$115,0))*INDEX(Telas!$I$6:$I$105,MATCH(O142,Telas!$A$6:$A$105,0))),NA()),""))</f>
        <v/>
      </c>
      <c r="S142" s="10" t="str">
        <f aca="false">IF($E142="","",IFERROR(INDEX(Recetas!$AA$6:$AA$115,MATCH($E142,Recetas!$A$6:$A$115,0))*1,""))</f>
        <v/>
      </c>
      <c r="T142" s="10" t="str">
        <f aca="false">IF($E142="","",IFERROR(INDEX(Recetas!$AB$6:$AB$115,MATCH($E142,Recetas!$A$6:$A$115,0))*1,""))</f>
        <v/>
      </c>
      <c r="U142" s="10" t="str">
        <f aca="false">IF($E142="","",IFERROR(INDEX(Recetas!$AC$6:$AC$115,MATCH($E142,Recetas!$A$6:$A$115,0))+N(I142),""))</f>
        <v/>
      </c>
      <c r="V142" s="11" t="str">
        <f aca="false">IF($E142="","",IFERROR(R142+S142+T142+U142,""))</f>
        <v/>
      </c>
      <c r="W142" s="11" t="str">
        <f aca="false">IF(ISNUMBER(V142),V142*Parametros!$B$12,"")</f>
        <v/>
      </c>
      <c r="X142" s="30" t="str">
        <f aca="false">IF(AND(ISNUMBER(V142),N(J142)&gt;0),(J142-V142-J142*Parametros!$B$8)/J142,"")</f>
        <v/>
      </c>
      <c r="Y142" s="10" t="str">
        <f aca="false">IF(AND(ISNUMBER(V142),N(J142)&gt;0),J142-V142-J142*Parametros!$B$8,"")</f>
        <v/>
      </c>
      <c r="Z142" s="29" t="str">
        <f aca="false">IF(AND(ISNUMBER(P142),M142&lt;&gt;""),IFERROR(1/(P142*INDEX(Telas!$G$6:$G$105,MATCH(M142,Telas!$A$6:$A$105,0))),""),"")</f>
        <v/>
      </c>
      <c r="AA142" s="7" t="str">
        <f aca="false">IF($E142="","",IF(ISNUMBER(V142),"OK",IF(Q142="","Precio o peso por metro de "&amp;M142&amp;". ","")&amp;IFERROR(INDEX(Recetas!$AG$6:$AG$115,MATCH($E142,Recetas!$A$6:$A$115,0)),"Molde no existe en Recetas.")))</f>
        <v/>
      </c>
    </row>
    <row r="143" customFormat="false" ht="15" hidden="false" customHeight="false" outlineLevel="0" collapsed="false">
      <c r="A143" s="27"/>
      <c r="B143" s="27"/>
      <c r="C143" s="27"/>
      <c r="D143" s="27"/>
      <c r="E143" s="27"/>
      <c r="F143" s="8"/>
      <c r="G143" s="8"/>
      <c r="H143" s="8"/>
      <c r="I143" s="15"/>
      <c r="J143" s="15"/>
      <c r="K143" s="27"/>
      <c r="L143" s="27"/>
      <c r="M143" s="7" t="str">
        <f aca="false">IF($E143="","",IF(F143="",IFERROR(INDEX(Recetas!$K$6:$K$115,MATCH($E143,Recetas!$A$6:$A$115,0))&amp;"",""),F143))</f>
        <v/>
      </c>
      <c r="N143" s="7" t="str">
        <f aca="false">IF($E143="","",IF(AND(G143="",N(IFERROR(INDEX(Recetas!$T$6:$T$115,MATCH($E143,Recetas!$A$6:$A$115,0)),1))=0),"—",IF(G143="",IFERROR(INDEX(Recetas!$L$6:$L$115,MATCH($E143,Recetas!$A$6:$A$115,0))&amp;"",""),G143)))</f>
        <v/>
      </c>
      <c r="O143" s="7" t="str">
        <f aca="false">IF($E143="","",IF(AND(H143="",N(IFERROR(INDEX(Recetas!$W$6:$W$115,MATCH($E143,Recetas!$A$6:$A$115,0)),1))=0),"—",IF(H143="",IFERROR(IF(INDEX(Recetas!$M$6:$M$115,MATCH($E143,Recetas!$A$6:$A$115,0))&amp;""="",M143,INDEX(Recetas!$M$6:$M$115,MATCH($E143,Recetas!$A$6:$A$115,0))&amp;""),""),H143)))</f>
        <v/>
      </c>
      <c r="P143" s="9" t="str">
        <f aca="false">IF($E143="","",IFERROR(INDEX(Recetas!$Q$6:$Q$115,MATCH($E143,Recetas!$A$6:$A$115,0)),""))</f>
        <v/>
      </c>
      <c r="Q143" s="10" t="str">
        <f aca="false">IF($E143="","",IFERROR(INDEX(Telas!$I$6:$I$105,MATCH(M143,Telas!$A$6:$A$105,0)),""))</f>
        <v/>
      </c>
      <c r="R143" s="10" t="str">
        <f aca="false">IF($E143="","",IFERROR(IF(ISNUMBER(P143),IF(P143=0,0,P143*INDEX(Telas!$I$6:$I$105,MATCH(M143,Telas!$A$6:$A$105,0))),NA())+IF(ISNUMBER(INDEX(Recetas!$T$6:$T$115,MATCH($E143,Recetas!$A$6:$A$115,0))),IF(INDEX(Recetas!$T$6:$T$115,MATCH($E143,Recetas!$A$6:$A$115,0))=0,0,INDEX(Recetas!$T$6:$T$115,MATCH($E143,Recetas!$A$6:$A$115,0))*INDEX(Telas!$I$6:$I$105,MATCH(N143,Telas!$A$6:$A$105,0))),NA())+IF(ISNUMBER(INDEX(Recetas!$W$6:$W$115,MATCH($E143,Recetas!$A$6:$A$115,0))),IF(INDEX(Recetas!$W$6:$W$115,MATCH($E143,Recetas!$A$6:$A$115,0))=0,0,INDEX(Recetas!$W$6:$W$115,MATCH($E143,Recetas!$A$6:$A$115,0))*INDEX(Telas!$I$6:$I$105,MATCH(O143,Telas!$A$6:$A$105,0))),NA()),""))</f>
        <v/>
      </c>
      <c r="S143" s="10" t="str">
        <f aca="false">IF($E143="","",IFERROR(INDEX(Recetas!$AA$6:$AA$115,MATCH($E143,Recetas!$A$6:$A$115,0))*1,""))</f>
        <v/>
      </c>
      <c r="T143" s="10" t="str">
        <f aca="false">IF($E143="","",IFERROR(INDEX(Recetas!$AB$6:$AB$115,MATCH($E143,Recetas!$A$6:$A$115,0))*1,""))</f>
        <v/>
      </c>
      <c r="U143" s="10" t="str">
        <f aca="false">IF($E143="","",IFERROR(INDEX(Recetas!$AC$6:$AC$115,MATCH($E143,Recetas!$A$6:$A$115,0))+N(I143),""))</f>
        <v/>
      </c>
      <c r="V143" s="11" t="str">
        <f aca="false">IF($E143="","",IFERROR(R143+S143+T143+U143,""))</f>
        <v/>
      </c>
      <c r="W143" s="11" t="str">
        <f aca="false">IF(ISNUMBER(V143),V143*Parametros!$B$12,"")</f>
        <v/>
      </c>
      <c r="X143" s="30" t="str">
        <f aca="false">IF(AND(ISNUMBER(V143),N(J143)&gt;0),(J143-V143-J143*Parametros!$B$8)/J143,"")</f>
        <v/>
      </c>
      <c r="Y143" s="10" t="str">
        <f aca="false">IF(AND(ISNUMBER(V143),N(J143)&gt;0),J143-V143-J143*Parametros!$B$8,"")</f>
        <v/>
      </c>
      <c r="Z143" s="29" t="str">
        <f aca="false">IF(AND(ISNUMBER(P143),M143&lt;&gt;""),IFERROR(1/(P143*INDEX(Telas!$G$6:$G$105,MATCH(M143,Telas!$A$6:$A$105,0))),""),"")</f>
        <v/>
      </c>
      <c r="AA143" s="7" t="str">
        <f aca="false">IF($E143="","",IF(ISNUMBER(V143),"OK",IF(Q143="","Precio o peso por metro de "&amp;M143&amp;". ","")&amp;IFERROR(INDEX(Recetas!$AG$6:$AG$115,MATCH($E143,Recetas!$A$6:$A$115,0)),"Molde no existe en Recetas.")))</f>
        <v/>
      </c>
    </row>
    <row r="144" customFormat="false" ht="15" hidden="false" customHeight="false" outlineLevel="0" collapsed="false">
      <c r="A144" s="27"/>
      <c r="B144" s="27"/>
      <c r="C144" s="27"/>
      <c r="D144" s="27"/>
      <c r="E144" s="27"/>
      <c r="F144" s="8"/>
      <c r="G144" s="8"/>
      <c r="H144" s="8"/>
      <c r="I144" s="15"/>
      <c r="J144" s="15"/>
      <c r="K144" s="27"/>
      <c r="L144" s="27"/>
      <c r="M144" s="7" t="str">
        <f aca="false">IF($E144="","",IF(F144="",IFERROR(INDEX(Recetas!$K$6:$K$115,MATCH($E144,Recetas!$A$6:$A$115,0))&amp;"",""),F144))</f>
        <v/>
      </c>
      <c r="N144" s="7" t="str">
        <f aca="false">IF($E144="","",IF(AND(G144="",N(IFERROR(INDEX(Recetas!$T$6:$T$115,MATCH($E144,Recetas!$A$6:$A$115,0)),1))=0),"—",IF(G144="",IFERROR(INDEX(Recetas!$L$6:$L$115,MATCH($E144,Recetas!$A$6:$A$115,0))&amp;"",""),G144)))</f>
        <v/>
      </c>
      <c r="O144" s="7" t="str">
        <f aca="false">IF($E144="","",IF(AND(H144="",N(IFERROR(INDEX(Recetas!$W$6:$W$115,MATCH($E144,Recetas!$A$6:$A$115,0)),1))=0),"—",IF(H144="",IFERROR(IF(INDEX(Recetas!$M$6:$M$115,MATCH($E144,Recetas!$A$6:$A$115,0))&amp;""="",M144,INDEX(Recetas!$M$6:$M$115,MATCH($E144,Recetas!$A$6:$A$115,0))&amp;""),""),H144)))</f>
        <v/>
      </c>
      <c r="P144" s="9" t="str">
        <f aca="false">IF($E144="","",IFERROR(INDEX(Recetas!$Q$6:$Q$115,MATCH($E144,Recetas!$A$6:$A$115,0)),""))</f>
        <v/>
      </c>
      <c r="Q144" s="10" t="str">
        <f aca="false">IF($E144="","",IFERROR(INDEX(Telas!$I$6:$I$105,MATCH(M144,Telas!$A$6:$A$105,0)),""))</f>
        <v/>
      </c>
      <c r="R144" s="10" t="str">
        <f aca="false">IF($E144="","",IFERROR(IF(ISNUMBER(P144),IF(P144=0,0,P144*INDEX(Telas!$I$6:$I$105,MATCH(M144,Telas!$A$6:$A$105,0))),NA())+IF(ISNUMBER(INDEX(Recetas!$T$6:$T$115,MATCH($E144,Recetas!$A$6:$A$115,0))),IF(INDEX(Recetas!$T$6:$T$115,MATCH($E144,Recetas!$A$6:$A$115,0))=0,0,INDEX(Recetas!$T$6:$T$115,MATCH($E144,Recetas!$A$6:$A$115,0))*INDEX(Telas!$I$6:$I$105,MATCH(N144,Telas!$A$6:$A$105,0))),NA())+IF(ISNUMBER(INDEX(Recetas!$W$6:$W$115,MATCH($E144,Recetas!$A$6:$A$115,0))),IF(INDEX(Recetas!$W$6:$W$115,MATCH($E144,Recetas!$A$6:$A$115,0))=0,0,INDEX(Recetas!$W$6:$W$115,MATCH($E144,Recetas!$A$6:$A$115,0))*INDEX(Telas!$I$6:$I$105,MATCH(O144,Telas!$A$6:$A$105,0))),NA()),""))</f>
        <v/>
      </c>
      <c r="S144" s="10" t="str">
        <f aca="false">IF($E144="","",IFERROR(INDEX(Recetas!$AA$6:$AA$115,MATCH($E144,Recetas!$A$6:$A$115,0))*1,""))</f>
        <v/>
      </c>
      <c r="T144" s="10" t="str">
        <f aca="false">IF($E144="","",IFERROR(INDEX(Recetas!$AB$6:$AB$115,MATCH($E144,Recetas!$A$6:$A$115,0))*1,""))</f>
        <v/>
      </c>
      <c r="U144" s="10" t="str">
        <f aca="false">IF($E144="","",IFERROR(INDEX(Recetas!$AC$6:$AC$115,MATCH($E144,Recetas!$A$6:$A$115,0))+N(I144),""))</f>
        <v/>
      </c>
      <c r="V144" s="11" t="str">
        <f aca="false">IF($E144="","",IFERROR(R144+S144+T144+U144,""))</f>
        <v/>
      </c>
      <c r="W144" s="11" t="str">
        <f aca="false">IF(ISNUMBER(V144),V144*Parametros!$B$12,"")</f>
        <v/>
      </c>
      <c r="X144" s="30" t="str">
        <f aca="false">IF(AND(ISNUMBER(V144),N(J144)&gt;0),(J144-V144-J144*Parametros!$B$8)/J144,"")</f>
        <v/>
      </c>
      <c r="Y144" s="10" t="str">
        <f aca="false">IF(AND(ISNUMBER(V144),N(J144)&gt;0),J144-V144-J144*Parametros!$B$8,"")</f>
        <v/>
      </c>
      <c r="Z144" s="29" t="str">
        <f aca="false">IF(AND(ISNUMBER(P144),M144&lt;&gt;""),IFERROR(1/(P144*INDEX(Telas!$G$6:$G$105,MATCH(M144,Telas!$A$6:$A$105,0))),""),"")</f>
        <v/>
      </c>
      <c r="AA144" s="7" t="str">
        <f aca="false">IF($E144="","",IF(ISNUMBER(V144),"OK",IF(Q144="","Precio o peso por metro de "&amp;M144&amp;". ","")&amp;IFERROR(INDEX(Recetas!$AG$6:$AG$115,MATCH($E144,Recetas!$A$6:$A$115,0)),"Molde no existe en Recetas.")))</f>
        <v/>
      </c>
    </row>
    <row r="145" customFormat="false" ht="15" hidden="false" customHeight="false" outlineLevel="0" collapsed="false">
      <c r="A145" s="27"/>
      <c r="B145" s="27"/>
      <c r="C145" s="27"/>
      <c r="D145" s="27"/>
      <c r="E145" s="27"/>
      <c r="F145" s="8"/>
      <c r="G145" s="8"/>
      <c r="H145" s="8"/>
      <c r="I145" s="15"/>
      <c r="J145" s="15"/>
      <c r="K145" s="27"/>
      <c r="L145" s="27"/>
      <c r="M145" s="7" t="str">
        <f aca="false">IF($E145="","",IF(F145="",IFERROR(INDEX(Recetas!$K$6:$K$115,MATCH($E145,Recetas!$A$6:$A$115,0))&amp;"",""),F145))</f>
        <v/>
      </c>
      <c r="N145" s="7" t="str">
        <f aca="false">IF($E145="","",IF(AND(G145="",N(IFERROR(INDEX(Recetas!$T$6:$T$115,MATCH($E145,Recetas!$A$6:$A$115,0)),1))=0),"—",IF(G145="",IFERROR(INDEX(Recetas!$L$6:$L$115,MATCH($E145,Recetas!$A$6:$A$115,0))&amp;"",""),G145)))</f>
        <v/>
      </c>
      <c r="O145" s="7" t="str">
        <f aca="false">IF($E145="","",IF(AND(H145="",N(IFERROR(INDEX(Recetas!$W$6:$W$115,MATCH($E145,Recetas!$A$6:$A$115,0)),1))=0),"—",IF(H145="",IFERROR(IF(INDEX(Recetas!$M$6:$M$115,MATCH($E145,Recetas!$A$6:$A$115,0))&amp;""="",M145,INDEX(Recetas!$M$6:$M$115,MATCH($E145,Recetas!$A$6:$A$115,0))&amp;""),""),H145)))</f>
        <v/>
      </c>
      <c r="P145" s="9" t="str">
        <f aca="false">IF($E145="","",IFERROR(INDEX(Recetas!$Q$6:$Q$115,MATCH($E145,Recetas!$A$6:$A$115,0)),""))</f>
        <v/>
      </c>
      <c r="Q145" s="10" t="str">
        <f aca="false">IF($E145="","",IFERROR(INDEX(Telas!$I$6:$I$105,MATCH(M145,Telas!$A$6:$A$105,0)),""))</f>
        <v/>
      </c>
      <c r="R145" s="10" t="str">
        <f aca="false">IF($E145="","",IFERROR(IF(ISNUMBER(P145),IF(P145=0,0,P145*INDEX(Telas!$I$6:$I$105,MATCH(M145,Telas!$A$6:$A$105,0))),NA())+IF(ISNUMBER(INDEX(Recetas!$T$6:$T$115,MATCH($E145,Recetas!$A$6:$A$115,0))),IF(INDEX(Recetas!$T$6:$T$115,MATCH($E145,Recetas!$A$6:$A$115,0))=0,0,INDEX(Recetas!$T$6:$T$115,MATCH($E145,Recetas!$A$6:$A$115,0))*INDEX(Telas!$I$6:$I$105,MATCH(N145,Telas!$A$6:$A$105,0))),NA())+IF(ISNUMBER(INDEX(Recetas!$W$6:$W$115,MATCH($E145,Recetas!$A$6:$A$115,0))),IF(INDEX(Recetas!$W$6:$W$115,MATCH($E145,Recetas!$A$6:$A$115,0))=0,0,INDEX(Recetas!$W$6:$W$115,MATCH($E145,Recetas!$A$6:$A$115,0))*INDEX(Telas!$I$6:$I$105,MATCH(O145,Telas!$A$6:$A$105,0))),NA()),""))</f>
        <v/>
      </c>
      <c r="S145" s="10" t="str">
        <f aca="false">IF($E145="","",IFERROR(INDEX(Recetas!$AA$6:$AA$115,MATCH($E145,Recetas!$A$6:$A$115,0))*1,""))</f>
        <v/>
      </c>
      <c r="T145" s="10" t="str">
        <f aca="false">IF($E145="","",IFERROR(INDEX(Recetas!$AB$6:$AB$115,MATCH($E145,Recetas!$A$6:$A$115,0))*1,""))</f>
        <v/>
      </c>
      <c r="U145" s="10" t="str">
        <f aca="false">IF($E145="","",IFERROR(INDEX(Recetas!$AC$6:$AC$115,MATCH($E145,Recetas!$A$6:$A$115,0))+N(I145),""))</f>
        <v/>
      </c>
      <c r="V145" s="11" t="str">
        <f aca="false">IF($E145="","",IFERROR(R145+S145+T145+U145,""))</f>
        <v/>
      </c>
      <c r="W145" s="11" t="str">
        <f aca="false">IF(ISNUMBER(V145),V145*Parametros!$B$12,"")</f>
        <v/>
      </c>
      <c r="X145" s="30" t="str">
        <f aca="false">IF(AND(ISNUMBER(V145),N(J145)&gt;0),(J145-V145-J145*Parametros!$B$8)/J145,"")</f>
        <v/>
      </c>
      <c r="Y145" s="10" t="str">
        <f aca="false">IF(AND(ISNUMBER(V145),N(J145)&gt;0),J145-V145-J145*Parametros!$B$8,"")</f>
        <v/>
      </c>
      <c r="Z145" s="29" t="str">
        <f aca="false">IF(AND(ISNUMBER(P145),M145&lt;&gt;""),IFERROR(1/(P145*INDEX(Telas!$G$6:$G$105,MATCH(M145,Telas!$A$6:$A$105,0))),""),"")</f>
        <v/>
      </c>
      <c r="AA145" s="7" t="str">
        <f aca="false">IF($E145="","",IF(ISNUMBER(V145),"OK",IF(Q145="","Precio o peso por metro de "&amp;M145&amp;". ","")&amp;IFERROR(INDEX(Recetas!$AG$6:$AG$115,MATCH($E145,Recetas!$A$6:$A$115,0)),"Molde no existe en Recetas.")))</f>
        <v/>
      </c>
    </row>
  </sheetData>
  <dataValidations count="4">
    <dataValidation allowBlank="true" errorStyle="stop" operator="between" showDropDown="false" showErrorMessage="false" showInputMessage="false" sqref="E6:E145" type="list">
      <formula1>Recetas!$A$6:$A$115</formula1>
      <formula2>0</formula2>
    </dataValidation>
    <dataValidation allowBlank="true" errorStyle="stop" operator="between" showDropDown="false" showErrorMessage="false" showInputMessage="false" sqref="F6:F145" type="list">
      <formula1>Telas!$A$6:$A$105</formula1>
      <formula2>0</formula2>
    </dataValidation>
    <dataValidation allowBlank="true" errorStyle="stop" operator="between" showDropDown="false" showErrorMessage="false" showInputMessage="false" sqref="G6:G145" type="list">
      <formula1>Telas!$A$6:$A$105</formula1>
      <formula2>0</formula2>
    </dataValidation>
    <dataValidation allowBlank="true" errorStyle="stop" operator="between" showDropDown="false" showErrorMessage="false" showInputMessage="false" sqref="H6:H145" type="list">
      <formula1>Telas!$A$6:$A$105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6" min="5" style="0" width="18"/>
    <col collapsed="false" customWidth="true" hidden="false" outlineLevel="0" max="7" min="7" style="0" width="50"/>
    <col collapsed="false" customWidth="true" hidden="false" outlineLevel="0" max="8" min="8" style="0" width="8"/>
  </cols>
  <sheetData>
    <row r="1" customFormat="false" ht="17.35" hidden="false" customHeight="false" outlineLevel="0" collapsed="false">
      <c r="A1" s="1" t="s">
        <v>410</v>
      </c>
    </row>
    <row r="2" customFormat="false" ht="15" hidden="false" customHeight="false" outlineLevel="0" collapsed="false">
      <c r="A2" s="2" t="s">
        <v>411</v>
      </c>
    </row>
    <row r="3" customFormat="false" ht="15" hidden="false" customHeight="false" outlineLevel="0" collapsed="false">
      <c r="A3" s="3" t="s">
        <v>412</v>
      </c>
    </row>
    <row r="5" customFormat="false" ht="45" hidden="false" customHeight="true" outlineLevel="0" collapsed="false">
      <c r="A5" s="6" t="s">
        <v>63</v>
      </c>
      <c r="B5" s="6" t="s">
        <v>6</v>
      </c>
      <c r="C5" s="6" t="s">
        <v>413</v>
      </c>
      <c r="D5" s="6" t="s">
        <v>8</v>
      </c>
      <c r="E5" s="6" t="s">
        <v>9</v>
      </c>
      <c r="F5" s="6" t="s">
        <v>414</v>
      </c>
      <c r="G5" s="6" t="s">
        <v>415</v>
      </c>
      <c r="H5" s="6" t="s">
        <v>416</v>
      </c>
    </row>
    <row r="6" customFormat="false" ht="15" hidden="false" customHeight="false" outlineLevel="0" collapsed="false">
      <c r="A6" s="27" t="s">
        <v>89</v>
      </c>
      <c r="B6" s="27" t="s">
        <v>417</v>
      </c>
      <c r="C6" s="27" t="n">
        <v>1</v>
      </c>
      <c r="D6" s="27" t="s">
        <v>244</v>
      </c>
      <c r="E6" s="27" t="s">
        <v>418</v>
      </c>
      <c r="F6" s="31"/>
      <c r="G6" s="27"/>
      <c r="H6" s="32" t="str">
        <f aca="false">IF(A6="","",A6&amp;"|"&amp;COUNTIF($A$6:A6,A6))</f>
        <v>01 · FUTMUJU01|1</v>
      </c>
    </row>
    <row r="7" customFormat="false" ht="15" hidden="false" customHeight="false" outlineLevel="0" collapsed="false">
      <c r="A7" s="27" t="s">
        <v>89</v>
      </c>
      <c r="B7" s="27" t="s">
        <v>419</v>
      </c>
      <c r="C7" s="27" t="n">
        <v>1</v>
      </c>
      <c r="D7" s="27" t="s">
        <v>244</v>
      </c>
      <c r="E7" s="27" t="s">
        <v>418</v>
      </c>
      <c r="F7" s="31"/>
      <c r="G7" s="27"/>
      <c r="H7" s="32" t="str">
        <f aca="false">IF(A7="","",A7&amp;"|"&amp;COUNTIF($A$6:A7,A7))</f>
        <v>01 · FUTMUJU01|2</v>
      </c>
    </row>
    <row r="8" customFormat="false" ht="15" hidden="false" customHeight="false" outlineLevel="0" collapsed="false">
      <c r="A8" s="27" t="s">
        <v>89</v>
      </c>
      <c r="B8" s="27" t="s">
        <v>420</v>
      </c>
      <c r="C8" s="27" t="n">
        <v>2</v>
      </c>
      <c r="D8" s="27" t="s">
        <v>244</v>
      </c>
      <c r="E8" s="27" t="s">
        <v>418</v>
      </c>
      <c r="F8" s="31"/>
      <c r="G8" s="27"/>
      <c r="H8" s="32" t="str">
        <f aca="false">IF(A8="","",A8&amp;"|"&amp;COUNTIF($A$6:A8,A8))</f>
        <v>01 · FUTMUJU01|3</v>
      </c>
    </row>
    <row r="9" customFormat="false" ht="15" hidden="false" customHeight="false" outlineLevel="0" collapsed="false">
      <c r="A9" s="27" t="s">
        <v>89</v>
      </c>
      <c r="B9" s="27" t="s">
        <v>421</v>
      </c>
      <c r="C9" s="27" t="n">
        <v>1</v>
      </c>
      <c r="D9" s="27" t="s">
        <v>244</v>
      </c>
      <c r="E9" s="27" t="s">
        <v>418</v>
      </c>
      <c r="F9" s="31"/>
      <c r="G9" s="27"/>
      <c r="H9" s="32" t="str">
        <f aca="false">IF(A9="","",A9&amp;"|"&amp;COUNTIF($A$6:A9,A9))</f>
        <v>01 · FUTMUJU01|4</v>
      </c>
    </row>
    <row r="10" customFormat="false" ht="15" hidden="false" customHeight="false" outlineLevel="0" collapsed="false">
      <c r="A10" s="27" t="s">
        <v>96</v>
      </c>
      <c r="B10" s="27" t="s">
        <v>417</v>
      </c>
      <c r="C10" s="27" t="n">
        <v>1</v>
      </c>
      <c r="D10" s="27" t="s">
        <v>244</v>
      </c>
      <c r="E10" s="27" t="s">
        <v>418</v>
      </c>
      <c r="F10" s="31"/>
      <c r="G10" s="27"/>
      <c r="H10" s="32" t="str">
        <f aca="false">IF(A10="","",A10&amp;"|"&amp;COUNTIF($A$6:A10,A10))</f>
        <v>02 · FUTHOMU01|1</v>
      </c>
    </row>
    <row r="11" customFormat="false" ht="15" hidden="false" customHeight="false" outlineLevel="0" collapsed="false">
      <c r="A11" s="27" t="s">
        <v>96</v>
      </c>
      <c r="B11" s="27" t="s">
        <v>419</v>
      </c>
      <c r="C11" s="27" t="n">
        <v>1</v>
      </c>
      <c r="D11" s="27" t="s">
        <v>244</v>
      </c>
      <c r="E11" s="27" t="s">
        <v>418</v>
      </c>
      <c r="F11" s="31"/>
      <c r="G11" s="27"/>
      <c r="H11" s="32" t="str">
        <f aca="false">IF(A11="","",A11&amp;"|"&amp;COUNTIF($A$6:A11,A11))</f>
        <v>02 · FUTHOMU01|2</v>
      </c>
    </row>
    <row r="12" customFormat="false" ht="15" hidden="false" customHeight="false" outlineLevel="0" collapsed="false">
      <c r="A12" s="27" t="s">
        <v>96</v>
      </c>
      <c r="B12" s="27" t="s">
        <v>420</v>
      </c>
      <c r="C12" s="27" t="n">
        <v>2</v>
      </c>
      <c r="D12" s="27" t="s">
        <v>244</v>
      </c>
      <c r="E12" s="27" t="s">
        <v>418</v>
      </c>
      <c r="F12" s="31"/>
      <c r="G12" s="27"/>
      <c r="H12" s="32" t="str">
        <f aca="false">IF(A12="","",A12&amp;"|"&amp;COUNTIF($A$6:A12,A12))</f>
        <v>02 · FUTHOMU01|3</v>
      </c>
    </row>
    <row r="13" customFormat="false" ht="15" hidden="false" customHeight="false" outlineLevel="0" collapsed="false">
      <c r="A13" s="27" t="s">
        <v>96</v>
      </c>
      <c r="B13" s="27" t="s">
        <v>421</v>
      </c>
      <c r="C13" s="27" t="n">
        <v>1</v>
      </c>
      <c r="D13" s="27" t="s">
        <v>244</v>
      </c>
      <c r="E13" s="27" t="s">
        <v>418</v>
      </c>
      <c r="F13" s="31"/>
      <c r="G13" s="27"/>
      <c r="H13" s="32" t="str">
        <f aca="false">IF(A13="","",A13&amp;"|"&amp;COUNTIF($A$6:A13,A13))</f>
        <v>02 · FUTHOMU01|4</v>
      </c>
    </row>
    <row r="14" customFormat="false" ht="15" hidden="false" customHeight="false" outlineLevel="0" collapsed="false">
      <c r="A14" s="27" t="s">
        <v>98</v>
      </c>
      <c r="B14" s="27" t="s">
        <v>417</v>
      </c>
      <c r="C14" s="27" t="n">
        <v>1</v>
      </c>
      <c r="D14" s="27" t="s">
        <v>244</v>
      </c>
      <c r="E14" s="27" t="s">
        <v>418</v>
      </c>
      <c r="F14" s="31"/>
      <c r="G14" s="27"/>
      <c r="H14" s="32" t="str">
        <f aca="false">IF(A14="","",A14&amp;"|"&amp;COUNTIF($A$6:A14,A14))</f>
        <v>03 · FUTINMUJU01|1</v>
      </c>
    </row>
    <row r="15" customFormat="false" ht="15" hidden="false" customHeight="false" outlineLevel="0" collapsed="false">
      <c r="A15" s="27" t="s">
        <v>98</v>
      </c>
      <c r="B15" s="27" t="s">
        <v>419</v>
      </c>
      <c r="C15" s="27" t="n">
        <v>1</v>
      </c>
      <c r="D15" s="27" t="s">
        <v>244</v>
      </c>
      <c r="E15" s="27" t="s">
        <v>418</v>
      </c>
      <c r="F15" s="31"/>
      <c r="G15" s="27"/>
      <c r="H15" s="32" t="str">
        <f aca="false">IF(A15="","",A15&amp;"|"&amp;COUNTIF($A$6:A15,A15))</f>
        <v>03 · FUTINMUJU01|2</v>
      </c>
    </row>
    <row r="16" customFormat="false" ht="15" hidden="false" customHeight="false" outlineLevel="0" collapsed="false">
      <c r="A16" s="27" t="s">
        <v>98</v>
      </c>
      <c r="B16" s="27" t="s">
        <v>420</v>
      </c>
      <c r="C16" s="27" t="n">
        <v>2</v>
      </c>
      <c r="D16" s="27" t="s">
        <v>244</v>
      </c>
      <c r="E16" s="27" t="s">
        <v>418</v>
      </c>
      <c r="F16" s="31"/>
      <c r="G16" s="27"/>
      <c r="H16" s="32" t="str">
        <f aca="false">IF(A16="","",A16&amp;"|"&amp;COUNTIF($A$6:A16,A16))</f>
        <v>03 · FUTINMUJU01|3</v>
      </c>
    </row>
    <row r="17" customFormat="false" ht="15" hidden="false" customHeight="false" outlineLevel="0" collapsed="false">
      <c r="A17" s="27" t="s">
        <v>98</v>
      </c>
      <c r="B17" s="27" t="s">
        <v>421</v>
      </c>
      <c r="C17" s="27" t="n">
        <v>1</v>
      </c>
      <c r="D17" s="27" t="s">
        <v>244</v>
      </c>
      <c r="E17" s="27" t="s">
        <v>418</v>
      </c>
      <c r="F17" s="31"/>
      <c r="G17" s="27"/>
      <c r="H17" s="32" t="str">
        <f aca="false">IF(A17="","",A17&amp;"|"&amp;COUNTIF($A$6:A17,A17))</f>
        <v>03 · FUTINMUJU01|4</v>
      </c>
    </row>
    <row r="18" customFormat="false" ht="15" hidden="false" customHeight="false" outlineLevel="0" collapsed="false">
      <c r="A18" s="27" t="s">
        <v>101</v>
      </c>
      <c r="B18" s="27" t="s">
        <v>417</v>
      </c>
      <c r="C18" s="27" t="n">
        <v>1</v>
      </c>
      <c r="D18" s="27" t="s">
        <v>244</v>
      </c>
      <c r="E18" s="27" t="s">
        <v>418</v>
      </c>
      <c r="F18" s="31"/>
      <c r="G18" s="27"/>
      <c r="H18" s="32" t="str">
        <f aca="false">IF(A18="","",A18&amp;"|"&amp;COUNTIF($A$6:A18,A18))</f>
        <v>04 · FUTINHOMU01|1</v>
      </c>
    </row>
    <row r="19" customFormat="false" ht="15" hidden="false" customHeight="false" outlineLevel="0" collapsed="false">
      <c r="A19" s="27" t="s">
        <v>101</v>
      </c>
      <c r="B19" s="27" t="s">
        <v>419</v>
      </c>
      <c r="C19" s="27" t="n">
        <v>1</v>
      </c>
      <c r="D19" s="27" t="s">
        <v>244</v>
      </c>
      <c r="E19" s="27" t="s">
        <v>418</v>
      </c>
      <c r="F19" s="31"/>
      <c r="G19" s="27"/>
      <c r="H19" s="32" t="str">
        <f aca="false">IF(A19="","",A19&amp;"|"&amp;COUNTIF($A$6:A19,A19))</f>
        <v>04 · FUTINHOMU01|2</v>
      </c>
    </row>
    <row r="20" customFormat="false" ht="15" hidden="false" customHeight="false" outlineLevel="0" collapsed="false">
      <c r="A20" s="27" t="s">
        <v>101</v>
      </c>
      <c r="B20" s="27" t="s">
        <v>420</v>
      </c>
      <c r="C20" s="27" t="n">
        <v>2</v>
      </c>
      <c r="D20" s="27" t="s">
        <v>244</v>
      </c>
      <c r="E20" s="27" t="s">
        <v>418</v>
      </c>
      <c r="F20" s="31"/>
      <c r="G20" s="27"/>
      <c r="H20" s="32" t="str">
        <f aca="false">IF(A20="","",A20&amp;"|"&amp;COUNTIF($A$6:A20,A20))</f>
        <v>04 · FUTINHOMU01|3</v>
      </c>
    </row>
    <row r="21" customFormat="false" ht="15" hidden="false" customHeight="false" outlineLevel="0" collapsed="false">
      <c r="A21" s="27" t="s">
        <v>101</v>
      </c>
      <c r="B21" s="27" t="s">
        <v>421</v>
      </c>
      <c r="C21" s="27" t="n">
        <v>1</v>
      </c>
      <c r="D21" s="27" t="s">
        <v>244</v>
      </c>
      <c r="E21" s="27" t="s">
        <v>418</v>
      </c>
      <c r="F21" s="31"/>
      <c r="G21" s="27"/>
      <c r="H21" s="32" t="str">
        <f aca="false">IF(A21="","",A21&amp;"|"&amp;COUNTIF($A$6:A21,A21))</f>
        <v>04 · FUTINHOMU01|4</v>
      </c>
    </row>
    <row r="22" customFormat="false" ht="15" hidden="false" customHeight="false" outlineLevel="0" collapsed="false">
      <c r="A22" s="27" t="s">
        <v>106</v>
      </c>
      <c r="B22" s="27" t="s">
        <v>417</v>
      </c>
      <c r="C22" s="27" t="n">
        <v>1</v>
      </c>
      <c r="D22" s="27" t="s">
        <v>244</v>
      </c>
      <c r="E22" s="27" t="s">
        <v>418</v>
      </c>
      <c r="F22" s="31"/>
      <c r="G22" s="27"/>
      <c r="H22" s="32" t="str">
        <f aca="false">IF(A22="","",A22&amp;"|"&amp;COUNTIF($A$6:A22,A22))</f>
        <v>05 · FUTMUJV01|1</v>
      </c>
    </row>
    <row r="23" customFormat="false" ht="15" hidden="false" customHeight="false" outlineLevel="0" collapsed="false">
      <c r="A23" s="27" t="s">
        <v>106</v>
      </c>
      <c r="B23" s="27" t="s">
        <v>419</v>
      </c>
      <c r="C23" s="27" t="n">
        <v>1</v>
      </c>
      <c r="D23" s="27" t="s">
        <v>244</v>
      </c>
      <c r="E23" s="27" t="s">
        <v>418</v>
      </c>
      <c r="F23" s="31"/>
      <c r="G23" s="27"/>
      <c r="H23" s="32" t="str">
        <f aca="false">IF(A23="","",A23&amp;"|"&amp;COUNTIF($A$6:A23,A23))</f>
        <v>05 · FUTMUJV01|2</v>
      </c>
    </row>
    <row r="24" customFormat="false" ht="15" hidden="false" customHeight="false" outlineLevel="0" collapsed="false">
      <c r="A24" s="27" t="s">
        <v>106</v>
      </c>
      <c r="B24" s="27" t="s">
        <v>420</v>
      </c>
      <c r="C24" s="27" t="n">
        <v>2</v>
      </c>
      <c r="D24" s="27" t="s">
        <v>244</v>
      </c>
      <c r="E24" s="27" t="s">
        <v>418</v>
      </c>
      <c r="F24" s="31"/>
      <c r="G24" s="27"/>
      <c r="H24" s="32" t="str">
        <f aca="false">IF(A24="","",A24&amp;"|"&amp;COUNTIF($A$6:A24,A24))</f>
        <v>05 · FUTMUJV01|3</v>
      </c>
    </row>
    <row r="25" customFormat="false" ht="15" hidden="false" customHeight="false" outlineLevel="0" collapsed="false">
      <c r="A25" s="27" t="s">
        <v>106</v>
      </c>
      <c r="B25" s="27" t="s">
        <v>421</v>
      </c>
      <c r="C25" s="27" t="n">
        <v>1</v>
      </c>
      <c r="D25" s="27" t="s">
        <v>244</v>
      </c>
      <c r="E25" s="27" t="s">
        <v>418</v>
      </c>
      <c r="F25" s="31"/>
      <c r="G25" s="27"/>
      <c r="H25" s="32" t="str">
        <f aca="false">IF(A25="","",A25&amp;"|"&amp;COUNTIF($A$6:A25,A25))</f>
        <v>05 · FUTMUJV01|4</v>
      </c>
    </row>
    <row r="26" customFormat="false" ht="15" hidden="false" customHeight="false" outlineLevel="0" collapsed="false">
      <c r="A26" s="27" t="s">
        <v>108</v>
      </c>
      <c r="B26" s="27" t="s">
        <v>417</v>
      </c>
      <c r="C26" s="27" t="n">
        <v>1</v>
      </c>
      <c r="D26" s="27" t="s">
        <v>244</v>
      </c>
      <c r="E26" s="27" t="s">
        <v>418</v>
      </c>
      <c r="F26" s="31"/>
      <c r="G26" s="27"/>
      <c r="H26" s="32" t="str">
        <f aca="false">IF(A26="","",A26&amp;"|"&amp;COUNTIF($A$6:A26,A26))</f>
        <v>06 · FUTHOMV01|1</v>
      </c>
    </row>
    <row r="27" customFormat="false" ht="15" hidden="false" customHeight="false" outlineLevel="0" collapsed="false">
      <c r="A27" s="27" t="s">
        <v>108</v>
      </c>
      <c r="B27" s="27" t="s">
        <v>419</v>
      </c>
      <c r="C27" s="27" t="n">
        <v>1</v>
      </c>
      <c r="D27" s="27" t="s">
        <v>244</v>
      </c>
      <c r="E27" s="27" t="s">
        <v>418</v>
      </c>
      <c r="F27" s="31"/>
      <c r="G27" s="27"/>
      <c r="H27" s="32" t="str">
        <f aca="false">IF(A27="","",A27&amp;"|"&amp;COUNTIF($A$6:A27,A27))</f>
        <v>06 · FUTHOMV01|2</v>
      </c>
    </row>
    <row r="28" customFormat="false" ht="15" hidden="false" customHeight="false" outlineLevel="0" collapsed="false">
      <c r="A28" s="27" t="s">
        <v>108</v>
      </c>
      <c r="B28" s="27" t="s">
        <v>420</v>
      </c>
      <c r="C28" s="27" t="n">
        <v>2</v>
      </c>
      <c r="D28" s="27" t="s">
        <v>244</v>
      </c>
      <c r="E28" s="27" t="s">
        <v>418</v>
      </c>
      <c r="F28" s="31"/>
      <c r="G28" s="27"/>
      <c r="H28" s="32" t="str">
        <f aca="false">IF(A28="","",A28&amp;"|"&amp;COUNTIF($A$6:A28,A28))</f>
        <v>06 · FUTHOMV01|3</v>
      </c>
    </row>
    <row r="29" customFormat="false" ht="15" hidden="false" customHeight="false" outlineLevel="0" collapsed="false">
      <c r="A29" s="27" t="s">
        <v>108</v>
      </c>
      <c r="B29" s="27" t="s">
        <v>421</v>
      </c>
      <c r="C29" s="27" t="n">
        <v>1</v>
      </c>
      <c r="D29" s="27" t="s">
        <v>244</v>
      </c>
      <c r="E29" s="27" t="s">
        <v>418</v>
      </c>
      <c r="F29" s="31"/>
      <c r="G29" s="27"/>
      <c r="H29" s="32" t="str">
        <f aca="false">IF(A29="","",A29&amp;"|"&amp;COUNTIF($A$6:A29,A29))</f>
        <v>06 · FUTHOMV01|4</v>
      </c>
    </row>
    <row r="30" customFormat="false" ht="15" hidden="false" customHeight="false" outlineLevel="0" collapsed="false">
      <c r="A30" s="27" t="s">
        <v>109</v>
      </c>
      <c r="B30" s="27" t="s">
        <v>417</v>
      </c>
      <c r="C30" s="27" t="n">
        <v>1</v>
      </c>
      <c r="D30" s="27" t="s">
        <v>244</v>
      </c>
      <c r="E30" s="27" t="s">
        <v>418</v>
      </c>
      <c r="F30" s="31"/>
      <c r="G30" s="27"/>
      <c r="H30" s="32" t="str">
        <f aca="false">IF(A30="","",A30&amp;"|"&amp;COUNTIF($A$6:A30,A30))</f>
        <v>07 · FUTINMUJV01|1</v>
      </c>
    </row>
    <row r="31" customFormat="false" ht="15" hidden="false" customHeight="false" outlineLevel="0" collapsed="false">
      <c r="A31" s="27" t="s">
        <v>109</v>
      </c>
      <c r="B31" s="27" t="s">
        <v>419</v>
      </c>
      <c r="C31" s="27" t="n">
        <v>1</v>
      </c>
      <c r="D31" s="27" t="s">
        <v>244</v>
      </c>
      <c r="E31" s="27" t="s">
        <v>418</v>
      </c>
      <c r="F31" s="31"/>
      <c r="G31" s="27"/>
      <c r="H31" s="32" t="str">
        <f aca="false">IF(A31="","",A31&amp;"|"&amp;COUNTIF($A$6:A31,A31))</f>
        <v>07 · FUTINMUJV01|2</v>
      </c>
    </row>
    <row r="32" customFormat="false" ht="15" hidden="false" customHeight="false" outlineLevel="0" collapsed="false">
      <c r="A32" s="27" t="s">
        <v>109</v>
      </c>
      <c r="B32" s="27" t="s">
        <v>420</v>
      </c>
      <c r="C32" s="27" t="n">
        <v>2</v>
      </c>
      <c r="D32" s="27" t="s">
        <v>244</v>
      </c>
      <c r="E32" s="27" t="s">
        <v>418</v>
      </c>
      <c r="F32" s="31"/>
      <c r="G32" s="27"/>
      <c r="H32" s="32" t="str">
        <f aca="false">IF(A32="","",A32&amp;"|"&amp;COUNTIF($A$6:A32,A32))</f>
        <v>07 · FUTINMUJV01|3</v>
      </c>
    </row>
    <row r="33" customFormat="false" ht="15" hidden="false" customHeight="false" outlineLevel="0" collapsed="false">
      <c r="A33" s="27" t="s">
        <v>109</v>
      </c>
      <c r="B33" s="27" t="s">
        <v>421</v>
      </c>
      <c r="C33" s="27" t="n">
        <v>1</v>
      </c>
      <c r="D33" s="27" t="s">
        <v>244</v>
      </c>
      <c r="E33" s="27" t="s">
        <v>418</v>
      </c>
      <c r="F33" s="31"/>
      <c r="G33" s="27"/>
      <c r="H33" s="32" t="str">
        <f aca="false">IF(A33="","",A33&amp;"|"&amp;COUNTIF($A$6:A33,A33))</f>
        <v>07 · FUTINMUJV01|4</v>
      </c>
    </row>
    <row r="34" customFormat="false" ht="15" hidden="false" customHeight="false" outlineLevel="0" collapsed="false">
      <c r="A34" s="27" t="s">
        <v>111</v>
      </c>
      <c r="B34" s="27" t="s">
        <v>417</v>
      </c>
      <c r="C34" s="27" t="n">
        <v>1</v>
      </c>
      <c r="D34" s="27" t="s">
        <v>244</v>
      </c>
      <c r="E34" s="27" t="s">
        <v>418</v>
      </c>
      <c r="F34" s="31"/>
      <c r="G34" s="27"/>
      <c r="H34" s="32" t="str">
        <f aca="false">IF(A34="","",A34&amp;"|"&amp;COUNTIF($A$6:A34,A34))</f>
        <v>08 · FUTINHOMV01|1</v>
      </c>
    </row>
    <row r="35" customFormat="false" ht="15" hidden="false" customHeight="false" outlineLevel="0" collapsed="false">
      <c r="A35" s="27" t="s">
        <v>111</v>
      </c>
      <c r="B35" s="27" t="s">
        <v>419</v>
      </c>
      <c r="C35" s="27" t="n">
        <v>1</v>
      </c>
      <c r="D35" s="27" t="s">
        <v>244</v>
      </c>
      <c r="E35" s="27" t="s">
        <v>418</v>
      </c>
      <c r="F35" s="31"/>
      <c r="G35" s="27"/>
      <c r="H35" s="32" t="str">
        <f aca="false">IF(A35="","",A35&amp;"|"&amp;COUNTIF($A$6:A35,A35))</f>
        <v>08 · FUTINHOMV01|2</v>
      </c>
    </row>
    <row r="36" customFormat="false" ht="15" hidden="false" customHeight="false" outlineLevel="0" collapsed="false">
      <c r="A36" s="27" t="s">
        <v>111</v>
      </c>
      <c r="B36" s="27" t="s">
        <v>420</v>
      </c>
      <c r="C36" s="27" t="n">
        <v>2</v>
      </c>
      <c r="D36" s="27" t="s">
        <v>244</v>
      </c>
      <c r="E36" s="27" t="s">
        <v>418</v>
      </c>
      <c r="F36" s="31"/>
      <c r="G36" s="27"/>
      <c r="H36" s="32" t="str">
        <f aca="false">IF(A36="","",A36&amp;"|"&amp;COUNTIF($A$6:A36,A36))</f>
        <v>08 · FUTINHOMV01|3</v>
      </c>
    </row>
    <row r="37" customFormat="false" ht="15" hidden="false" customHeight="false" outlineLevel="0" collapsed="false">
      <c r="A37" s="27" t="s">
        <v>111</v>
      </c>
      <c r="B37" s="27" t="s">
        <v>421</v>
      </c>
      <c r="C37" s="27" t="n">
        <v>1</v>
      </c>
      <c r="D37" s="27" t="s">
        <v>244</v>
      </c>
      <c r="E37" s="27" t="s">
        <v>418</v>
      </c>
      <c r="F37" s="31"/>
      <c r="G37" s="27"/>
      <c r="H37" s="32" t="str">
        <f aca="false">IF(A37="","",A37&amp;"|"&amp;COUNTIF($A$6:A37,A37))</f>
        <v>08 · FUTINHOMV01|4</v>
      </c>
    </row>
    <row r="38" customFormat="false" ht="15" hidden="false" customHeight="false" outlineLevel="0" collapsed="false">
      <c r="A38" s="27" t="s">
        <v>112</v>
      </c>
      <c r="B38" s="27" t="s">
        <v>417</v>
      </c>
      <c r="C38" s="27" t="n">
        <v>1</v>
      </c>
      <c r="D38" s="27" t="s">
        <v>244</v>
      </c>
      <c r="E38" s="27" t="s">
        <v>418</v>
      </c>
      <c r="F38" s="31"/>
      <c r="G38" s="27"/>
      <c r="H38" s="32" t="str">
        <f aca="false">IF(A38="","",A38&amp;"|"&amp;COUNTIF($A$6:A38,A38))</f>
        <v>09 · FUTMUJCC01|1</v>
      </c>
    </row>
    <row r="39" customFormat="false" ht="15" hidden="false" customHeight="false" outlineLevel="0" collapsed="false">
      <c r="A39" s="27" t="s">
        <v>112</v>
      </c>
      <c r="B39" s="27" t="s">
        <v>419</v>
      </c>
      <c r="C39" s="27" t="n">
        <v>1</v>
      </c>
      <c r="D39" s="27" t="s">
        <v>244</v>
      </c>
      <c r="E39" s="27" t="s">
        <v>418</v>
      </c>
      <c r="F39" s="31"/>
      <c r="G39" s="27"/>
      <c r="H39" s="32" t="str">
        <f aca="false">IF(A39="","",A39&amp;"|"&amp;COUNTIF($A$6:A39,A39))</f>
        <v>09 · FUTMUJCC01|2</v>
      </c>
    </row>
    <row r="40" customFormat="false" ht="15" hidden="false" customHeight="false" outlineLevel="0" collapsed="false">
      <c r="A40" s="27" t="s">
        <v>112</v>
      </c>
      <c r="B40" s="27" t="s">
        <v>420</v>
      </c>
      <c r="C40" s="27" t="n">
        <v>2</v>
      </c>
      <c r="D40" s="27" t="s">
        <v>244</v>
      </c>
      <c r="E40" s="27" t="s">
        <v>418</v>
      </c>
      <c r="F40" s="31"/>
      <c r="G40" s="27"/>
      <c r="H40" s="32" t="str">
        <f aca="false">IF(A40="","",A40&amp;"|"&amp;COUNTIF($A$6:A40,A40))</f>
        <v>09 · FUTMUJCC01|3</v>
      </c>
    </row>
    <row r="41" customFormat="false" ht="15" hidden="false" customHeight="false" outlineLevel="0" collapsed="false">
      <c r="A41" s="27" t="s">
        <v>112</v>
      </c>
      <c r="B41" s="27" t="s">
        <v>422</v>
      </c>
      <c r="C41" s="27" t="n">
        <v>1</v>
      </c>
      <c r="D41" s="27" t="s">
        <v>244</v>
      </c>
      <c r="E41" s="27" t="s">
        <v>418</v>
      </c>
      <c r="F41" s="31"/>
      <c r="G41" s="27"/>
      <c r="H41" s="32" t="str">
        <f aca="false">IF(A41="","",A41&amp;"|"&amp;COUNTIF($A$6:A41,A41))</f>
        <v>09 · FUTMUJCC01|4</v>
      </c>
    </row>
    <row r="42" customFormat="false" ht="15" hidden="false" customHeight="false" outlineLevel="0" collapsed="false">
      <c r="A42" s="27" t="s">
        <v>114</v>
      </c>
      <c r="B42" s="27" t="s">
        <v>417</v>
      </c>
      <c r="C42" s="27" t="n">
        <v>1</v>
      </c>
      <c r="D42" s="27" t="s">
        <v>244</v>
      </c>
      <c r="E42" s="27" t="s">
        <v>418</v>
      </c>
      <c r="F42" s="31"/>
      <c r="G42" s="27"/>
      <c r="H42" s="32" t="str">
        <f aca="false">IF(A42="","",A42&amp;"|"&amp;COUNTIF($A$6:A42,A42))</f>
        <v>10 · FUTHOMCC01|1</v>
      </c>
    </row>
    <row r="43" customFormat="false" ht="15" hidden="false" customHeight="false" outlineLevel="0" collapsed="false">
      <c r="A43" s="27" t="s">
        <v>114</v>
      </c>
      <c r="B43" s="27" t="s">
        <v>419</v>
      </c>
      <c r="C43" s="27" t="n">
        <v>1</v>
      </c>
      <c r="D43" s="27" t="s">
        <v>244</v>
      </c>
      <c r="E43" s="27" t="s">
        <v>418</v>
      </c>
      <c r="F43" s="31"/>
      <c r="G43" s="27"/>
      <c r="H43" s="32" t="str">
        <f aca="false">IF(A43="","",A43&amp;"|"&amp;COUNTIF($A$6:A43,A43))</f>
        <v>10 · FUTHOMCC01|2</v>
      </c>
    </row>
    <row r="44" customFormat="false" ht="15" hidden="false" customHeight="false" outlineLevel="0" collapsed="false">
      <c r="A44" s="27" t="s">
        <v>114</v>
      </c>
      <c r="B44" s="27" t="s">
        <v>420</v>
      </c>
      <c r="C44" s="27" t="n">
        <v>2</v>
      </c>
      <c r="D44" s="27" t="s">
        <v>244</v>
      </c>
      <c r="E44" s="27" t="s">
        <v>418</v>
      </c>
      <c r="F44" s="31"/>
      <c r="G44" s="27"/>
      <c r="H44" s="32" t="str">
        <f aca="false">IF(A44="","",A44&amp;"|"&amp;COUNTIF($A$6:A44,A44))</f>
        <v>10 · FUTHOMCC01|3</v>
      </c>
    </row>
    <row r="45" customFormat="false" ht="15" hidden="false" customHeight="false" outlineLevel="0" collapsed="false">
      <c r="A45" s="27" t="s">
        <v>114</v>
      </c>
      <c r="B45" s="27" t="s">
        <v>422</v>
      </c>
      <c r="C45" s="27" t="n">
        <v>1</v>
      </c>
      <c r="D45" s="27" t="s">
        <v>244</v>
      </c>
      <c r="E45" s="27" t="s">
        <v>418</v>
      </c>
      <c r="F45" s="31"/>
      <c r="G45" s="27"/>
      <c r="H45" s="32" t="str">
        <f aca="false">IF(A45="","",A45&amp;"|"&amp;COUNTIF($A$6:A45,A45))</f>
        <v>10 · FUTHOMCC01|4</v>
      </c>
    </row>
    <row r="46" customFormat="false" ht="15" hidden="false" customHeight="false" outlineLevel="0" collapsed="false">
      <c r="A46" s="27" t="s">
        <v>115</v>
      </c>
      <c r="B46" s="27" t="s">
        <v>417</v>
      </c>
      <c r="C46" s="27" t="n">
        <v>1</v>
      </c>
      <c r="D46" s="27" t="s">
        <v>244</v>
      </c>
      <c r="E46" s="27" t="s">
        <v>418</v>
      </c>
      <c r="F46" s="31"/>
      <c r="G46" s="27"/>
      <c r="H46" s="32" t="str">
        <f aca="false">IF(A46="","",A46&amp;"|"&amp;COUNTIF($A$6:A46,A46))</f>
        <v>11 · FUTINMUJCC01|1</v>
      </c>
    </row>
    <row r="47" customFormat="false" ht="15" hidden="false" customHeight="false" outlineLevel="0" collapsed="false">
      <c r="A47" s="27" t="s">
        <v>115</v>
      </c>
      <c r="B47" s="27" t="s">
        <v>419</v>
      </c>
      <c r="C47" s="27" t="n">
        <v>1</v>
      </c>
      <c r="D47" s="27" t="s">
        <v>244</v>
      </c>
      <c r="E47" s="27" t="s">
        <v>418</v>
      </c>
      <c r="F47" s="31"/>
      <c r="G47" s="27"/>
      <c r="H47" s="32" t="str">
        <f aca="false">IF(A47="","",A47&amp;"|"&amp;COUNTIF($A$6:A47,A47))</f>
        <v>11 · FUTINMUJCC01|2</v>
      </c>
    </row>
    <row r="48" customFormat="false" ht="15" hidden="false" customHeight="false" outlineLevel="0" collapsed="false">
      <c r="A48" s="27" t="s">
        <v>115</v>
      </c>
      <c r="B48" s="27" t="s">
        <v>420</v>
      </c>
      <c r="C48" s="27" t="n">
        <v>2</v>
      </c>
      <c r="D48" s="27" t="s">
        <v>244</v>
      </c>
      <c r="E48" s="27" t="s">
        <v>418</v>
      </c>
      <c r="F48" s="31"/>
      <c r="G48" s="27"/>
      <c r="H48" s="32" t="str">
        <f aca="false">IF(A48="","",A48&amp;"|"&amp;COUNTIF($A$6:A48,A48))</f>
        <v>11 · FUTINMUJCC01|3</v>
      </c>
    </row>
    <row r="49" customFormat="false" ht="15" hidden="false" customHeight="false" outlineLevel="0" collapsed="false">
      <c r="A49" s="27" t="s">
        <v>115</v>
      </c>
      <c r="B49" s="27" t="s">
        <v>422</v>
      </c>
      <c r="C49" s="27" t="n">
        <v>1</v>
      </c>
      <c r="D49" s="27" t="s">
        <v>244</v>
      </c>
      <c r="E49" s="27" t="s">
        <v>418</v>
      </c>
      <c r="F49" s="31"/>
      <c r="G49" s="27"/>
      <c r="H49" s="32" t="str">
        <f aca="false">IF(A49="","",A49&amp;"|"&amp;COUNTIF($A$6:A49,A49))</f>
        <v>11 · FUTINMUJCC01|4</v>
      </c>
    </row>
    <row r="50" customFormat="false" ht="15" hidden="false" customHeight="false" outlineLevel="0" collapsed="false">
      <c r="A50" s="27" t="s">
        <v>117</v>
      </c>
      <c r="B50" s="27" t="s">
        <v>417</v>
      </c>
      <c r="C50" s="27" t="n">
        <v>1</v>
      </c>
      <c r="D50" s="27" t="s">
        <v>244</v>
      </c>
      <c r="E50" s="27" t="s">
        <v>418</v>
      </c>
      <c r="F50" s="31"/>
      <c r="G50" s="27"/>
      <c r="H50" s="32" t="str">
        <f aca="false">IF(A50="","",A50&amp;"|"&amp;COUNTIF($A$6:A50,A50))</f>
        <v>12 · FUTINHOMCC01|1</v>
      </c>
    </row>
    <row r="51" customFormat="false" ht="15" hidden="false" customHeight="false" outlineLevel="0" collapsed="false">
      <c r="A51" s="27" t="s">
        <v>117</v>
      </c>
      <c r="B51" s="27" t="s">
        <v>419</v>
      </c>
      <c r="C51" s="27" t="n">
        <v>1</v>
      </c>
      <c r="D51" s="27" t="s">
        <v>244</v>
      </c>
      <c r="E51" s="27" t="s">
        <v>418</v>
      </c>
      <c r="F51" s="31"/>
      <c r="G51" s="27"/>
      <c r="H51" s="32" t="str">
        <f aca="false">IF(A51="","",A51&amp;"|"&amp;COUNTIF($A$6:A51,A51))</f>
        <v>12 · FUTINHOMCC01|2</v>
      </c>
    </row>
    <row r="52" customFormat="false" ht="15" hidden="false" customHeight="false" outlineLevel="0" collapsed="false">
      <c r="A52" s="27" t="s">
        <v>117</v>
      </c>
      <c r="B52" s="27" t="s">
        <v>420</v>
      </c>
      <c r="C52" s="27" t="n">
        <v>2</v>
      </c>
      <c r="D52" s="27" t="s">
        <v>244</v>
      </c>
      <c r="E52" s="27" t="s">
        <v>418</v>
      </c>
      <c r="F52" s="31"/>
      <c r="G52" s="27"/>
      <c r="H52" s="32" t="str">
        <f aca="false">IF(A52="","",A52&amp;"|"&amp;COUNTIF($A$6:A52,A52))</f>
        <v>12 · FUTINHOMCC01|3</v>
      </c>
    </row>
    <row r="53" customFormat="false" ht="15" hidden="false" customHeight="false" outlineLevel="0" collapsed="false">
      <c r="A53" s="27" t="s">
        <v>117</v>
      </c>
      <c r="B53" s="27" t="s">
        <v>422</v>
      </c>
      <c r="C53" s="27" t="n">
        <v>1</v>
      </c>
      <c r="D53" s="27" t="s">
        <v>244</v>
      </c>
      <c r="E53" s="27" t="s">
        <v>418</v>
      </c>
      <c r="F53" s="31"/>
      <c r="G53" s="27"/>
      <c r="H53" s="32" t="str">
        <f aca="false">IF(A53="","",A53&amp;"|"&amp;COUNTIF($A$6:A53,A53))</f>
        <v>12 · FUTINHOMCC01|4</v>
      </c>
    </row>
    <row r="54" customFormat="false" ht="15" hidden="false" customHeight="false" outlineLevel="0" collapsed="false">
      <c r="A54" s="27" t="s">
        <v>118</v>
      </c>
      <c r="B54" s="27" t="s">
        <v>417</v>
      </c>
      <c r="C54" s="27" t="n">
        <v>1</v>
      </c>
      <c r="D54" s="27" t="s">
        <v>244</v>
      </c>
      <c r="E54" s="27" t="s">
        <v>418</v>
      </c>
      <c r="F54" s="31"/>
      <c r="G54" s="27"/>
      <c r="H54" s="32" t="str">
        <f aca="false">IF(A54="","",A54&amp;"|"&amp;COUNTIF($A$6:A54,A54))</f>
        <v>13 · FUTMUJU01PRO|1</v>
      </c>
    </row>
    <row r="55" customFormat="false" ht="15" hidden="false" customHeight="false" outlineLevel="0" collapsed="false">
      <c r="A55" s="27" t="s">
        <v>118</v>
      </c>
      <c r="B55" s="27" t="s">
        <v>419</v>
      </c>
      <c r="C55" s="27" t="n">
        <v>1</v>
      </c>
      <c r="D55" s="27" t="s">
        <v>244</v>
      </c>
      <c r="E55" s="27" t="s">
        <v>418</v>
      </c>
      <c r="F55" s="31"/>
      <c r="G55" s="27"/>
      <c r="H55" s="32" t="str">
        <f aca="false">IF(A55="","",A55&amp;"|"&amp;COUNTIF($A$6:A55,A55))</f>
        <v>13 · FUTMUJU01PRO|2</v>
      </c>
    </row>
    <row r="56" customFormat="false" ht="15" hidden="false" customHeight="false" outlineLevel="0" collapsed="false">
      <c r="A56" s="27" t="s">
        <v>118</v>
      </c>
      <c r="B56" s="27" t="s">
        <v>420</v>
      </c>
      <c r="C56" s="27" t="n">
        <v>2</v>
      </c>
      <c r="D56" s="27" t="s">
        <v>244</v>
      </c>
      <c r="E56" s="27" t="s">
        <v>418</v>
      </c>
      <c r="F56" s="31"/>
      <c r="G56" s="27"/>
      <c r="H56" s="32" t="str">
        <f aca="false">IF(A56="","",A56&amp;"|"&amp;COUNTIF($A$6:A56,A56))</f>
        <v>13 · FUTMUJU01PRO|3</v>
      </c>
    </row>
    <row r="57" customFormat="false" ht="15" hidden="false" customHeight="false" outlineLevel="0" collapsed="false">
      <c r="A57" s="27" t="s">
        <v>118</v>
      </c>
      <c r="B57" s="27" t="s">
        <v>421</v>
      </c>
      <c r="C57" s="27" t="n">
        <v>1</v>
      </c>
      <c r="D57" s="27" t="s">
        <v>244</v>
      </c>
      <c r="E57" s="27" t="s">
        <v>418</v>
      </c>
      <c r="F57" s="31"/>
      <c r="G57" s="27"/>
      <c r="H57" s="32" t="str">
        <f aca="false">IF(A57="","",A57&amp;"|"&amp;COUNTIF($A$6:A57,A57))</f>
        <v>13 · FUTMUJU01PRO|4</v>
      </c>
    </row>
    <row r="58" customFormat="false" ht="15" hidden="false" customHeight="false" outlineLevel="0" collapsed="false">
      <c r="A58" s="27" t="s">
        <v>118</v>
      </c>
      <c r="B58" s="27" t="s">
        <v>423</v>
      </c>
      <c r="C58" s="27" t="n">
        <v>2</v>
      </c>
      <c r="D58" s="27" t="s">
        <v>72</v>
      </c>
      <c r="E58" s="27" t="s">
        <v>418</v>
      </c>
      <c r="F58" s="31"/>
      <c r="G58" s="27"/>
      <c r="H58" s="32" t="str">
        <f aca="false">IF(A58="","",A58&amp;"|"&amp;COUNTIF($A$6:A58,A58))</f>
        <v>13 · FUTMUJU01PRO|5</v>
      </c>
    </row>
    <row r="59" customFormat="false" ht="15" hidden="false" customHeight="false" outlineLevel="0" collapsed="false">
      <c r="A59" s="27" t="s">
        <v>4</v>
      </c>
      <c r="B59" s="27" t="s">
        <v>417</v>
      </c>
      <c r="C59" s="27" t="n">
        <v>1</v>
      </c>
      <c r="D59" s="27" t="s">
        <v>244</v>
      </c>
      <c r="E59" s="27" t="s">
        <v>418</v>
      </c>
      <c r="F59" s="31"/>
      <c r="G59" s="27"/>
      <c r="H59" s="32" t="str">
        <f aca="false">IF(A59="","",A59&amp;"|"&amp;COUNTIF($A$6:A59,A59))</f>
        <v>14 · FUTHOMU01PRO|1</v>
      </c>
    </row>
    <row r="60" customFormat="false" ht="15" hidden="false" customHeight="false" outlineLevel="0" collapsed="false">
      <c r="A60" s="27" t="s">
        <v>4</v>
      </c>
      <c r="B60" s="27" t="s">
        <v>419</v>
      </c>
      <c r="C60" s="27" t="n">
        <v>1</v>
      </c>
      <c r="D60" s="27" t="s">
        <v>244</v>
      </c>
      <c r="E60" s="27" t="s">
        <v>418</v>
      </c>
      <c r="F60" s="31"/>
      <c r="G60" s="27"/>
      <c r="H60" s="32" t="str">
        <f aca="false">IF(A60="","",A60&amp;"|"&amp;COUNTIF($A$6:A60,A60))</f>
        <v>14 · FUTHOMU01PRO|2</v>
      </c>
    </row>
    <row r="61" customFormat="false" ht="15" hidden="false" customHeight="false" outlineLevel="0" collapsed="false">
      <c r="A61" s="27" t="s">
        <v>4</v>
      </c>
      <c r="B61" s="27" t="s">
        <v>420</v>
      </c>
      <c r="C61" s="27" t="n">
        <v>2</v>
      </c>
      <c r="D61" s="27" t="s">
        <v>244</v>
      </c>
      <c r="E61" s="27" t="s">
        <v>418</v>
      </c>
      <c r="F61" s="31"/>
      <c r="G61" s="27"/>
      <c r="H61" s="32" t="str">
        <f aca="false">IF(A61="","",A61&amp;"|"&amp;COUNTIF($A$6:A61,A61))</f>
        <v>14 · FUTHOMU01PRO|3</v>
      </c>
    </row>
    <row r="62" customFormat="false" ht="15" hidden="false" customHeight="false" outlineLevel="0" collapsed="false">
      <c r="A62" s="27" t="s">
        <v>4</v>
      </c>
      <c r="B62" s="27" t="s">
        <v>421</v>
      </c>
      <c r="C62" s="27" t="n">
        <v>1</v>
      </c>
      <c r="D62" s="27" t="s">
        <v>244</v>
      </c>
      <c r="E62" s="27" t="s">
        <v>418</v>
      </c>
      <c r="F62" s="31"/>
      <c r="G62" s="27"/>
      <c r="H62" s="32" t="str">
        <f aca="false">IF(A62="","",A62&amp;"|"&amp;COUNTIF($A$6:A62,A62))</f>
        <v>14 · FUTHOMU01PRO|4</v>
      </c>
    </row>
    <row r="63" customFormat="false" ht="15" hidden="false" customHeight="false" outlineLevel="0" collapsed="false">
      <c r="A63" s="27" t="s">
        <v>4</v>
      </c>
      <c r="B63" s="27" t="s">
        <v>423</v>
      </c>
      <c r="C63" s="27" t="n">
        <v>2</v>
      </c>
      <c r="D63" s="27" t="s">
        <v>72</v>
      </c>
      <c r="E63" s="27" t="s">
        <v>418</v>
      </c>
      <c r="F63" s="31"/>
      <c r="G63" s="27"/>
      <c r="H63" s="32" t="str">
        <f aca="false">IF(A63="","",A63&amp;"|"&amp;COUNTIF($A$6:A63,A63))</f>
        <v>14 · FUTHOMU01PRO|5</v>
      </c>
    </row>
    <row r="64" customFormat="false" ht="15" hidden="false" customHeight="false" outlineLevel="0" collapsed="false">
      <c r="A64" s="27" t="s">
        <v>123</v>
      </c>
      <c r="B64" s="27" t="s">
        <v>417</v>
      </c>
      <c r="C64" s="27" t="n">
        <v>1</v>
      </c>
      <c r="D64" s="27" t="s">
        <v>244</v>
      </c>
      <c r="E64" s="27" t="s">
        <v>418</v>
      </c>
      <c r="F64" s="31"/>
      <c r="G64" s="27"/>
      <c r="H64" s="32" t="str">
        <f aca="false">IF(A64="","",A64&amp;"|"&amp;COUNTIF($A$6:A64,A64))</f>
        <v>15 · FUTMUJV01PRO|1</v>
      </c>
    </row>
    <row r="65" customFormat="false" ht="15" hidden="false" customHeight="false" outlineLevel="0" collapsed="false">
      <c r="A65" s="27" t="s">
        <v>123</v>
      </c>
      <c r="B65" s="27" t="s">
        <v>419</v>
      </c>
      <c r="C65" s="27" t="n">
        <v>1</v>
      </c>
      <c r="D65" s="27" t="s">
        <v>244</v>
      </c>
      <c r="E65" s="27" t="s">
        <v>418</v>
      </c>
      <c r="F65" s="31"/>
      <c r="G65" s="27"/>
      <c r="H65" s="32" t="str">
        <f aca="false">IF(A65="","",A65&amp;"|"&amp;COUNTIF($A$6:A65,A65))</f>
        <v>15 · FUTMUJV01PRO|2</v>
      </c>
    </row>
    <row r="66" customFormat="false" ht="15" hidden="false" customHeight="false" outlineLevel="0" collapsed="false">
      <c r="A66" s="27" t="s">
        <v>123</v>
      </c>
      <c r="B66" s="27" t="s">
        <v>420</v>
      </c>
      <c r="C66" s="27" t="n">
        <v>2</v>
      </c>
      <c r="D66" s="27" t="s">
        <v>244</v>
      </c>
      <c r="E66" s="27" t="s">
        <v>418</v>
      </c>
      <c r="F66" s="31"/>
      <c r="G66" s="27"/>
      <c r="H66" s="32" t="str">
        <f aca="false">IF(A66="","",A66&amp;"|"&amp;COUNTIF($A$6:A66,A66))</f>
        <v>15 · FUTMUJV01PRO|3</v>
      </c>
    </row>
    <row r="67" customFormat="false" ht="15" hidden="false" customHeight="false" outlineLevel="0" collapsed="false">
      <c r="A67" s="27" t="s">
        <v>123</v>
      </c>
      <c r="B67" s="27" t="s">
        <v>421</v>
      </c>
      <c r="C67" s="27" t="n">
        <v>1</v>
      </c>
      <c r="D67" s="27" t="s">
        <v>244</v>
      </c>
      <c r="E67" s="27" t="s">
        <v>418</v>
      </c>
      <c r="F67" s="31"/>
      <c r="G67" s="27"/>
      <c r="H67" s="32" t="str">
        <f aca="false">IF(A67="","",A67&amp;"|"&amp;COUNTIF($A$6:A67,A67))</f>
        <v>15 · FUTMUJV01PRO|4</v>
      </c>
    </row>
    <row r="68" customFormat="false" ht="15" hidden="false" customHeight="false" outlineLevel="0" collapsed="false">
      <c r="A68" s="27" t="s">
        <v>123</v>
      </c>
      <c r="B68" s="27" t="s">
        <v>423</v>
      </c>
      <c r="C68" s="27" t="n">
        <v>2</v>
      </c>
      <c r="D68" s="27" t="s">
        <v>72</v>
      </c>
      <c r="E68" s="27" t="s">
        <v>418</v>
      </c>
      <c r="F68" s="31"/>
      <c r="G68" s="27"/>
      <c r="H68" s="32" t="str">
        <f aca="false">IF(A68="","",A68&amp;"|"&amp;COUNTIF($A$6:A68,A68))</f>
        <v>15 · FUTMUJV01PRO|5</v>
      </c>
    </row>
    <row r="69" customFormat="false" ht="15" hidden="false" customHeight="false" outlineLevel="0" collapsed="false">
      <c r="A69" s="27" t="s">
        <v>125</v>
      </c>
      <c r="B69" s="27" t="s">
        <v>417</v>
      </c>
      <c r="C69" s="27" t="n">
        <v>1</v>
      </c>
      <c r="D69" s="27" t="s">
        <v>244</v>
      </c>
      <c r="E69" s="27" t="s">
        <v>418</v>
      </c>
      <c r="F69" s="31"/>
      <c r="G69" s="27"/>
      <c r="H69" s="32" t="str">
        <f aca="false">IF(A69="","",A69&amp;"|"&amp;COUNTIF($A$6:A69,A69))</f>
        <v>16 · FUTHOMV01PRO|1</v>
      </c>
    </row>
    <row r="70" customFormat="false" ht="15" hidden="false" customHeight="false" outlineLevel="0" collapsed="false">
      <c r="A70" s="27" t="s">
        <v>125</v>
      </c>
      <c r="B70" s="27" t="s">
        <v>419</v>
      </c>
      <c r="C70" s="27" t="n">
        <v>1</v>
      </c>
      <c r="D70" s="27" t="s">
        <v>244</v>
      </c>
      <c r="E70" s="27" t="s">
        <v>418</v>
      </c>
      <c r="F70" s="31"/>
      <c r="G70" s="27"/>
      <c r="H70" s="32" t="str">
        <f aca="false">IF(A70="","",A70&amp;"|"&amp;COUNTIF($A$6:A70,A70))</f>
        <v>16 · FUTHOMV01PRO|2</v>
      </c>
    </row>
    <row r="71" customFormat="false" ht="15" hidden="false" customHeight="false" outlineLevel="0" collapsed="false">
      <c r="A71" s="27" t="s">
        <v>125</v>
      </c>
      <c r="B71" s="27" t="s">
        <v>420</v>
      </c>
      <c r="C71" s="27" t="n">
        <v>2</v>
      </c>
      <c r="D71" s="27" t="s">
        <v>244</v>
      </c>
      <c r="E71" s="27" t="s">
        <v>418</v>
      </c>
      <c r="F71" s="31"/>
      <c r="G71" s="27"/>
      <c r="H71" s="32" t="str">
        <f aca="false">IF(A71="","",A71&amp;"|"&amp;COUNTIF($A$6:A71,A71))</f>
        <v>16 · FUTHOMV01PRO|3</v>
      </c>
    </row>
    <row r="72" customFormat="false" ht="15" hidden="false" customHeight="false" outlineLevel="0" collapsed="false">
      <c r="A72" s="27" t="s">
        <v>125</v>
      </c>
      <c r="B72" s="27" t="s">
        <v>421</v>
      </c>
      <c r="C72" s="27" t="n">
        <v>1</v>
      </c>
      <c r="D72" s="27" t="s">
        <v>244</v>
      </c>
      <c r="E72" s="27" t="s">
        <v>418</v>
      </c>
      <c r="F72" s="31"/>
      <c r="G72" s="27"/>
      <c r="H72" s="32" t="str">
        <f aca="false">IF(A72="","",A72&amp;"|"&amp;COUNTIF($A$6:A72,A72))</f>
        <v>16 · FUTHOMV01PRO|4</v>
      </c>
    </row>
    <row r="73" customFormat="false" ht="15" hidden="false" customHeight="false" outlineLevel="0" collapsed="false">
      <c r="A73" s="27" t="s">
        <v>125</v>
      </c>
      <c r="B73" s="27" t="s">
        <v>423</v>
      </c>
      <c r="C73" s="27" t="n">
        <v>2</v>
      </c>
      <c r="D73" s="27" t="s">
        <v>72</v>
      </c>
      <c r="E73" s="27" t="s">
        <v>418</v>
      </c>
      <c r="F73" s="31"/>
      <c r="G73" s="27"/>
      <c r="H73" s="32" t="str">
        <f aca="false">IF(A73="","",A73&amp;"|"&amp;COUNTIF($A$6:A73,A73))</f>
        <v>16 · FUTHOMV01PRO|5</v>
      </c>
    </row>
    <row r="74" customFormat="false" ht="15" hidden="false" customHeight="false" outlineLevel="0" collapsed="false">
      <c r="A74" s="27" t="s">
        <v>126</v>
      </c>
      <c r="B74" s="27" t="s">
        <v>417</v>
      </c>
      <c r="C74" s="27" t="n">
        <v>1</v>
      </c>
      <c r="D74" s="27" t="s">
        <v>244</v>
      </c>
      <c r="E74" s="27" t="s">
        <v>418</v>
      </c>
      <c r="F74" s="31"/>
      <c r="G74" s="27"/>
      <c r="H74" s="32" t="str">
        <f aca="false">IF(A74="","",A74&amp;"|"&amp;COUNTIF($A$6:A74,A74))</f>
        <v>17 · FUTMUJU02|1</v>
      </c>
    </row>
    <row r="75" customFormat="false" ht="15" hidden="false" customHeight="false" outlineLevel="0" collapsed="false">
      <c r="A75" s="27" t="s">
        <v>126</v>
      </c>
      <c r="B75" s="27" t="s">
        <v>419</v>
      </c>
      <c r="C75" s="27" t="n">
        <v>1</v>
      </c>
      <c r="D75" s="27" t="s">
        <v>244</v>
      </c>
      <c r="E75" s="27" t="s">
        <v>418</v>
      </c>
      <c r="F75" s="31"/>
      <c r="G75" s="27"/>
      <c r="H75" s="32" t="str">
        <f aca="false">IF(A75="","",A75&amp;"|"&amp;COUNTIF($A$6:A75,A75))</f>
        <v>17 · FUTMUJU02|2</v>
      </c>
    </row>
    <row r="76" customFormat="false" ht="15" hidden="false" customHeight="false" outlineLevel="0" collapsed="false">
      <c r="A76" s="27" t="s">
        <v>126</v>
      </c>
      <c r="B76" s="27" t="s">
        <v>424</v>
      </c>
      <c r="C76" s="27" t="n">
        <v>2</v>
      </c>
      <c r="D76" s="27" t="s">
        <v>244</v>
      </c>
      <c r="E76" s="27" t="s">
        <v>418</v>
      </c>
      <c r="F76" s="31"/>
      <c r="G76" s="27"/>
      <c r="H76" s="32" t="str">
        <f aca="false">IF(A76="","",A76&amp;"|"&amp;COUNTIF($A$6:A76,A76))</f>
        <v>17 · FUTMUJU02|3</v>
      </c>
    </row>
    <row r="77" customFormat="false" ht="15" hidden="false" customHeight="false" outlineLevel="0" collapsed="false">
      <c r="A77" s="27" t="s">
        <v>126</v>
      </c>
      <c r="B77" s="27" t="s">
        <v>421</v>
      </c>
      <c r="C77" s="27" t="n">
        <v>1</v>
      </c>
      <c r="D77" s="27" t="s">
        <v>244</v>
      </c>
      <c r="E77" s="27" t="s">
        <v>418</v>
      </c>
      <c r="F77" s="31"/>
      <c r="G77" s="27"/>
      <c r="H77" s="32" t="str">
        <f aca="false">IF(A77="","",A77&amp;"|"&amp;COUNTIF($A$6:A77,A77))</f>
        <v>17 · FUTMUJU02|4</v>
      </c>
    </row>
    <row r="78" customFormat="false" ht="15" hidden="false" customHeight="false" outlineLevel="0" collapsed="false">
      <c r="A78" s="27" t="s">
        <v>129</v>
      </c>
      <c r="B78" s="27" t="s">
        <v>417</v>
      </c>
      <c r="C78" s="27" t="n">
        <v>1</v>
      </c>
      <c r="D78" s="27" t="s">
        <v>244</v>
      </c>
      <c r="E78" s="27" t="s">
        <v>418</v>
      </c>
      <c r="F78" s="31"/>
      <c r="G78" s="27"/>
      <c r="H78" s="32" t="str">
        <f aca="false">IF(A78="","",A78&amp;"|"&amp;COUNTIF($A$6:A78,A78))</f>
        <v>18 · FUTHOMU02|1</v>
      </c>
    </row>
    <row r="79" customFormat="false" ht="15" hidden="false" customHeight="false" outlineLevel="0" collapsed="false">
      <c r="A79" s="27" t="s">
        <v>129</v>
      </c>
      <c r="B79" s="27" t="s">
        <v>419</v>
      </c>
      <c r="C79" s="27" t="n">
        <v>1</v>
      </c>
      <c r="D79" s="27" t="s">
        <v>244</v>
      </c>
      <c r="E79" s="27" t="s">
        <v>418</v>
      </c>
      <c r="F79" s="31"/>
      <c r="G79" s="27"/>
      <c r="H79" s="32" t="str">
        <f aca="false">IF(A79="","",A79&amp;"|"&amp;COUNTIF($A$6:A79,A79))</f>
        <v>18 · FUTHOMU02|2</v>
      </c>
    </row>
    <row r="80" customFormat="false" ht="15" hidden="false" customHeight="false" outlineLevel="0" collapsed="false">
      <c r="A80" s="27" t="s">
        <v>129</v>
      </c>
      <c r="B80" s="27" t="s">
        <v>424</v>
      </c>
      <c r="C80" s="27" t="n">
        <v>2</v>
      </c>
      <c r="D80" s="27" t="s">
        <v>244</v>
      </c>
      <c r="E80" s="27" t="s">
        <v>418</v>
      </c>
      <c r="F80" s="31"/>
      <c r="G80" s="27"/>
      <c r="H80" s="32" t="str">
        <f aca="false">IF(A80="","",A80&amp;"|"&amp;COUNTIF($A$6:A80,A80))</f>
        <v>18 · FUTHOMU02|3</v>
      </c>
    </row>
    <row r="81" customFormat="false" ht="15" hidden="false" customHeight="false" outlineLevel="0" collapsed="false">
      <c r="A81" s="27" t="s">
        <v>129</v>
      </c>
      <c r="B81" s="27" t="s">
        <v>421</v>
      </c>
      <c r="C81" s="27" t="n">
        <v>1</v>
      </c>
      <c r="D81" s="27" t="s">
        <v>244</v>
      </c>
      <c r="E81" s="27" t="s">
        <v>418</v>
      </c>
      <c r="F81" s="31"/>
      <c r="G81" s="27"/>
      <c r="H81" s="32" t="str">
        <f aca="false">IF(A81="","",A81&amp;"|"&amp;COUNTIF($A$6:A81,A81))</f>
        <v>18 · FUTHOMU02|4</v>
      </c>
    </row>
    <row r="82" customFormat="false" ht="15" hidden="false" customHeight="false" outlineLevel="0" collapsed="false">
      <c r="A82" s="27" t="s">
        <v>130</v>
      </c>
      <c r="B82" s="27" t="s">
        <v>417</v>
      </c>
      <c r="C82" s="27" t="n">
        <v>1</v>
      </c>
      <c r="D82" s="27" t="s">
        <v>244</v>
      </c>
      <c r="E82" s="27" t="s">
        <v>418</v>
      </c>
      <c r="F82" s="31"/>
      <c r="G82" s="27"/>
      <c r="H82" s="32" t="str">
        <f aca="false">IF(A82="","",A82&amp;"|"&amp;COUNTIF($A$6:A82,A82))</f>
        <v>19 · FUTINMUJU02|1</v>
      </c>
    </row>
    <row r="83" customFormat="false" ht="15" hidden="false" customHeight="false" outlineLevel="0" collapsed="false">
      <c r="A83" s="27" t="s">
        <v>130</v>
      </c>
      <c r="B83" s="27" t="s">
        <v>419</v>
      </c>
      <c r="C83" s="27" t="n">
        <v>1</v>
      </c>
      <c r="D83" s="27" t="s">
        <v>244</v>
      </c>
      <c r="E83" s="27" t="s">
        <v>418</v>
      </c>
      <c r="F83" s="31"/>
      <c r="G83" s="27"/>
      <c r="H83" s="32" t="str">
        <f aca="false">IF(A83="","",A83&amp;"|"&amp;COUNTIF($A$6:A83,A83))</f>
        <v>19 · FUTINMUJU02|2</v>
      </c>
    </row>
    <row r="84" customFormat="false" ht="15" hidden="false" customHeight="false" outlineLevel="0" collapsed="false">
      <c r="A84" s="27" t="s">
        <v>130</v>
      </c>
      <c r="B84" s="27" t="s">
        <v>424</v>
      </c>
      <c r="C84" s="27" t="n">
        <v>2</v>
      </c>
      <c r="D84" s="27" t="s">
        <v>244</v>
      </c>
      <c r="E84" s="27" t="s">
        <v>418</v>
      </c>
      <c r="F84" s="31"/>
      <c r="G84" s="27"/>
      <c r="H84" s="32" t="str">
        <f aca="false">IF(A84="","",A84&amp;"|"&amp;COUNTIF($A$6:A84,A84))</f>
        <v>19 · FUTINMUJU02|3</v>
      </c>
    </row>
    <row r="85" customFormat="false" ht="15" hidden="false" customHeight="false" outlineLevel="0" collapsed="false">
      <c r="A85" s="27" t="s">
        <v>130</v>
      </c>
      <c r="B85" s="27" t="s">
        <v>421</v>
      </c>
      <c r="C85" s="27" t="n">
        <v>1</v>
      </c>
      <c r="D85" s="27" t="s">
        <v>244</v>
      </c>
      <c r="E85" s="27" t="s">
        <v>418</v>
      </c>
      <c r="F85" s="31"/>
      <c r="G85" s="27"/>
      <c r="H85" s="32" t="str">
        <f aca="false">IF(A85="","",A85&amp;"|"&amp;COUNTIF($A$6:A85,A85))</f>
        <v>19 · FUTINMUJU02|4</v>
      </c>
    </row>
    <row r="86" customFormat="false" ht="15" hidden="false" customHeight="false" outlineLevel="0" collapsed="false">
      <c r="A86" s="27" t="s">
        <v>132</v>
      </c>
      <c r="B86" s="27" t="s">
        <v>417</v>
      </c>
      <c r="C86" s="27" t="n">
        <v>1</v>
      </c>
      <c r="D86" s="27" t="s">
        <v>244</v>
      </c>
      <c r="E86" s="27" t="s">
        <v>418</v>
      </c>
      <c r="F86" s="31"/>
      <c r="G86" s="27"/>
      <c r="H86" s="32" t="str">
        <f aca="false">IF(A86="","",A86&amp;"|"&amp;COUNTIF($A$6:A86,A86))</f>
        <v>20 · FUTINHOMU02|1</v>
      </c>
    </row>
    <row r="87" customFormat="false" ht="15" hidden="false" customHeight="false" outlineLevel="0" collapsed="false">
      <c r="A87" s="27" t="s">
        <v>132</v>
      </c>
      <c r="B87" s="27" t="s">
        <v>419</v>
      </c>
      <c r="C87" s="27" t="n">
        <v>1</v>
      </c>
      <c r="D87" s="27" t="s">
        <v>244</v>
      </c>
      <c r="E87" s="27" t="s">
        <v>418</v>
      </c>
      <c r="F87" s="31"/>
      <c r="G87" s="27"/>
      <c r="H87" s="32" t="str">
        <f aca="false">IF(A87="","",A87&amp;"|"&amp;COUNTIF($A$6:A87,A87))</f>
        <v>20 · FUTINHOMU02|2</v>
      </c>
    </row>
    <row r="88" customFormat="false" ht="15" hidden="false" customHeight="false" outlineLevel="0" collapsed="false">
      <c r="A88" s="27" t="s">
        <v>132</v>
      </c>
      <c r="B88" s="27" t="s">
        <v>424</v>
      </c>
      <c r="C88" s="27" t="n">
        <v>2</v>
      </c>
      <c r="D88" s="27" t="s">
        <v>244</v>
      </c>
      <c r="E88" s="27" t="s">
        <v>418</v>
      </c>
      <c r="F88" s="31"/>
      <c r="G88" s="27"/>
      <c r="H88" s="32" t="str">
        <f aca="false">IF(A88="","",A88&amp;"|"&amp;COUNTIF($A$6:A88,A88))</f>
        <v>20 · FUTINHOMU02|3</v>
      </c>
    </row>
    <row r="89" customFormat="false" ht="15" hidden="false" customHeight="false" outlineLevel="0" collapsed="false">
      <c r="A89" s="27" t="s">
        <v>132</v>
      </c>
      <c r="B89" s="27" t="s">
        <v>421</v>
      </c>
      <c r="C89" s="27" t="n">
        <v>1</v>
      </c>
      <c r="D89" s="27" t="s">
        <v>244</v>
      </c>
      <c r="E89" s="27" t="s">
        <v>418</v>
      </c>
      <c r="F89" s="31"/>
      <c r="G89" s="27"/>
      <c r="H89" s="32" t="str">
        <f aca="false">IF(A89="","",A89&amp;"|"&amp;COUNTIF($A$6:A89,A89))</f>
        <v>20 · FUTINHOMU02|4</v>
      </c>
    </row>
    <row r="90" customFormat="false" ht="15" hidden="false" customHeight="false" outlineLevel="0" collapsed="false">
      <c r="A90" s="27" t="s">
        <v>133</v>
      </c>
      <c r="B90" s="27" t="s">
        <v>417</v>
      </c>
      <c r="C90" s="27" t="n">
        <v>1</v>
      </c>
      <c r="D90" s="27" t="s">
        <v>244</v>
      </c>
      <c r="E90" s="27" t="s">
        <v>418</v>
      </c>
      <c r="F90" s="31"/>
      <c r="G90" s="27"/>
      <c r="H90" s="32" t="str">
        <f aca="false">IF(A90="","",A90&amp;"|"&amp;COUNTIF($A$6:A90,A90))</f>
        <v>21 · FUTMUJV02|1</v>
      </c>
    </row>
    <row r="91" customFormat="false" ht="15" hidden="false" customHeight="false" outlineLevel="0" collapsed="false">
      <c r="A91" s="27" t="s">
        <v>133</v>
      </c>
      <c r="B91" s="27" t="s">
        <v>419</v>
      </c>
      <c r="C91" s="27" t="n">
        <v>1</v>
      </c>
      <c r="D91" s="27" t="s">
        <v>244</v>
      </c>
      <c r="E91" s="27" t="s">
        <v>418</v>
      </c>
      <c r="F91" s="31"/>
      <c r="G91" s="27"/>
      <c r="H91" s="32" t="str">
        <f aca="false">IF(A91="","",A91&amp;"|"&amp;COUNTIF($A$6:A91,A91))</f>
        <v>21 · FUTMUJV02|2</v>
      </c>
    </row>
    <row r="92" customFormat="false" ht="15" hidden="false" customHeight="false" outlineLevel="0" collapsed="false">
      <c r="A92" s="27" t="s">
        <v>133</v>
      </c>
      <c r="B92" s="27" t="s">
        <v>424</v>
      </c>
      <c r="C92" s="27" t="n">
        <v>2</v>
      </c>
      <c r="D92" s="27" t="s">
        <v>244</v>
      </c>
      <c r="E92" s="27" t="s">
        <v>418</v>
      </c>
      <c r="F92" s="31"/>
      <c r="G92" s="27"/>
      <c r="H92" s="32" t="str">
        <f aca="false">IF(A92="","",A92&amp;"|"&amp;COUNTIF($A$6:A92,A92))</f>
        <v>21 · FUTMUJV02|3</v>
      </c>
    </row>
    <row r="93" customFormat="false" ht="15" hidden="false" customHeight="false" outlineLevel="0" collapsed="false">
      <c r="A93" s="27" t="s">
        <v>133</v>
      </c>
      <c r="B93" s="27" t="s">
        <v>421</v>
      </c>
      <c r="C93" s="27" t="n">
        <v>1</v>
      </c>
      <c r="D93" s="27" t="s">
        <v>244</v>
      </c>
      <c r="E93" s="27" t="s">
        <v>418</v>
      </c>
      <c r="F93" s="31"/>
      <c r="G93" s="27"/>
      <c r="H93" s="32" t="str">
        <f aca="false">IF(A93="","",A93&amp;"|"&amp;COUNTIF($A$6:A93,A93))</f>
        <v>21 · FUTMUJV02|4</v>
      </c>
    </row>
    <row r="94" customFormat="false" ht="15" hidden="false" customHeight="false" outlineLevel="0" collapsed="false">
      <c r="A94" s="27" t="s">
        <v>135</v>
      </c>
      <c r="B94" s="27" t="s">
        <v>417</v>
      </c>
      <c r="C94" s="27" t="n">
        <v>1</v>
      </c>
      <c r="D94" s="27" t="s">
        <v>244</v>
      </c>
      <c r="E94" s="27" t="s">
        <v>418</v>
      </c>
      <c r="F94" s="31"/>
      <c r="G94" s="27"/>
      <c r="H94" s="32" t="str">
        <f aca="false">IF(A94="","",A94&amp;"|"&amp;COUNTIF($A$6:A94,A94))</f>
        <v>22 · FUTHOMV02|1</v>
      </c>
    </row>
    <row r="95" customFormat="false" ht="15" hidden="false" customHeight="false" outlineLevel="0" collapsed="false">
      <c r="A95" s="27" t="s">
        <v>135</v>
      </c>
      <c r="B95" s="27" t="s">
        <v>419</v>
      </c>
      <c r="C95" s="27" t="n">
        <v>1</v>
      </c>
      <c r="D95" s="27" t="s">
        <v>244</v>
      </c>
      <c r="E95" s="27" t="s">
        <v>418</v>
      </c>
      <c r="F95" s="31"/>
      <c r="G95" s="27"/>
      <c r="H95" s="32" t="str">
        <f aca="false">IF(A95="","",A95&amp;"|"&amp;COUNTIF($A$6:A95,A95))</f>
        <v>22 · FUTHOMV02|2</v>
      </c>
    </row>
    <row r="96" customFormat="false" ht="15" hidden="false" customHeight="false" outlineLevel="0" collapsed="false">
      <c r="A96" s="27" t="s">
        <v>135</v>
      </c>
      <c r="B96" s="27" t="s">
        <v>424</v>
      </c>
      <c r="C96" s="27" t="n">
        <v>2</v>
      </c>
      <c r="D96" s="27" t="s">
        <v>244</v>
      </c>
      <c r="E96" s="27" t="s">
        <v>418</v>
      </c>
      <c r="F96" s="31"/>
      <c r="G96" s="27"/>
      <c r="H96" s="32" t="str">
        <f aca="false">IF(A96="","",A96&amp;"|"&amp;COUNTIF($A$6:A96,A96))</f>
        <v>22 · FUTHOMV02|3</v>
      </c>
    </row>
    <row r="97" customFormat="false" ht="15" hidden="false" customHeight="false" outlineLevel="0" collapsed="false">
      <c r="A97" s="27" t="s">
        <v>135</v>
      </c>
      <c r="B97" s="27" t="s">
        <v>421</v>
      </c>
      <c r="C97" s="27" t="n">
        <v>1</v>
      </c>
      <c r="D97" s="27" t="s">
        <v>244</v>
      </c>
      <c r="E97" s="27" t="s">
        <v>418</v>
      </c>
      <c r="F97" s="31"/>
      <c r="G97" s="27"/>
      <c r="H97" s="32" t="str">
        <f aca="false">IF(A97="","",A97&amp;"|"&amp;COUNTIF($A$6:A97,A97))</f>
        <v>22 · FUTHOMV02|4</v>
      </c>
    </row>
    <row r="98" customFormat="false" ht="15" hidden="false" customHeight="false" outlineLevel="0" collapsed="false">
      <c r="A98" s="27" t="s">
        <v>136</v>
      </c>
      <c r="B98" s="27" t="s">
        <v>417</v>
      </c>
      <c r="C98" s="27" t="n">
        <v>1</v>
      </c>
      <c r="D98" s="27" t="s">
        <v>244</v>
      </c>
      <c r="E98" s="27" t="s">
        <v>418</v>
      </c>
      <c r="F98" s="31"/>
      <c r="G98" s="27"/>
      <c r="H98" s="32" t="str">
        <f aca="false">IF(A98="","",A98&amp;"|"&amp;COUNTIF($A$6:A98,A98))</f>
        <v>23 · FUTINMUJV02|1</v>
      </c>
    </row>
    <row r="99" customFormat="false" ht="15" hidden="false" customHeight="false" outlineLevel="0" collapsed="false">
      <c r="A99" s="27" t="s">
        <v>136</v>
      </c>
      <c r="B99" s="27" t="s">
        <v>419</v>
      </c>
      <c r="C99" s="27" t="n">
        <v>1</v>
      </c>
      <c r="D99" s="27" t="s">
        <v>244</v>
      </c>
      <c r="E99" s="27" t="s">
        <v>418</v>
      </c>
      <c r="F99" s="31"/>
      <c r="G99" s="27"/>
      <c r="H99" s="32" t="str">
        <f aca="false">IF(A99="","",A99&amp;"|"&amp;COUNTIF($A$6:A99,A99))</f>
        <v>23 · FUTINMUJV02|2</v>
      </c>
    </row>
    <row r="100" customFormat="false" ht="15" hidden="false" customHeight="false" outlineLevel="0" collapsed="false">
      <c r="A100" s="27" t="s">
        <v>136</v>
      </c>
      <c r="B100" s="27" t="s">
        <v>424</v>
      </c>
      <c r="C100" s="27" t="n">
        <v>2</v>
      </c>
      <c r="D100" s="27" t="s">
        <v>244</v>
      </c>
      <c r="E100" s="27" t="s">
        <v>418</v>
      </c>
      <c r="F100" s="31"/>
      <c r="G100" s="27"/>
      <c r="H100" s="32" t="str">
        <f aca="false">IF(A100="","",A100&amp;"|"&amp;COUNTIF($A$6:A100,A100))</f>
        <v>23 · FUTINMUJV02|3</v>
      </c>
    </row>
    <row r="101" customFormat="false" ht="15" hidden="false" customHeight="false" outlineLevel="0" collapsed="false">
      <c r="A101" s="27" t="s">
        <v>136</v>
      </c>
      <c r="B101" s="27" t="s">
        <v>421</v>
      </c>
      <c r="C101" s="27" t="n">
        <v>1</v>
      </c>
      <c r="D101" s="27" t="s">
        <v>244</v>
      </c>
      <c r="E101" s="27" t="s">
        <v>418</v>
      </c>
      <c r="F101" s="31"/>
      <c r="G101" s="27"/>
      <c r="H101" s="32" t="str">
        <f aca="false">IF(A101="","",A101&amp;"|"&amp;COUNTIF($A$6:A101,A101))</f>
        <v>23 · FUTINMUJV02|4</v>
      </c>
    </row>
    <row r="102" customFormat="false" ht="15" hidden="false" customHeight="false" outlineLevel="0" collapsed="false">
      <c r="A102" s="27" t="s">
        <v>138</v>
      </c>
      <c r="B102" s="27" t="s">
        <v>417</v>
      </c>
      <c r="C102" s="27" t="n">
        <v>1</v>
      </c>
      <c r="D102" s="27" t="s">
        <v>244</v>
      </c>
      <c r="E102" s="27" t="s">
        <v>418</v>
      </c>
      <c r="F102" s="31"/>
      <c r="G102" s="27"/>
      <c r="H102" s="32" t="str">
        <f aca="false">IF(A102="","",A102&amp;"|"&amp;COUNTIF($A$6:A102,A102))</f>
        <v>24 · FUTINHOMV02|1</v>
      </c>
    </row>
    <row r="103" customFormat="false" ht="15" hidden="false" customHeight="false" outlineLevel="0" collapsed="false">
      <c r="A103" s="27" t="s">
        <v>138</v>
      </c>
      <c r="B103" s="27" t="s">
        <v>419</v>
      </c>
      <c r="C103" s="27" t="n">
        <v>1</v>
      </c>
      <c r="D103" s="27" t="s">
        <v>244</v>
      </c>
      <c r="E103" s="27" t="s">
        <v>418</v>
      </c>
      <c r="F103" s="31"/>
      <c r="G103" s="27"/>
      <c r="H103" s="32" t="str">
        <f aca="false">IF(A103="","",A103&amp;"|"&amp;COUNTIF($A$6:A103,A103))</f>
        <v>24 · FUTINHOMV02|2</v>
      </c>
    </row>
    <row r="104" customFormat="false" ht="15" hidden="false" customHeight="false" outlineLevel="0" collapsed="false">
      <c r="A104" s="27" t="s">
        <v>138</v>
      </c>
      <c r="B104" s="27" t="s">
        <v>424</v>
      </c>
      <c r="C104" s="27" t="n">
        <v>2</v>
      </c>
      <c r="D104" s="27" t="s">
        <v>244</v>
      </c>
      <c r="E104" s="27" t="s">
        <v>418</v>
      </c>
      <c r="F104" s="31"/>
      <c r="G104" s="27"/>
      <c r="H104" s="32" t="str">
        <f aca="false">IF(A104="","",A104&amp;"|"&amp;COUNTIF($A$6:A104,A104))</f>
        <v>24 · FUTINHOMV02|3</v>
      </c>
    </row>
    <row r="105" customFormat="false" ht="15" hidden="false" customHeight="false" outlineLevel="0" collapsed="false">
      <c r="A105" s="27" t="s">
        <v>138</v>
      </c>
      <c r="B105" s="27" t="s">
        <v>421</v>
      </c>
      <c r="C105" s="27" t="n">
        <v>1</v>
      </c>
      <c r="D105" s="27" t="s">
        <v>244</v>
      </c>
      <c r="E105" s="27" t="s">
        <v>418</v>
      </c>
      <c r="F105" s="31"/>
      <c r="G105" s="27"/>
      <c r="H105" s="32" t="str">
        <f aca="false">IF(A105="","",A105&amp;"|"&amp;COUNTIF($A$6:A105,A105))</f>
        <v>24 · FUTINHOMV02|4</v>
      </c>
    </row>
    <row r="106" customFormat="false" ht="15" hidden="false" customHeight="false" outlineLevel="0" collapsed="false">
      <c r="A106" s="27" t="s">
        <v>139</v>
      </c>
      <c r="B106" s="27" t="s">
        <v>417</v>
      </c>
      <c r="C106" s="27" t="n">
        <v>1</v>
      </c>
      <c r="D106" s="27" t="s">
        <v>244</v>
      </c>
      <c r="E106" s="27" t="s">
        <v>418</v>
      </c>
      <c r="F106" s="31"/>
      <c r="G106" s="27"/>
      <c r="H106" s="32" t="str">
        <f aca="false">IF(A106="","",A106&amp;"|"&amp;COUNTIF($A$6:A106,A106))</f>
        <v>25 · FUTMUJU02PRO|1</v>
      </c>
    </row>
    <row r="107" customFormat="false" ht="15" hidden="false" customHeight="false" outlineLevel="0" collapsed="false">
      <c r="A107" s="27" t="s">
        <v>139</v>
      </c>
      <c r="B107" s="27" t="s">
        <v>419</v>
      </c>
      <c r="C107" s="27" t="n">
        <v>1</v>
      </c>
      <c r="D107" s="27" t="s">
        <v>244</v>
      </c>
      <c r="E107" s="27" t="s">
        <v>418</v>
      </c>
      <c r="F107" s="31"/>
      <c r="G107" s="27"/>
      <c r="H107" s="32" t="str">
        <f aca="false">IF(A107="","",A107&amp;"|"&amp;COUNTIF($A$6:A107,A107))</f>
        <v>25 · FUTMUJU02PRO|2</v>
      </c>
    </row>
    <row r="108" customFormat="false" ht="15" hidden="false" customHeight="false" outlineLevel="0" collapsed="false">
      <c r="A108" s="27" t="s">
        <v>139</v>
      </c>
      <c r="B108" s="27" t="s">
        <v>424</v>
      </c>
      <c r="C108" s="27" t="n">
        <v>2</v>
      </c>
      <c r="D108" s="27" t="s">
        <v>244</v>
      </c>
      <c r="E108" s="27" t="s">
        <v>418</v>
      </c>
      <c r="F108" s="31"/>
      <c r="G108" s="27"/>
      <c r="H108" s="32" t="str">
        <f aca="false">IF(A108="","",A108&amp;"|"&amp;COUNTIF($A$6:A108,A108))</f>
        <v>25 · FUTMUJU02PRO|3</v>
      </c>
    </row>
    <row r="109" customFormat="false" ht="15" hidden="false" customHeight="false" outlineLevel="0" collapsed="false">
      <c r="A109" s="27" t="s">
        <v>139</v>
      </c>
      <c r="B109" s="27" t="s">
        <v>421</v>
      </c>
      <c r="C109" s="27" t="n">
        <v>1</v>
      </c>
      <c r="D109" s="27" t="s">
        <v>244</v>
      </c>
      <c r="E109" s="27" t="s">
        <v>418</v>
      </c>
      <c r="F109" s="31"/>
      <c r="G109" s="27"/>
      <c r="H109" s="32" t="str">
        <f aca="false">IF(A109="","",A109&amp;"|"&amp;COUNTIF($A$6:A109,A109))</f>
        <v>25 · FUTMUJU02PRO|4</v>
      </c>
    </row>
    <row r="110" customFormat="false" ht="15" hidden="false" customHeight="false" outlineLevel="0" collapsed="false">
      <c r="A110" s="27" t="s">
        <v>139</v>
      </c>
      <c r="B110" s="27" t="s">
        <v>423</v>
      </c>
      <c r="C110" s="27" t="n">
        <v>2</v>
      </c>
      <c r="D110" s="27" t="s">
        <v>72</v>
      </c>
      <c r="E110" s="27" t="s">
        <v>418</v>
      </c>
      <c r="F110" s="31"/>
      <c r="G110" s="27"/>
      <c r="H110" s="32" t="str">
        <f aca="false">IF(A110="","",A110&amp;"|"&amp;COUNTIF($A$6:A110,A110))</f>
        <v>25 · FUTMUJU02PRO|5</v>
      </c>
    </row>
    <row r="111" customFormat="false" ht="15" hidden="false" customHeight="false" outlineLevel="0" collapsed="false">
      <c r="A111" s="27" t="s">
        <v>141</v>
      </c>
      <c r="B111" s="27" t="s">
        <v>417</v>
      </c>
      <c r="C111" s="27" t="n">
        <v>1</v>
      </c>
      <c r="D111" s="27" t="s">
        <v>244</v>
      </c>
      <c r="E111" s="27" t="s">
        <v>418</v>
      </c>
      <c r="F111" s="31"/>
      <c r="G111" s="27"/>
      <c r="H111" s="32" t="str">
        <f aca="false">IF(A111="","",A111&amp;"|"&amp;COUNTIF($A$6:A111,A111))</f>
        <v>26 · FUTHOMU02PRO|1</v>
      </c>
    </row>
    <row r="112" customFormat="false" ht="15" hidden="false" customHeight="false" outlineLevel="0" collapsed="false">
      <c r="A112" s="27" t="s">
        <v>141</v>
      </c>
      <c r="B112" s="27" t="s">
        <v>419</v>
      </c>
      <c r="C112" s="27" t="n">
        <v>1</v>
      </c>
      <c r="D112" s="27" t="s">
        <v>244</v>
      </c>
      <c r="E112" s="27" t="s">
        <v>418</v>
      </c>
      <c r="F112" s="31"/>
      <c r="G112" s="27"/>
      <c r="H112" s="32" t="str">
        <f aca="false">IF(A112="","",A112&amp;"|"&amp;COUNTIF($A$6:A112,A112))</f>
        <v>26 · FUTHOMU02PRO|2</v>
      </c>
    </row>
    <row r="113" customFormat="false" ht="15" hidden="false" customHeight="false" outlineLevel="0" collapsed="false">
      <c r="A113" s="27" t="s">
        <v>141</v>
      </c>
      <c r="B113" s="27" t="s">
        <v>424</v>
      </c>
      <c r="C113" s="27" t="n">
        <v>2</v>
      </c>
      <c r="D113" s="27" t="s">
        <v>244</v>
      </c>
      <c r="E113" s="27" t="s">
        <v>418</v>
      </c>
      <c r="F113" s="31"/>
      <c r="G113" s="27"/>
      <c r="H113" s="32" t="str">
        <f aca="false">IF(A113="","",A113&amp;"|"&amp;COUNTIF($A$6:A113,A113))</f>
        <v>26 · FUTHOMU02PRO|3</v>
      </c>
    </row>
    <row r="114" customFormat="false" ht="15" hidden="false" customHeight="false" outlineLevel="0" collapsed="false">
      <c r="A114" s="27" t="s">
        <v>141</v>
      </c>
      <c r="B114" s="27" t="s">
        <v>421</v>
      </c>
      <c r="C114" s="27" t="n">
        <v>1</v>
      </c>
      <c r="D114" s="27" t="s">
        <v>244</v>
      </c>
      <c r="E114" s="27" t="s">
        <v>418</v>
      </c>
      <c r="F114" s="31"/>
      <c r="G114" s="27"/>
      <c r="H114" s="32" t="str">
        <f aca="false">IF(A114="","",A114&amp;"|"&amp;COUNTIF($A$6:A114,A114))</f>
        <v>26 · FUTHOMU02PRO|4</v>
      </c>
    </row>
    <row r="115" customFormat="false" ht="15" hidden="false" customHeight="false" outlineLevel="0" collapsed="false">
      <c r="A115" s="27" t="s">
        <v>141</v>
      </c>
      <c r="B115" s="27" t="s">
        <v>423</v>
      </c>
      <c r="C115" s="27" t="n">
        <v>2</v>
      </c>
      <c r="D115" s="27" t="s">
        <v>72</v>
      </c>
      <c r="E115" s="27" t="s">
        <v>418</v>
      </c>
      <c r="F115" s="31"/>
      <c r="G115" s="27"/>
      <c r="H115" s="32" t="str">
        <f aca="false">IF(A115="","",A115&amp;"|"&amp;COUNTIF($A$6:A115,A115))</f>
        <v>26 · FUTHOMU02PRO|5</v>
      </c>
    </row>
    <row r="116" customFormat="false" ht="15" hidden="false" customHeight="false" outlineLevel="0" collapsed="false">
      <c r="A116" s="27" t="s">
        <v>142</v>
      </c>
      <c r="B116" s="27" t="s">
        <v>417</v>
      </c>
      <c r="C116" s="27" t="n">
        <v>1</v>
      </c>
      <c r="D116" s="27" t="s">
        <v>244</v>
      </c>
      <c r="E116" s="27" t="s">
        <v>418</v>
      </c>
      <c r="F116" s="31"/>
      <c r="G116" s="27"/>
      <c r="H116" s="32" t="str">
        <f aca="false">IF(A116="","",A116&amp;"|"&amp;COUNTIF($A$6:A116,A116))</f>
        <v>27 · FUTMUJV02PRO|1</v>
      </c>
    </row>
    <row r="117" customFormat="false" ht="15" hidden="false" customHeight="false" outlineLevel="0" collapsed="false">
      <c r="A117" s="27" t="s">
        <v>142</v>
      </c>
      <c r="B117" s="27" t="s">
        <v>419</v>
      </c>
      <c r="C117" s="27" t="n">
        <v>1</v>
      </c>
      <c r="D117" s="27" t="s">
        <v>244</v>
      </c>
      <c r="E117" s="27" t="s">
        <v>418</v>
      </c>
      <c r="F117" s="31"/>
      <c r="G117" s="27"/>
      <c r="H117" s="32" t="str">
        <f aca="false">IF(A117="","",A117&amp;"|"&amp;COUNTIF($A$6:A117,A117))</f>
        <v>27 · FUTMUJV02PRO|2</v>
      </c>
    </row>
    <row r="118" customFormat="false" ht="15" hidden="false" customHeight="false" outlineLevel="0" collapsed="false">
      <c r="A118" s="27" t="s">
        <v>142</v>
      </c>
      <c r="B118" s="27" t="s">
        <v>424</v>
      </c>
      <c r="C118" s="27" t="n">
        <v>2</v>
      </c>
      <c r="D118" s="27" t="s">
        <v>244</v>
      </c>
      <c r="E118" s="27" t="s">
        <v>418</v>
      </c>
      <c r="F118" s="31"/>
      <c r="G118" s="27"/>
      <c r="H118" s="32" t="str">
        <f aca="false">IF(A118="","",A118&amp;"|"&amp;COUNTIF($A$6:A118,A118))</f>
        <v>27 · FUTMUJV02PRO|3</v>
      </c>
    </row>
    <row r="119" customFormat="false" ht="15" hidden="false" customHeight="false" outlineLevel="0" collapsed="false">
      <c r="A119" s="27" t="s">
        <v>142</v>
      </c>
      <c r="B119" s="27" t="s">
        <v>421</v>
      </c>
      <c r="C119" s="27" t="n">
        <v>1</v>
      </c>
      <c r="D119" s="27" t="s">
        <v>244</v>
      </c>
      <c r="E119" s="27" t="s">
        <v>418</v>
      </c>
      <c r="F119" s="31"/>
      <c r="G119" s="27"/>
      <c r="H119" s="32" t="str">
        <f aca="false">IF(A119="","",A119&amp;"|"&amp;COUNTIF($A$6:A119,A119))</f>
        <v>27 · FUTMUJV02PRO|4</v>
      </c>
    </row>
    <row r="120" customFormat="false" ht="15" hidden="false" customHeight="false" outlineLevel="0" collapsed="false">
      <c r="A120" s="27" t="s">
        <v>142</v>
      </c>
      <c r="B120" s="27" t="s">
        <v>423</v>
      </c>
      <c r="C120" s="27" t="n">
        <v>2</v>
      </c>
      <c r="D120" s="27" t="s">
        <v>72</v>
      </c>
      <c r="E120" s="27" t="s">
        <v>418</v>
      </c>
      <c r="F120" s="31"/>
      <c r="G120" s="27"/>
      <c r="H120" s="32" t="str">
        <f aca="false">IF(A120="","",A120&amp;"|"&amp;COUNTIF($A$6:A120,A120))</f>
        <v>27 · FUTMUJV02PRO|5</v>
      </c>
    </row>
    <row r="121" customFormat="false" ht="15" hidden="false" customHeight="false" outlineLevel="0" collapsed="false">
      <c r="A121" s="27" t="s">
        <v>144</v>
      </c>
      <c r="B121" s="27" t="s">
        <v>417</v>
      </c>
      <c r="C121" s="27" t="n">
        <v>1</v>
      </c>
      <c r="D121" s="27" t="s">
        <v>244</v>
      </c>
      <c r="E121" s="27" t="s">
        <v>418</v>
      </c>
      <c r="F121" s="31"/>
      <c r="G121" s="27"/>
      <c r="H121" s="32" t="str">
        <f aca="false">IF(A121="","",A121&amp;"|"&amp;COUNTIF($A$6:A121,A121))</f>
        <v>28 · FUTHOMV02PRO|1</v>
      </c>
    </row>
    <row r="122" customFormat="false" ht="15" hidden="false" customHeight="false" outlineLevel="0" collapsed="false">
      <c r="A122" s="27" t="s">
        <v>144</v>
      </c>
      <c r="B122" s="27" t="s">
        <v>419</v>
      </c>
      <c r="C122" s="27" t="n">
        <v>1</v>
      </c>
      <c r="D122" s="27" t="s">
        <v>244</v>
      </c>
      <c r="E122" s="27" t="s">
        <v>418</v>
      </c>
      <c r="F122" s="31"/>
      <c r="G122" s="27"/>
      <c r="H122" s="32" t="str">
        <f aca="false">IF(A122="","",A122&amp;"|"&amp;COUNTIF($A$6:A122,A122))</f>
        <v>28 · FUTHOMV02PRO|2</v>
      </c>
    </row>
    <row r="123" customFormat="false" ht="15" hidden="false" customHeight="false" outlineLevel="0" collapsed="false">
      <c r="A123" s="27" t="s">
        <v>144</v>
      </c>
      <c r="B123" s="27" t="s">
        <v>424</v>
      </c>
      <c r="C123" s="27" t="n">
        <v>2</v>
      </c>
      <c r="D123" s="27" t="s">
        <v>244</v>
      </c>
      <c r="E123" s="27" t="s">
        <v>418</v>
      </c>
      <c r="F123" s="31"/>
      <c r="G123" s="27"/>
      <c r="H123" s="32" t="str">
        <f aca="false">IF(A123="","",A123&amp;"|"&amp;COUNTIF($A$6:A123,A123))</f>
        <v>28 · FUTHOMV02PRO|3</v>
      </c>
    </row>
    <row r="124" customFormat="false" ht="15" hidden="false" customHeight="false" outlineLevel="0" collapsed="false">
      <c r="A124" s="27" t="s">
        <v>144</v>
      </c>
      <c r="B124" s="27" t="s">
        <v>421</v>
      </c>
      <c r="C124" s="27" t="n">
        <v>1</v>
      </c>
      <c r="D124" s="27" t="s">
        <v>244</v>
      </c>
      <c r="E124" s="27" t="s">
        <v>418</v>
      </c>
      <c r="F124" s="31"/>
      <c r="G124" s="27"/>
      <c r="H124" s="32" t="str">
        <f aca="false">IF(A124="","",A124&amp;"|"&amp;COUNTIF($A$6:A124,A124))</f>
        <v>28 · FUTHOMV02PRO|4</v>
      </c>
    </row>
    <row r="125" customFormat="false" ht="15" hidden="false" customHeight="false" outlineLevel="0" collapsed="false">
      <c r="A125" s="27" t="s">
        <v>144</v>
      </c>
      <c r="B125" s="27" t="s">
        <v>423</v>
      </c>
      <c r="C125" s="27" t="n">
        <v>2</v>
      </c>
      <c r="D125" s="27" t="s">
        <v>72</v>
      </c>
      <c r="E125" s="27" t="s">
        <v>418</v>
      </c>
      <c r="F125" s="31"/>
      <c r="G125" s="27"/>
      <c r="H125" s="32" t="str">
        <f aca="false">IF(A125="","",A125&amp;"|"&amp;COUNTIF($A$6:A125,A125))</f>
        <v>28 · FUTHOMV02PRO|5</v>
      </c>
    </row>
    <row r="126" customFormat="false" ht="15" hidden="false" customHeight="false" outlineLevel="0" collapsed="false">
      <c r="A126" s="27" t="s">
        <v>145</v>
      </c>
      <c r="B126" s="27" t="s">
        <v>417</v>
      </c>
      <c r="C126" s="27" t="n">
        <v>1</v>
      </c>
      <c r="D126" s="27" t="s">
        <v>244</v>
      </c>
      <c r="E126" s="27" t="s">
        <v>418</v>
      </c>
      <c r="F126" s="31"/>
      <c r="G126" s="27"/>
      <c r="H126" s="32" t="str">
        <f aca="false">IF(A126="","",A126&amp;"|"&amp;COUNTIF($A$6:A126,A126))</f>
        <v>29 · BKMUJU03|1</v>
      </c>
    </row>
    <row r="127" customFormat="false" ht="15" hidden="false" customHeight="false" outlineLevel="0" collapsed="false">
      <c r="A127" s="27" t="s">
        <v>145</v>
      </c>
      <c r="B127" s="27" t="s">
        <v>419</v>
      </c>
      <c r="C127" s="27" t="n">
        <v>1</v>
      </c>
      <c r="D127" s="27" t="s">
        <v>244</v>
      </c>
      <c r="E127" s="27" t="s">
        <v>418</v>
      </c>
      <c r="F127" s="31"/>
      <c r="G127" s="27"/>
      <c r="H127" s="32" t="str">
        <f aca="false">IF(A127="","",A127&amp;"|"&amp;COUNTIF($A$6:A127,A127))</f>
        <v>29 · BKMUJU03|2</v>
      </c>
    </row>
    <row r="128" customFormat="false" ht="15" hidden="false" customHeight="false" outlineLevel="0" collapsed="false">
      <c r="A128" s="27" t="s">
        <v>145</v>
      </c>
      <c r="B128" s="27" t="s">
        <v>425</v>
      </c>
      <c r="C128" s="27" t="n">
        <v>1</v>
      </c>
      <c r="D128" s="27" t="s">
        <v>244</v>
      </c>
      <c r="E128" s="27" t="s">
        <v>418</v>
      </c>
      <c r="F128" s="31"/>
      <c r="G128" s="27"/>
      <c r="H128" s="32" t="str">
        <f aca="false">IF(A128="","",A128&amp;"|"&amp;COUNTIF($A$6:A128,A128))</f>
        <v>29 · BKMUJU03|3</v>
      </c>
    </row>
    <row r="129" customFormat="false" ht="15" hidden="false" customHeight="false" outlineLevel="0" collapsed="false">
      <c r="A129" s="27" t="s">
        <v>149</v>
      </c>
      <c r="B129" s="27" t="s">
        <v>417</v>
      </c>
      <c r="C129" s="27" t="n">
        <v>1</v>
      </c>
      <c r="D129" s="27" t="s">
        <v>244</v>
      </c>
      <c r="E129" s="27" t="s">
        <v>418</v>
      </c>
      <c r="F129" s="31"/>
      <c r="G129" s="27"/>
      <c r="H129" s="32" t="str">
        <f aca="false">IF(A129="","",A129&amp;"|"&amp;COUNTIF($A$6:A129,A129))</f>
        <v>30 · BKHOMU03|1</v>
      </c>
    </row>
    <row r="130" customFormat="false" ht="15" hidden="false" customHeight="false" outlineLevel="0" collapsed="false">
      <c r="A130" s="27" t="s">
        <v>149</v>
      </c>
      <c r="B130" s="27" t="s">
        <v>419</v>
      </c>
      <c r="C130" s="27" t="n">
        <v>1</v>
      </c>
      <c r="D130" s="27" t="s">
        <v>244</v>
      </c>
      <c r="E130" s="27" t="s">
        <v>418</v>
      </c>
      <c r="F130" s="31"/>
      <c r="G130" s="27"/>
      <c r="H130" s="32" t="str">
        <f aca="false">IF(A130="","",A130&amp;"|"&amp;COUNTIF($A$6:A130,A130))</f>
        <v>30 · BKHOMU03|2</v>
      </c>
    </row>
    <row r="131" customFormat="false" ht="15" hidden="false" customHeight="false" outlineLevel="0" collapsed="false">
      <c r="A131" s="27" t="s">
        <v>149</v>
      </c>
      <c r="B131" s="27" t="s">
        <v>425</v>
      </c>
      <c r="C131" s="27" t="n">
        <v>1</v>
      </c>
      <c r="D131" s="27" t="s">
        <v>244</v>
      </c>
      <c r="E131" s="27" t="s">
        <v>418</v>
      </c>
      <c r="F131" s="31"/>
      <c r="G131" s="27"/>
      <c r="H131" s="32" t="str">
        <f aca="false">IF(A131="","",A131&amp;"|"&amp;COUNTIF($A$6:A131,A131))</f>
        <v>30 · BKHOMU03|3</v>
      </c>
    </row>
    <row r="132" customFormat="false" ht="15" hidden="false" customHeight="false" outlineLevel="0" collapsed="false">
      <c r="A132" s="27" t="s">
        <v>152</v>
      </c>
      <c r="B132" s="27" t="s">
        <v>417</v>
      </c>
      <c r="C132" s="27" t="n">
        <v>1</v>
      </c>
      <c r="D132" s="27" t="s">
        <v>244</v>
      </c>
      <c r="E132" s="27" t="s">
        <v>418</v>
      </c>
      <c r="F132" s="31"/>
      <c r="G132" s="27"/>
      <c r="H132" s="32" t="str">
        <f aca="false">IF(A132="","",A132&amp;"|"&amp;COUNTIF($A$6:A132,A132))</f>
        <v>31 · BKINMUJU03|1</v>
      </c>
    </row>
    <row r="133" customFormat="false" ht="15" hidden="false" customHeight="false" outlineLevel="0" collapsed="false">
      <c r="A133" s="27" t="s">
        <v>152</v>
      </c>
      <c r="B133" s="27" t="s">
        <v>419</v>
      </c>
      <c r="C133" s="27" t="n">
        <v>1</v>
      </c>
      <c r="D133" s="27" t="s">
        <v>244</v>
      </c>
      <c r="E133" s="27" t="s">
        <v>418</v>
      </c>
      <c r="F133" s="31"/>
      <c r="G133" s="27"/>
      <c r="H133" s="32" t="str">
        <f aca="false">IF(A133="","",A133&amp;"|"&amp;COUNTIF($A$6:A133,A133))</f>
        <v>31 · BKINMUJU03|2</v>
      </c>
    </row>
    <row r="134" customFormat="false" ht="15" hidden="false" customHeight="false" outlineLevel="0" collapsed="false">
      <c r="A134" s="27" t="s">
        <v>152</v>
      </c>
      <c r="B134" s="27" t="s">
        <v>425</v>
      </c>
      <c r="C134" s="27" t="n">
        <v>1</v>
      </c>
      <c r="D134" s="27" t="s">
        <v>244</v>
      </c>
      <c r="E134" s="27" t="s">
        <v>418</v>
      </c>
      <c r="F134" s="31"/>
      <c r="G134" s="27"/>
      <c r="H134" s="32" t="str">
        <f aca="false">IF(A134="","",A134&amp;"|"&amp;COUNTIF($A$6:A134,A134))</f>
        <v>31 · BKINMUJU03|3</v>
      </c>
    </row>
    <row r="135" customFormat="false" ht="15" hidden="false" customHeight="false" outlineLevel="0" collapsed="false">
      <c r="A135" s="27" t="s">
        <v>154</v>
      </c>
      <c r="B135" s="27" t="s">
        <v>417</v>
      </c>
      <c r="C135" s="27" t="n">
        <v>1</v>
      </c>
      <c r="D135" s="27" t="s">
        <v>244</v>
      </c>
      <c r="E135" s="27" t="s">
        <v>418</v>
      </c>
      <c r="F135" s="31"/>
      <c r="G135" s="27"/>
      <c r="H135" s="32" t="str">
        <f aca="false">IF(A135="","",A135&amp;"|"&amp;COUNTIF($A$6:A135,A135))</f>
        <v>32 · BKINHOMU03|1</v>
      </c>
    </row>
    <row r="136" customFormat="false" ht="15" hidden="false" customHeight="false" outlineLevel="0" collapsed="false">
      <c r="A136" s="27" t="s">
        <v>154</v>
      </c>
      <c r="B136" s="27" t="s">
        <v>419</v>
      </c>
      <c r="C136" s="27" t="n">
        <v>1</v>
      </c>
      <c r="D136" s="27" t="s">
        <v>244</v>
      </c>
      <c r="E136" s="27" t="s">
        <v>418</v>
      </c>
      <c r="F136" s="31"/>
      <c r="G136" s="27"/>
      <c r="H136" s="32" t="str">
        <f aca="false">IF(A136="","",A136&amp;"|"&amp;COUNTIF($A$6:A136,A136))</f>
        <v>32 · BKINHOMU03|2</v>
      </c>
    </row>
    <row r="137" customFormat="false" ht="15" hidden="false" customHeight="false" outlineLevel="0" collapsed="false">
      <c r="A137" s="27" t="s">
        <v>154</v>
      </c>
      <c r="B137" s="27" t="s">
        <v>425</v>
      </c>
      <c r="C137" s="27" t="n">
        <v>1</v>
      </c>
      <c r="D137" s="27" t="s">
        <v>244</v>
      </c>
      <c r="E137" s="27" t="s">
        <v>418</v>
      </c>
      <c r="F137" s="31"/>
      <c r="G137" s="27"/>
      <c r="H137" s="32" t="str">
        <f aca="false">IF(A137="","",A137&amp;"|"&amp;COUNTIF($A$6:A137,A137))</f>
        <v>32 · BKINHOMU03|3</v>
      </c>
    </row>
    <row r="138" customFormat="false" ht="15" hidden="false" customHeight="false" outlineLevel="0" collapsed="false">
      <c r="A138" s="27" t="s">
        <v>155</v>
      </c>
      <c r="B138" s="27" t="s">
        <v>417</v>
      </c>
      <c r="C138" s="27" t="n">
        <v>1</v>
      </c>
      <c r="D138" s="27" t="s">
        <v>244</v>
      </c>
      <c r="E138" s="27" t="s">
        <v>418</v>
      </c>
      <c r="F138" s="31"/>
      <c r="G138" s="27"/>
      <c r="H138" s="32" t="str">
        <f aca="false">IF(A138="","",A138&amp;"|"&amp;COUNTIF($A$6:A138,A138))</f>
        <v>33 · BKMUJV03|1</v>
      </c>
    </row>
    <row r="139" customFormat="false" ht="15" hidden="false" customHeight="false" outlineLevel="0" collapsed="false">
      <c r="A139" s="27" t="s">
        <v>155</v>
      </c>
      <c r="B139" s="27" t="s">
        <v>419</v>
      </c>
      <c r="C139" s="27" t="n">
        <v>1</v>
      </c>
      <c r="D139" s="27" t="s">
        <v>244</v>
      </c>
      <c r="E139" s="27" t="s">
        <v>418</v>
      </c>
      <c r="F139" s="31"/>
      <c r="G139" s="27"/>
      <c r="H139" s="32" t="str">
        <f aca="false">IF(A139="","",A139&amp;"|"&amp;COUNTIF($A$6:A139,A139))</f>
        <v>33 · BKMUJV03|2</v>
      </c>
    </row>
    <row r="140" customFormat="false" ht="15" hidden="false" customHeight="false" outlineLevel="0" collapsed="false">
      <c r="A140" s="27" t="s">
        <v>155</v>
      </c>
      <c r="B140" s="27" t="s">
        <v>425</v>
      </c>
      <c r="C140" s="27" t="n">
        <v>1</v>
      </c>
      <c r="D140" s="27" t="s">
        <v>244</v>
      </c>
      <c r="E140" s="27" t="s">
        <v>418</v>
      </c>
      <c r="F140" s="31"/>
      <c r="G140" s="27"/>
      <c r="H140" s="32" t="str">
        <f aca="false">IF(A140="","",A140&amp;"|"&amp;COUNTIF($A$6:A140,A140))</f>
        <v>33 · BKMUJV03|3</v>
      </c>
    </row>
    <row r="141" customFormat="false" ht="15" hidden="false" customHeight="false" outlineLevel="0" collapsed="false">
      <c r="A141" s="27" t="s">
        <v>157</v>
      </c>
      <c r="B141" s="27" t="s">
        <v>417</v>
      </c>
      <c r="C141" s="27" t="n">
        <v>1</v>
      </c>
      <c r="D141" s="27" t="s">
        <v>244</v>
      </c>
      <c r="E141" s="27" t="s">
        <v>418</v>
      </c>
      <c r="F141" s="31"/>
      <c r="G141" s="27"/>
      <c r="H141" s="32" t="str">
        <f aca="false">IF(A141="","",A141&amp;"|"&amp;COUNTIF($A$6:A141,A141))</f>
        <v>34 · BKHOMV03|1</v>
      </c>
    </row>
    <row r="142" customFormat="false" ht="15" hidden="false" customHeight="false" outlineLevel="0" collapsed="false">
      <c r="A142" s="27" t="s">
        <v>157</v>
      </c>
      <c r="B142" s="27" t="s">
        <v>419</v>
      </c>
      <c r="C142" s="27" t="n">
        <v>1</v>
      </c>
      <c r="D142" s="27" t="s">
        <v>244</v>
      </c>
      <c r="E142" s="27" t="s">
        <v>418</v>
      </c>
      <c r="F142" s="31"/>
      <c r="G142" s="27"/>
      <c r="H142" s="32" t="str">
        <f aca="false">IF(A142="","",A142&amp;"|"&amp;COUNTIF($A$6:A142,A142))</f>
        <v>34 · BKHOMV03|2</v>
      </c>
    </row>
    <row r="143" customFormat="false" ht="15" hidden="false" customHeight="false" outlineLevel="0" collapsed="false">
      <c r="A143" s="27" t="s">
        <v>157</v>
      </c>
      <c r="B143" s="27" t="s">
        <v>425</v>
      </c>
      <c r="C143" s="27" t="n">
        <v>1</v>
      </c>
      <c r="D143" s="27" t="s">
        <v>244</v>
      </c>
      <c r="E143" s="27" t="s">
        <v>418</v>
      </c>
      <c r="F143" s="31"/>
      <c r="G143" s="27"/>
      <c r="H143" s="32" t="str">
        <f aca="false">IF(A143="","",A143&amp;"|"&amp;COUNTIF($A$6:A143,A143))</f>
        <v>34 · BKHOMV03|3</v>
      </c>
    </row>
    <row r="144" customFormat="false" ht="15" hidden="false" customHeight="false" outlineLevel="0" collapsed="false">
      <c r="A144" s="27" t="s">
        <v>158</v>
      </c>
      <c r="B144" s="27" t="s">
        <v>417</v>
      </c>
      <c r="C144" s="27" t="n">
        <v>1</v>
      </c>
      <c r="D144" s="27" t="s">
        <v>244</v>
      </c>
      <c r="E144" s="27" t="s">
        <v>418</v>
      </c>
      <c r="F144" s="31"/>
      <c r="G144" s="27"/>
      <c r="H144" s="32" t="str">
        <f aca="false">IF(A144="","",A144&amp;"|"&amp;COUNTIF($A$6:A144,A144))</f>
        <v>35 · BKINMUJV03|1</v>
      </c>
    </row>
    <row r="145" customFormat="false" ht="15" hidden="false" customHeight="false" outlineLevel="0" collapsed="false">
      <c r="A145" s="27" t="s">
        <v>158</v>
      </c>
      <c r="B145" s="27" t="s">
        <v>419</v>
      </c>
      <c r="C145" s="27" t="n">
        <v>1</v>
      </c>
      <c r="D145" s="27" t="s">
        <v>244</v>
      </c>
      <c r="E145" s="27" t="s">
        <v>418</v>
      </c>
      <c r="F145" s="31"/>
      <c r="G145" s="27"/>
      <c r="H145" s="32" t="str">
        <f aca="false">IF(A145="","",A145&amp;"|"&amp;COUNTIF($A$6:A145,A145))</f>
        <v>35 · BKINMUJV03|2</v>
      </c>
    </row>
    <row r="146" customFormat="false" ht="15" hidden="false" customHeight="false" outlineLevel="0" collapsed="false">
      <c r="A146" s="27" t="s">
        <v>158</v>
      </c>
      <c r="B146" s="27" t="s">
        <v>425</v>
      </c>
      <c r="C146" s="27" t="n">
        <v>1</v>
      </c>
      <c r="D146" s="27" t="s">
        <v>244</v>
      </c>
      <c r="E146" s="27" t="s">
        <v>418</v>
      </c>
      <c r="F146" s="31"/>
      <c r="G146" s="27"/>
      <c r="H146" s="32" t="str">
        <f aca="false">IF(A146="","",A146&amp;"|"&amp;COUNTIF($A$6:A146,A146))</f>
        <v>35 · BKINMUJV03|3</v>
      </c>
    </row>
    <row r="147" customFormat="false" ht="15" hidden="false" customHeight="false" outlineLevel="0" collapsed="false">
      <c r="A147" s="27" t="s">
        <v>160</v>
      </c>
      <c r="B147" s="27" t="s">
        <v>417</v>
      </c>
      <c r="C147" s="27" t="n">
        <v>1</v>
      </c>
      <c r="D147" s="27" t="s">
        <v>244</v>
      </c>
      <c r="E147" s="27" t="s">
        <v>418</v>
      </c>
      <c r="F147" s="31"/>
      <c r="G147" s="27"/>
      <c r="H147" s="32" t="str">
        <f aca="false">IF(A147="","",A147&amp;"|"&amp;COUNTIF($A$6:A147,A147))</f>
        <v>36 · BKINHOMV03|1</v>
      </c>
    </row>
    <row r="148" customFormat="false" ht="15" hidden="false" customHeight="false" outlineLevel="0" collapsed="false">
      <c r="A148" s="27" t="s">
        <v>160</v>
      </c>
      <c r="B148" s="27" t="s">
        <v>419</v>
      </c>
      <c r="C148" s="27" t="n">
        <v>1</v>
      </c>
      <c r="D148" s="27" t="s">
        <v>244</v>
      </c>
      <c r="E148" s="27" t="s">
        <v>418</v>
      </c>
      <c r="F148" s="31"/>
      <c r="G148" s="27"/>
      <c r="H148" s="32" t="str">
        <f aca="false">IF(A148="","",A148&amp;"|"&amp;COUNTIF($A$6:A148,A148))</f>
        <v>36 · BKINHOMV03|2</v>
      </c>
    </row>
    <row r="149" customFormat="false" ht="15" hidden="false" customHeight="false" outlineLevel="0" collapsed="false">
      <c r="A149" s="27" t="s">
        <v>160</v>
      </c>
      <c r="B149" s="27" t="s">
        <v>425</v>
      </c>
      <c r="C149" s="27" t="n">
        <v>1</v>
      </c>
      <c r="D149" s="27" t="s">
        <v>244</v>
      </c>
      <c r="E149" s="27" t="s">
        <v>418</v>
      </c>
      <c r="F149" s="31"/>
      <c r="G149" s="27"/>
      <c r="H149" s="32" t="str">
        <f aca="false">IF(A149="","",A149&amp;"|"&amp;COUNTIF($A$6:A149,A149))</f>
        <v>36 · BKINHOMV03|3</v>
      </c>
    </row>
    <row r="150" customFormat="false" ht="15" hidden="false" customHeight="false" outlineLevel="0" collapsed="false">
      <c r="A150" s="27" t="s">
        <v>161</v>
      </c>
      <c r="B150" s="27" t="s">
        <v>426</v>
      </c>
      <c r="C150" s="27" t="n">
        <v>1</v>
      </c>
      <c r="D150" s="27" t="s">
        <v>244</v>
      </c>
      <c r="E150" s="27" t="s">
        <v>418</v>
      </c>
      <c r="F150" s="31"/>
      <c r="G150" s="27"/>
      <c r="H150" s="32" t="str">
        <f aca="false">IF(A150="","",A150&amp;"|"&amp;COUNTIF($A$6:A150,A150))</f>
        <v>37 · BKMUJU03RE|1</v>
      </c>
    </row>
    <row r="151" customFormat="false" ht="15" hidden="false" customHeight="false" outlineLevel="0" collapsed="false">
      <c r="A151" s="27" t="s">
        <v>161</v>
      </c>
      <c r="B151" s="27" t="s">
        <v>427</v>
      </c>
      <c r="C151" s="27" t="n">
        <v>1</v>
      </c>
      <c r="D151" s="27" t="s">
        <v>244</v>
      </c>
      <c r="E151" s="27" t="s">
        <v>418</v>
      </c>
      <c r="F151" s="31"/>
      <c r="G151" s="27"/>
      <c r="H151" s="32" t="str">
        <f aca="false">IF(A151="","",A151&amp;"|"&amp;COUNTIF($A$6:A151,A151))</f>
        <v>37 · BKMUJU03RE|2</v>
      </c>
    </row>
    <row r="152" customFormat="false" ht="15" hidden="false" customHeight="false" outlineLevel="0" collapsed="false">
      <c r="A152" s="27" t="s">
        <v>161</v>
      </c>
      <c r="B152" s="27" t="s">
        <v>428</v>
      </c>
      <c r="C152" s="27" t="n">
        <v>1</v>
      </c>
      <c r="D152" s="27" t="s">
        <v>244</v>
      </c>
      <c r="E152" s="27" t="s">
        <v>418</v>
      </c>
      <c r="F152" s="31"/>
      <c r="G152" s="27"/>
      <c r="H152" s="32" t="str">
        <f aca="false">IF(A152="","",A152&amp;"|"&amp;COUNTIF($A$6:A152,A152))</f>
        <v>37 · BKMUJU03RE|3</v>
      </c>
    </row>
    <row r="153" customFormat="false" ht="15" hidden="false" customHeight="false" outlineLevel="0" collapsed="false">
      <c r="A153" s="27" t="s">
        <v>161</v>
      </c>
      <c r="B153" s="27" t="s">
        <v>429</v>
      </c>
      <c r="C153" s="27" t="n">
        <v>1</v>
      </c>
      <c r="D153" s="27" t="s">
        <v>244</v>
      </c>
      <c r="E153" s="27" t="s">
        <v>418</v>
      </c>
      <c r="F153" s="31"/>
      <c r="G153" s="27"/>
      <c r="H153" s="32" t="str">
        <f aca="false">IF(A153="","",A153&amp;"|"&amp;COUNTIF($A$6:A153,A153))</f>
        <v>37 · BKMUJU03RE|4</v>
      </c>
    </row>
    <row r="154" customFormat="false" ht="15" hidden="false" customHeight="false" outlineLevel="0" collapsed="false">
      <c r="A154" s="27" t="s">
        <v>161</v>
      </c>
      <c r="B154" s="27" t="s">
        <v>425</v>
      </c>
      <c r="C154" s="27" t="n">
        <v>1</v>
      </c>
      <c r="D154" s="27" t="s">
        <v>244</v>
      </c>
      <c r="E154" s="27" t="s">
        <v>418</v>
      </c>
      <c r="F154" s="31"/>
      <c r="G154" s="27"/>
      <c r="H154" s="32" t="str">
        <f aca="false">IF(A154="","",A154&amp;"|"&amp;COUNTIF($A$6:A154,A154))</f>
        <v>37 · BKMUJU03RE|5</v>
      </c>
    </row>
    <row r="155" customFormat="false" ht="15" hidden="false" customHeight="false" outlineLevel="0" collapsed="false">
      <c r="A155" s="27" t="s">
        <v>164</v>
      </c>
      <c r="B155" s="27" t="s">
        <v>426</v>
      </c>
      <c r="C155" s="27" t="n">
        <v>1</v>
      </c>
      <c r="D155" s="27" t="s">
        <v>244</v>
      </c>
      <c r="E155" s="27" t="s">
        <v>418</v>
      </c>
      <c r="F155" s="31"/>
      <c r="G155" s="27"/>
      <c r="H155" s="32" t="str">
        <f aca="false">IF(A155="","",A155&amp;"|"&amp;COUNTIF($A$6:A155,A155))</f>
        <v>38 · BKHOMU03RE|1</v>
      </c>
    </row>
    <row r="156" customFormat="false" ht="15" hidden="false" customHeight="false" outlineLevel="0" collapsed="false">
      <c r="A156" s="27" t="s">
        <v>164</v>
      </c>
      <c r="B156" s="27" t="s">
        <v>427</v>
      </c>
      <c r="C156" s="27" t="n">
        <v>1</v>
      </c>
      <c r="D156" s="27" t="s">
        <v>244</v>
      </c>
      <c r="E156" s="27" t="s">
        <v>418</v>
      </c>
      <c r="F156" s="31"/>
      <c r="G156" s="27"/>
      <c r="H156" s="32" t="str">
        <f aca="false">IF(A156="","",A156&amp;"|"&amp;COUNTIF($A$6:A156,A156))</f>
        <v>38 · BKHOMU03RE|2</v>
      </c>
    </row>
    <row r="157" customFormat="false" ht="15" hidden="false" customHeight="false" outlineLevel="0" collapsed="false">
      <c r="A157" s="27" t="s">
        <v>164</v>
      </c>
      <c r="B157" s="27" t="s">
        <v>428</v>
      </c>
      <c r="C157" s="27" t="n">
        <v>1</v>
      </c>
      <c r="D157" s="27" t="s">
        <v>244</v>
      </c>
      <c r="E157" s="27" t="s">
        <v>418</v>
      </c>
      <c r="F157" s="31"/>
      <c r="G157" s="27"/>
      <c r="H157" s="32" t="str">
        <f aca="false">IF(A157="","",A157&amp;"|"&amp;COUNTIF($A$6:A157,A157))</f>
        <v>38 · BKHOMU03RE|3</v>
      </c>
    </row>
    <row r="158" customFormat="false" ht="15" hidden="false" customHeight="false" outlineLevel="0" collapsed="false">
      <c r="A158" s="27" t="s">
        <v>164</v>
      </c>
      <c r="B158" s="27" t="s">
        <v>429</v>
      </c>
      <c r="C158" s="27" t="n">
        <v>1</v>
      </c>
      <c r="D158" s="27" t="s">
        <v>244</v>
      </c>
      <c r="E158" s="27" t="s">
        <v>418</v>
      </c>
      <c r="F158" s="31"/>
      <c r="G158" s="27"/>
      <c r="H158" s="32" t="str">
        <f aca="false">IF(A158="","",A158&amp;"|"&amp;COUNTIF($A$6:A158,A158))</f>
        <v>38 · BKHOMU03RE|4</v>
      </c>
    </row>
    <row r="159" customFormat="false" ht="15" hidden="false" customHeight="false" outlineLevel="0" collapsed="false">
      <c r="A159" s="27" t="s">
        <v>164</v>
      </c>
      <c r="B159" s="27" t="s">
        <v>425</v>
      </c>
      <c r="C159" s="27" t="n">
        <v>1</v>
      </c>
      <c r="D159" s="27" t="s">
        <v>244</v>
      </c>
      <c r="E159" s="27" t="s">
        <v>418</v>
      </c>
      <c r="F159" s="31"/>
      <c r="G159" s="27"/>
      <c r="H159" s="32" t="str">
        <f aca="false">IF(A159="","",A159&amp;"|"&amp;COUNTIF($A$6:A159,A159))</f>
        <v>38 · BKHOMU03RE|5</v>
      </c>
    </row>
    <row r="160" customFormat="false" ht="15" hidden="false" customHeight="false" outlineLevel="0" collapsed="false">
      <c r="A160" s="27" t="s">
        <v>165</v>
      </c>
      <c r="B160" s="27" t="s">
        <v>426</v>
      </c>
      <c r="C160" s="27" t="n">
        <v>1</v>
      </c>
      <c r="D160" s="27" t="s">
        <v>244</v>
      </c>
      <c r="E160" s="27" t="s">
        <v>418</v>
      </c>
      <c r="F160" s="31"/>
      <c r="G160" s="27"/>
      <c r="H160" s="32" t="str">
        <f aca="false">IF(A160="","",A160&amp;"|"&amp;COUNTIF($A$6:A160,A160))</f>
        <v>39 · BKINMUJU03|1</v>
      </c>
    </row>
    <row r="161" customFormat="false" ht="15" hidden="false" customHeight="false" outlineLevel="0" collapsed="false">
      <c r="A161" s="27" t="s">
        <v>165</v>
      </c>
      <c r="B161" s="27" t="s">
        <v>427</v>
      </c>
      <c r="C161" s="27" t="n">
        <v>1</v>
      </c>
      <c r="D161" s="27" t="s">
        <v>244</v>
      </c>
      <c r="E161" s="27" t="s">
        <v>418</v>
      </c>
      <c r="F161" s="31"/>
      <c r="G161" s="27"/>
      <c r="H161" s="32" t="str">
        <f aca="false">IF(A161="","",A161&amp;"|"&amp;COUNTIF($A$6:A161,A161))</f>
        <v>39 · BKINMUJU03|2</v>
      </c>
    </row>
    <row r="162" customFormat="false" ht="15" hidden="false" customHeight="false" outlineLevel="0" collapsed="false">
      <c r="A162" s="27" t="s">
        <v>165</v>
      </c>
      <c r="B162" s="27" t="s">
        <v>428</v>
      </c>
      <c r="C162" s="27" t="n">
        <v>1</v>
      </c>
      <c r="D162" s="27" t="s">
        <v>244</v>
      </c>
      <c r="E162" s="27" t="s">
        <v>418</v>
      </c>
      <c r="F162" s="31"/>
      <c r="G162" s="27"/>
      <c r="H162" s="32" t="str">
        <f aca="false">IF(A162="","",A162&amp;"|"&amp;COUNTIF($A$6:A162,A162))</f>
        <v>39 · BKINMUJU03|3</v>
      </c>
    </row>
    <row r="163" customFormat="false" ht="15" hidden="false" customHeight="false" outlineLevel="0" collapsed="false">
      <c r="A163" s="27" t="s">
        <v>165</v>
      </c>
      <c r="B163" s="27" t="s">
        <v>429</v>
      </c>
      <c r="C163" s="27" t="n">
        <v>1</v>
      </c>
      <c r="D163" s="27" t="s">
        <v>244</v>
      </c>
      <c r="E163" s="27" t="s">
        <v>418</v>
      </c>
      <c r="F163" s="31"/>
      <c r="G163" s="27"/>
      <c r="H163" s="32" t="str">
        <f aca="false">IF(A163="","",A163&amp;"|"&amp;COUNTIF($A$6:A163,A163))</f>
        <v>39 · BKINMUJU03|4</v>
      </c>
    </row>
    <row r="164" customFormat="false" ht="15" hidden="false" customHeight="false" outlineLevel="0" collapsed="false">
      <c r="A164" s="27" t="s">
        <v>165</v>
      </c>
      <c r="B164" s="27" t="s">
        <v>425</v>
      </c>
      <c r="C164" s="27" t="n">
        <v>1</v>
      </c>
      <c r="D164" s="27" t="s">
        <v>244</v>
      </c>
      <c r="E164" s="27" t="s">
        <v>418</v>
      </c>
      <c r="F164" s="31"/>
      <c r="G164" s="27"/>
      <c r="H164" s="32" t="str">
        <f aca="false">IF(A164="","",A164&amp;"|"&amp;COUNTIF($A$6:A164,A164))</f>
        <v>39 · BKINMUJU03|5</v>
      </c>
    </row>
    <row r="165" customFormat="false" ht="15" hidden="false" customHeight="false" outlineLevel="0" collapsed="false">
      <c r="A165" s="27" t="s">
        <v>167</v>
      </c>
      <c r="B165" s="27" t="s">
        <v>426</v>
      </c>
      <c r="C165" s="27" t="n">
        <v>1</v>
      </c>
      <c r="D165" s="27" t="s">
        <v>244</v>
      </c>
      <c r="E165" s="27" t="s">
        <v>418</v>
      </c>
      <c r="F165" s="31"/>
      <c r="G165" s="27"/>
      <c r="H165" s="32" t="str">
        <f aca="false">IF(A165="","",A165&amp;"|"&amp;COUNTIF($A$6:A165,A165))</f>
        <v>40 · BKINHOMU03RE|1</v>
      </c>
    </row>
    <row r="166" customFormat="false" ht="15" hidden="false" customHeight="false" outlineLevel="0" collapsed="false">
      <c r="A166" s="27" t="s">
        <v>167</v>
      </c>
      <c r="B166" s="27" t="s">
        <v>427</v>
      </c>
      <c r="C166" s="27" t="n">
        <v>1</v>
      </c>
      <c r="D166" s="27" t="s">
        <v>244</v>
      </c>
      <c r="E166" s="27" t="s">
        <v>418</v>
      </c>
      <c r="F166" s="31"/>
      <c r="G166" s="27"/>
      <c r="H166" s="32" t="str">
        <f aca="false">IF(A166="","",A166&amp;"|"&amp;COUNTIF($A$6:A166,A166))</f>
        <v>40 · BKINHOMU03RE|2</v>
      </c>
    </row>
    <row r="167" customFormat="false" ht="15" hidden="false" customHeight="false" outlineLevel="0" collapsed="false">
      <c r="A167" s="27" t="s">
        <v>167</v>
      </c>
      <c r="B167" s="27" t="s">
        <v>428</v>
      </c>
      <c r="C167" s="27" t="n">
        <v>1</v>
      </c>
      <c r="D167" s="27" t="s">
        <v>244</v>
      </c>
      <c r="E167" s="27" t="s">
        <v>418</v>
      </c>
      <c r="F167" s="31"/>
      <c r="G167" s="27"/>
      <c r="H167" s="32" t="str">
        <f aca="false">IF(A167="","",A167&amp;"|"&amp;COUNTIF($A$6:A167,A167))</f>
        <v>40 · BKINHOMU03RE|3</v>
      </c>
    </row>
    <row r="168" customFormat="false" ht="15" hidden="false" customHeight="false" outlineLevel="0" collapsed="false">
      <c r="A168" s="27" t="s">
        <v>167</v>
      </c>
      <c r="B168" s="27" t="s">
        <v>429</v>
      </c>
      <c r="C168" s="27" t="n">
        <v>1</v>
      </c>
      <c r="D168" s="27" t="s">
        <v>244</v>
      </c>
      <c r="E168" s="27" t="s">
        <v>418</v>
      </c>
      <c r="F168" s="31"/>
      <c r="G168" s="27"/>
      <c r="H168" s="32" t="str">
        <f aca="false">IF(A168="","",A168&amp;"|"&amp;COUNTIF($A$6:A168,A168))</f>
        <v>40 · BKINHOMU03RE|4</v>
      </c>
    </row>
    <row r="169" customFormat="false" ht="15" hidden="false" customHeight="false" outlineLevel="0" collapsed="false">
      <c r="A169" s="27" t="s">
        <v>167</v>
      </c>
      <c r="B169" s="27" t="s">
        <v>425</v>
      </c>
      <c r="C169" s="27" t="n">
        <v>1</v>
      </c>
      <c r="D169" s="27" t="s">
        <v>244</v>
      </c>
      <c r="E169" s="27" t="s">
        <v>418</v>
      </c>
      <c r="F169" s="31"/>
      <c r="G169" s="27"/>
      <c r="H169" s="32" t="str">
        <f aca="false">IF(A169="","",A169&amp;"|"&amp;COUNTIF($A$6:A169,A169))</f>
        <v>40 · BKINHOMU03RE|5</v>
      </c>
    </row>
    <row r="170" customFormat="false" ht="15" hidden="false" customHeight="false" outlineLevel="0" collapsed="false">
      <c r="A170" s="27" t="s">
        <v>168</v>
      </c>
      <c r="B170" s="27" t="s">
        <v>417</v>
      </c>
      <c r="C170" s="27" t="n">
        <v>1</v>
      </c>
      <c r="D170" s="27" t="s">
        <v>244</v>
      </c>
      <c r="E170" s="27" t="s">
        <v>418</v>
      </c>
      <c r="F170" s="31"/>
      <c r="G170" s="27"/>
      <c r="H170" s="32" t="str">
        <f aca="false">IF(A170="","",A170&amp;"|"&amp;COUNTIF($A$6:A170,A170))</f>
        <v>41 · BKMUJU03PRO|1</v>
      </c>
    </row>
    <row r="171" customFormat="false" ht="15" hidden="false" customHeight="false" outlineLevel="0" collapsed="false">
      <c r="A171" s="27" t="s">
        <v>168</v>
      </c>
      <c r="B171" s="27" t="s">
        <v>419</v>
      </c>
      <c r="C171" s="27" t="n">
        <v>1</v>
      </c>
      <c r="D171" s="27" t="s">
        <v>244</v>
      </c>
      <c r="E171" s="27" t="s">
        <v>418</v>
      </c>
      <c r="F171" s="31"/>
      <c r="G171" s="27"/>
      <c r="H171" s="32" t="str">
        <f aca="false">IF(A171="","",A171&amp;"|"&amp;COUNTIF($A$6:A171,A171))</f>
        <v>41 · BKMUJU03PRO|2</v>
      </c>
    </row>
    <row r="172" customFormat="false" ht="15" hidden="false" customHeight="false" outlineLevel="0" collapsed="false">
      <c r="A172" s="27" t="s">
        <v>168</v>
      </c>
      <c r="B172" s="27" t="s">
        <v>425</v>
      </c>
      <c r="C172" s="27" t="n">
        <v>1</v>
      </c>
      <c r="D172" s="27" t="s">
        <v>244</v>
      </c>
      <c r="E172" s="27" t="s">
        <v>418</v>
      </c>
      <c r="F172" s="31"/>
      <c r="G172" s="27"/>
      <c r="H172" s="32" t="str">
        <f aca="false">IF(A172="","",A172&amp;"|"&amp;COUNTIF($A$6:A172,A172))</f>
        <v>41 · BKMUJU03PRO|3</v>
      </c>
    </row>
    <row r="173" customFormat="false" ht="15" hidden="false" customHeight="false" outlineLevel="0" collapsed="false">
      <c r="A173" s="27" t="s">
        <v>168</v>
      </c>
      <c r="B173" s="27" t="s">
        <v>423</v>
      </c>
      <c r="C173" s="27" t="n">
        <v>2</v>
      </c>
      <c r="D173" s="27" t="s">
        <v>72</v>
      </c>
      <c r="E173" s="27" t="s">
        <v>418</v>
      </c>
      <c r="F173" s="31"/>
      <c r="G173" s="27"/>
      <c r="H173" s="32" t="str">
        <f aca="false">IF(A173="","",A173&amp;"|"&amp;COUNTIF($A$6:A173,A173))</f>
        <v>41 · BKMUJU03PRO|4</v>
      </c>
    </row>
    <row r="174" customFormat="false" ht="15" hidden="false" customHeight="false" outlineLevel="0" collapsed="false">
      <c r="A174" s="27" t="s">
        <v>171</v>
      </c>
      <c r="B174" s="27" t="s">
        <v>417</v>
      </c>
      <c r="C174" s="27" t="n">
        <v>1</v>
      </c>
      <c r="D174" s="27" t="s">
        <v>244</v>
      </c>
      <c r="E174" s="27" t="s">
        <v>418</v>
      </c>
      <c r="F174" s="31"/>
      <c r="G174" s="27"/>
      <c r="H174" s="32" t="str">
        <f aca="false">IF(A174="","",A174&amp;"|"&amp;COUNTIF($A$6:A174,A174))</f>
        <v>42 · BKHOMU03PRO|1</v>
      </c>
    </row>
    <row r="175" customFormat="false" ht="15" hidden="false" customHeight="false" outlineLevel="0" collapsed="false">
      <c r="A175" s="27" t="s">
        <v>171</v>
      </c>
      <c r="B175" s="27" t="s">
        <v>419</v>
      </c>
      <c r="C175" s="27" t="n">
        <v>1</v>
      </c>
      <c r="D175" s="27" t="s">
        <v>244</v>
      </c>
      <c r="E175" s="27" t="s">
        <v>418</v>
      </c>
      <c r="F175" s="31"/>
      <c r="G175" s="27"/>
      <c r="H175" s="32" t="str">
        <f aca="false">IF(A175="","",A175&amp;"|"&amp;COUNTIF($A$6:A175,A175))</f>
        <v>42 · BKHOMU03PRO|2</v>
      </c>
    </row>
    <row r="176" customFormat="false" ht="15" hidden="false" customHeight="false" outlineLevel="0" collapsed="false">
      <c r="A176" s="27" t="s">
        <v>171</v>
      </c>
      <c r="B176" s="27" t="s">
        <v>425</v>
      </c>
      <c r="C176" s="27" t="n">
        <v>1</v>
      </c>
      <c r="D176" s="27" t="s">
        <v>244</v>
      </c>
      <c r="E176" s="27" t="s">
        <v>418</v>
      </c>
      <c r="F176" s="31"/>
      <c r="G176" s="27"/>
      <c r="H176" s="32" t="str">
        <f aca="false">IF(A176="","",A176&amp;"|"&amp;COUNTIF($A$6:A176,A176))</f>
        <v>42 · BKHOMU03PRO|3</v>
      </c>
    </row>
    <row r="177" customFormat="false" ht="15" hidden="false" customHeight="false" outlineLevel="0" collapsed="false">
      <c r="A177" s="27" t="s">
        <v>171</v>
      </c>
      <c r="B177" s="27" t="s">
        <v>423</v>
      </c>
      <c r="C177" s="27" t="n">
        <v>2</v>
      </c>
      <c r="D177" s="27" t="s">
        <v>72</v>
      </c>
      <c r="E177" s="27" t="s">
        <v>418</v>
      </c>
      <c r="F177" s="31"/>
      <c r="G177" s="27"/>
      <c r="H177" s="32" t="str">
        <f aca="false">IF(A177="","",A177&amp;"|"&amp;COUNTIF($A$6:A177,A177))</f>
        <v>42 · BKHOMU03PRO|4</v>
      </c>
    </row>
    <row r="178" customFormat="false" ht="15" hidden="false" customHeight="false" outlineLevel="0" collapsed="false">
      <c r="A178" s="27" t="s">
        <v>172</v>
      </c>
      <c r="B178" s="27" t="s">
        <v>417</v>
      </c>
      <c r="C178" s="27" t="n">
        <v>1</v>
      </c>
      <c r="D178" s="27" t="s">
        <v>244</v>
      </c>
      <c r="E178" s="27" t="s">
        <v>418</v>
      </c>
      <c r="F178" s="31"/>
      <c r="G178" s="27"/>
      <c r="H178" s="32" t="str">
        <f aca="false">IF(A178="","",A178&amp;"|"&amp;COUNTIF($A$6:A178,A178))</f>
        <v>43 · BKMUJV03PRO|1</v>
      </c>
    </row>
    <row r="179" customFormat="false" ht="15" hidden="false" customHeight="false" outlineLevel="0" collapsed="false">
      <c r="A179" s="27" t="s">
        <v>172</v>
      </c>
      <c r="B179" s="27" t="s">
        <v>419</v>
      </c>
      <c r="C179" s="27" t="n">
        <v>1</v>
      </c>
      <c r="D179" s="27" t="s">
        <v>244</v>
      </c>
      <c r="E179" s="27" t="s">
        <v>418</v>
      </c>
      <c r="F179" s="31"/>
      <c r="G179" s="27"/>
      <c r="H179" s="32" t="str">
        <f aca="false">IF(A179="","",A179&amp;"|"&amp;COUNTIF($A$6:A179,A179))</f>
        <v>43 · BKMUJV03PRO|2</v>
      </c>
    </row>
    <row r="180" customFormat="false" ht="15" hidden="false" customHeight="false" outlineLevel="0" collapsed="false">
      <c r="A180" s="27" t="s">
        <v>172</v>
      </c>
      <c r="B180" s="27" t="s">
        <v>425</v>
      </c>
      <c r="C180" s="27" t="n">
        <v>1</v>
      </c>
      <c r="D180" s="27" t="s">
        <v>244</v>
      </c>
      <c r="E180" s="27" t="s">
        <v>418</v>
      </c>
      <c r="F180" s="31"/>
      <c r="G180" s="27"/>
      <c r="H180" s="32" t="str">
        <f aca="false">IF(A180="","",A180&amp;"|"&amp;COUNTIF($A$6:A180,A180))</f>
        <v>43 · BKMUJV03PRO|3</v>
      </c>
    </row>
    <row r="181" customFormat="false" ht="15" hidden="false" customHeight="false" outlineLevel="0" collapsed="false">
      <c r="A181" s="27" t="s">
        <v>172</v>
      </c>
      <c r="B181" s="27" t="s">
        <v>423</v>
      </c>
      <c r="C181" s="27" t="n">
        <v>2</v>
      </c>
      <c r="D181" s="27" t="s">
        <v>72</v>
      </c>
      <c r="E181" s="27" t="s">
        <v>418</v>
      </c>
      <c r="F181" s="31"/>
      <c r="G181" s="27"/>
      <c r="H181" s="32" t="str">
        <f aca="false">IF(A181="","",A181&amp;"|"&amp;COUNTIF($A$6:A181,A181))</f>
        <v>43 · BKMUJV03PRO|4</v>
      </c>
    </row>
    <row r="182" customFormat="false" ht="15" hidden="false" customHeight="false" outlineLevel="0" collapsed="false">
      <c r="A182" s="27" t="s">
        <v>174</v>
      </c>
      <c r="B182" s="27" t="s">
        <v>417</v>
      </c>
      <c r="C182" s="27" t="n">
        <v>1</v>
      </c>
      <c r="D182" s="27" t="s">
        <v>244</v>
      </c>
      <c r="E182" s="27" t="s">
        <v>418</v>
      </c>
      <c r="F182" s="31"/>
      <c r="G182" s="27"/>
      <c r="H182" s="32" t="str">
        <f aca="false">IF(A182="","",A182&amp;"|"&amp;COUNTIF($A$6:A182,A182))</f>
        <v>44 · BKHOMV03PRO|1</v>
      </c>
    </row>
    <row r="183" customFormat="false" ht="15" hidden="false" customHeight="false" outlineLevel="0" collapsed="false">
      <c r="A183" s="27" t="s">
        <v>174</v>
      </c>
      <c r="B183" s="27" t="s">
        <v>419</v>
      </c>
      <c r="C183" s="27" t="n">
        <v>1</v>
      </c>
      <c r="D183" s="27" t="s">
        <v>244</v>
      </c>
      <c r="E183" s="27" t="s">
        <v>418</v>
      </c>
      <c r="F183" s="31"/>
      <c r="G183" s="27"/>
      <c r="H183" s="32" t="str">
        <f aca="false">IF(A183="","",A183&amp;"|"&amp;COUNTIF($A$6:A183,A183))</f>
        <v>44 · BKHOMV03PRO|2</v>
      </c>
    </row>
    <row r="184" customFormat="false" ht="15" hidden="false" customHeight="false" outlineLevel="0" collapsed="false">
      <c r="A184" s="27" t="s">
        <v>174</v>
      </c>
      <c r="B184" s="27" t="s">
        <v>425</v>
      </c>
      <c r="C184" s="27" t="n">
        <v>1</v>
      </c>
      <c r="D184" s="27" t="s">
        <v>244</v>
      </c>
      <c r="E184" s="27" t="s">
        <v>418</v>
      </c>
      <c r="F184" s="31"/>
      <c r="G184" s="27"/>
      <c r="H184" s="32" t="str">
        <f aca="false">IF(A184="","",A184&amp;"|"&amp;COUNTIF($A$6:A184,A184))</f>
        <v>44 · BKHOMV03PRO|3</v>
      </c>
    </row>
    <row r="185" customFormat="false" ht="15" hidden="false" customHeight="false" outlineLevel="0" collapsed="false">
      <c r="A185" s="27" t="s">
        <v>174</v>
      </c>
      <c r="B185" s="27" t="s">
        <v>423</v>
      </c>
      <c r="C185" s="27" t="n">
        <v>2</v>
      </c>
      <c r="D185" s="27" t="s">
        <v>72</v>
      </c>
      <c r="E185" s="27" t="s">
        <v>418</v>
      </c>
      <c r="F185" s="31"/>
      <c r="G185" s="27"/>
      <c r="H185" s="32" t="str">
        <f aca="false">IF(A185="","",A185&amp;"|"&amp;COUNTIF($A$6:A185,A185))</f>
        <v>44 · BKHOMV03PRO|4</v>
      </c>
    </row>
    <row r="186" customFormat="false" ht="15" hidden="false" customHeight="false" outlineLevel="0" collapsed="false">
      <c r="A186" s="27" t="s">
        <v>175</v>
      </c>
      <c r="B186" s="27" t="s">
        <v>417</v>
      </c>
      <c r="C186" s="27" t="n">
        <v>2</v>
      </c>
      <c r="D186" s="27" t="s">
        <v>244</v>
      </c>
      <c r="E186" s="27" t="s">
        <v>418</v>
      </c>
      <c r="F186" s="31"/>
      <c r="G186" s="27"/>
      <c r="H186" s="32" t="str">
        <f aca="false">IF(A186="","",A186&amp;"|"&amp;COUNTIF($A$6:A186,A186))</f>
        <v>45 · BKSHMUJ|1</v>
      </c>
    </row>
    <row r="187" customFormat="false" ht="15" hidden="false" customHeight="false" outlineLevel="0" collapsed="false">
      <c r="A187" s="27" t="s">
        <v>175</v>
      </c>
      <c r="B187" s="27" t="s">
        <v>430</v>
      </c>
      <c r="C187" s="27" t="n">
        <v>2</v>
      </c>
      <c r="D187" s="27" t="s">
        <v>244</v>
      </c>
      <c r="E187" s="27" t="s">
        <v>418</v>
      </c>
      <c r="F187" s="31"/>
      <c r="G187" s="27"/>
      <c r="H187" s="32" t="str">
        <f aca="false">IF(A187="","",A187&amp;"|"&amp;COUNTIF($A$6:A187,A187))</f>
        <v>45 · BKSHMUJ|2</v>
      </c>
    </row>
    <row r="188" customFormat="false" ht="15" hidden="false" customHeight="false" outlineLevel="0" collapsed="false">
      <c r="A188" s="27" t="s">
        <v>175</v>
      </c>
      <c r="B188" s="27" t="s">
        <v>431</v>
      </c>
      <c r="C188" s="27" t="n">
        <v>1</v>
      </c>
      <c r="D188" s="27" t="s">
        <v>244</v>
      </c>
      <c r="E188" s="27" t="s">
        <v>418</v>
      </c>
      <c r="F188" s="31"/>
      <c r="G188" s="27"/>
      <c r="H188" s="32" t="str">
        <f aca="false">IF(A188="","",A188&amp;"|"&amp;COUNTIF($A$6:A188,A188))</f>
        <v>45 · BKSHMUJ|3</v>
      </c>
    </row>
    <row r="189" customFormat="false" ht="15" hidden="false" customHeight="false" outlineLevel="0" collapsed="false">
      <c r="A189" s="27" t="s">
        <v>178</v>
      </c>
      <c r="B189" s="27" t="s">
        <v>417</v>
      </c>
      <c r="C189" s="27" t="n">
        <v>2</v>
      </c>
      <c r="D189" s="27" t="s">
        <v>244</v>
      </c>
      <c r="E189" s="27" t="s">
        <v>418</v>
      </c>
      <c r="F189" s="31"/>
      <c r="G189" s="27"/>
      <c r="H189" s="32" t="str">
        <f aca="false">IF(A189="","",A189&amp;"|"&amp;COUNTIF($A$6:A189,A189))</f>
        <v>46 · BK-SH|1</v>
      </c>
    </row>
    <row r="190" customFormat="false" ht="15" hidden="false" customHeight="false" outlineLevel="0" collapsed="false">
      <c r="A190" s="27" t="s">
        <v>178</v>
      </c>
      <c r="B190" s="27" t="s">
        <v>430</v>
      </c>
      <c r="C190" s="27" t="n">
        <v>2</v>
      </c>
      <c r="D190" s="27" t="s">
        <v>244</v>
      </c>
      <c r="E190" s="27" t="s">
        <v>418</v>
      </c>
      <c r="F190" s="31"/>
      <c r="G190" s="27"/>
      <c r="H190" s="32" t="str">
        <f aca="false">IF(A190="","",A190&amp;"|"&amp;COUNTIF($A$6:A190,A190))</f>
        <v>46 · BK-SH|2</v>
      </c>
    </row>
    <row r="191" customFormat="false" ht="15" hidden="false" customHeight="false" outlineLevel="0" collapsed="false">
      <c r="A191" s="27" t="s">
        <v>178</v>
      </c>
      <c r="B191" s="27" t="s">
        <v>431</v>
      </c>
      <c r="C191" s="27" t="n">
        <v>1</v>
      </c>
      <c r="D191" s="27" t="s">
        <v>244</v>
      </c>
      <c r="E191" s="27" t="s">
        <v>418</v>
      </c>
      <c r="F191" s="31"/>
      <c r="G191" s="27"/>
      <c r="H191" s="32" t="str">
        <f aca="false">IF(A191="","",A191&amp;"|"&amp;COUNTIF($A$6:A191,A191))</f>
        <v>46 · BK-SH|3</v>
      </c>
    </row>
    <row r="192" customFormat="false" ht="15" hidden="false" customHeight="false" outlineLevel="0" collapsed="false">
      <c r="A192" s="27" t="s">
        <v>180</v>
      </c>
      <c r="B192" s="27" t="s">
        <v>417</v>
      </c>
      <c r="C192" s="27" t="n">
        <v>2</v>
      </c>
      <c r="D192" s="27" t="s">
        <v>244</v>
      </c>
      <c r="E192" s="27" t="s">
        <v>418</v>
      </c>
      <c r="F192" s="31"/>
      <c r="G192" s="27"/>
      <c r="H192" s="32" t="str">
        <f aca="false">IF(A192="","",A192&amp;"|"&amp;COUNTIF($A$6:A192,A192))</f>
        <v>47 · BKINSHMUJ|1</v>
      </c>
    </row>
    <row r="193" customFormat="false" ht="15" hidden="false" customHeight="false" outlineLevel="0" collapsed="false">
      <c r="A193" s="27" t="s">
        <v>180</v>
      </c>
      <c r="B193" s="27" t="s">
        <v>430</v>
      </c>
      <c r="C193" s="27" t="n">
        <v>2</v>
      </c>
      <c r="D193" s="27" t="s">
        <v>244</v>
      </c>
      <c r="E193" s="27" t="s">
        <v>418</v>
      </c>
      <c r="F193" s="31"/>
      <c r="G193" s="27"/>
      <c r="H193" s="32" t="str">
        <f aca="false">IF(A193="","",A193&amp;"|"&amp;COUNTIF($A$6:A193,A193))</f>
        <v>47 · BKINSHMUJ|2</v>
      </c>
    </row>
    <row r="194" customFormat="false" ht="15" hidden="false" customHeight="false" outlineLevel="0" collapsed="false">
      <c r="A194" s="27" t="s">
        <v>180</v>
      </c>
      <c r="B194" s="27" t="s">
        <v>431</v>
      </c>
      <c r="C194" s="27" t="n">
        <v>1</v>
      </c>
      <c r="D194" s="27" t="s">
        <v>244</v>
      </c>
      <c r="E194" s="27" t="s">
        <v>418</v>
      </c>
      <c r="F194" s="31"/>
      <c r="G194" s="27"/>
      <c r="H194" s="32" t="str">
        <f aca="false">IF(A194="","",A194&amp;"|"&amp;COUNTIF($A$6:A194,A194))</f>
        <v>47 · BKINSHMUJ|3</v>
      </c>
    </row>
    <row r="195" customFormat="false" ht="15" hidden="false" customHeight="false" outlineLevel="0" collapsed="false">
      <c r="A195" s="27" t="s">
        <v>182</v>
      </c>
      <c r="B195" s="27" t="s">
        <v>417</v>
      </c>
      <c r="C195" s="27" t="n">
        <v>2</v>
      </c>
      <c r="D195" s="27" t="s">
        <v>244</v>
      </c>
      <c r="E195" s="27" t="s">
        <v>418</v>
      </c>
      <c r="F195" s="31"/>
      <c r="G195" s="27"/>
      <c r="H195" s="32" t="str">
        <f aca="false">IF(A195="","",A195&amp;"|"&amp;COUNTIF($A$6:A195,A195))</f>
        <v>48 · BKINSHHOM|1</v>
      </c>
    </row>
    <row r="196" customFormat="false" ht="15" hidden="false" customHeight="false" outlineLevel="0" collapsed="false">
      <c r="A196" s="27" t="s">
        <v>182</v>
      </c>
      <c r="B196" s="27" t="s">
        <v>430</v>
      </c>
      <c r="C196" s="27" t="n">
        <v>2</v>
      </c>
      <c r="D196" s="27" t="s">
        <v>244</v>
      </c>
      <c r="E196" s="27" t="s">
        <v>418</v>
      </c>
      <c r="F196" s="31"/>
      <c r="G196" s="27"/>
      <c r="H196" s="32" t="str">
        <f aca="false">IF(A196="","",A196&amp;"|"&amp;COUNTIF($A$6:A196,A196))</f>
        <v>48 · BKINSHHOM|2</v>
      </c>
    </row>
    <row r="197" customFormat="false" ht="15" hidden="false" customHeight="false" outlineLevel="0" collapsed="false">
      <c r="A197" s="27" t="s">
        <v>182</v>
      </c>
      <c r="B197" s="27" t="s">
        <v>431</v>
      </c>
      <c r="C197" s="27" t="n">
        <v>1</v>
      </c>
      <c r="D197" s="27" t="s">
        <v>244</v>
      </c>
      <c r="E197" s="27" t="s">
        <v>418</v>
      </c>
      <c r="F197" s="31"/>
      <c r="G197" s="27"/>
      <c r="H197" s="32" t="str">
        <f aca="false">IF(A197="","",A197&amp;"|"&amp;COUNTIF($A$6:A197,A197))</f>
        <v>48 · BKINSHHOM|3</v>
      </c>
    </row>
    <row r="198" customFormat="false" ht="15" hidden="false" customHeight="false" outlineLevel="0" collapsed="false">
      <c r="A198" s="27" t="s">
        <v>183</v>
      </c>
      <c r="B198" s="27" t="s">
        <v>426</v>
      </c>
      <c r="C198" s="27" t="n">
        <v>2</v>
      </c>
      <c r="D198" s="27" t="s">
        <v>244</v>
      </c>
      <c r="E198" s="27" t="s">
        <v>418</v>
      </c>
      <c r="F198" s="31"/>
      <c r="G198" s="27"/>
      <c r="H198" s="32" t="str">
        <f aca="false">IF(A198="","",A198&amp;"|"&amp;COUNTIF($A$6:A198,A198))</f>
        <v>49 · BKSHMUJRE|1</v>
      </c>
    </row>
    <row r="199" customFormat="false" ht="15" hidden="false" customHeight="false" outlineLevel="0" collapsed="false">
      <c r="A199" s="27" t="s">
        <v>183</v>
      </c>
      <c r="B199" s="27" t="s">
        <v>432</v>
      </c>
      <c r="C199" s="27" t="n">
        <v>2</v>
      </c>
      <c r="D199" s="27" t="s">
        <v>244</v>
      </c>
      <c r="E199" s="27" t="s">
        <v>418</v>
      </c>
      <c r="F199" s="31"/>
      <c r="G199" s="27"/>
      <c r="H199" s="32" t="str">
        <f aca="false">IF(A199="","",A199&amp;"|"&amp;COUNTIF($A$6:A199,A199))</f>
        <v>49 · BKSHMUJRE|2</v>
      </c>
    </row>
    <row r="200" customFormat="false" ht="15" hidden="false" customHeight="false" outlineLevel="0" collapsed="false">
      <c r="A200" s="27" t="s">
        <v>183</v>
      </c>
      <c r="B200" s="27" t="s">
        <v>433</v>
      </c>
      <c r="C200" s="27" t="n">
        <v>1</v>
      </c>
      <c r="D200" s="27" t="s">
        <v>244</v>
      </c>
      <c r="E200" s="27" t="s">
        <v>418</v>
      </c>
      <c r="F200" s="31"/>
      <c r="G200" s="27"/>
      <c r="H200" s="32" t="str">
        <f aca="false">IF(A200="","",A200&amp;"|"&amp;COUNTIF($A$6:A200,A200))</f>
        <v>49 · BKSHMUJRE|3</v>
      </c>
    </row>
    <row r="201" customFormat="false" ht="15" hidden="false" customHeight="false" outlineLevel="0" collapsed="false">
      <c r="A201" s="27" t="s">
        <v>183</v>
      </c>
      <c r="B201" s="27" t="s">
        <v>428</v>
      </c>
      <c r="C201" s="27" t="n">
        <v>2</v>
      </c>
      <c r="D201" s="27" t="s">
        <v>244</v>
      </c>
      <c r="E201" s="27" t="s">
        <v>418</v>
      </c>
      <c r="F201" s="31"/>
      <c r="G201" s="27"/>
      <c r="H201" s="32" t="str">
        <f aca="false">IF(A201="","",A201&amp;"|"&amp;COUNTIF($A$6:A201,A201))</f>
        <v>49 · BKSHMUJRE|4</v>
      </c>
    </row>
    <row r="202" customFormat="false" ht="15" hidden="false" customHeight="false" outlineLevel="0" collapsed="false">
      <c r="A202" s="27" t="s">
        <v>183</v>
      </c>
      <c r="B202" s="27" t="s">
        <v>434</v>
      </c>
      <c r="C202" s="27" t="n">
        <v>2</v>
      </c>
      <c r="D202" s="27" t="s">
        <v>244</v>
      </c>
      <c r="E202" s="27" t="s">
        <v>418</v>
      </c>
      <c r="F202" s="31"/>
      <c r="G202" s="27"/>
      <c r="H202" s="32" t="str">
        <f aca="false">IF(A202="","",A202&amp;"|"&amp;COUNTIF($A$6:A202,A202))</f>
        <v>49 · BKSHMUJRE|5</v>
      </c>
    </row>
    <row r="203" customFormat="false" ht="15" hidden="false" customHeight="false" outlineLevel="0" collapsed="false">
      <c r="A203" s="27" t="s">
        <v>183</v>
      </c>
      <c r="B203" s="27" t="s">
        <v>435</v>
      </c>
      <c r="C203" s="27" t="n">
        <v>1</v>
      </c>
      <c r="D203" s="27" t="s">
        <v>244</v>
      </c>
      <c r="E203" s="27" t="s">
        <v>418</v>
      </c>
      <c r="F203" s="31"/>
      <c r="G203" s="27"/>
      <c r="H203" s="32" t="str">
        <f aca="false">IF(A203="","",A203&amp;"|"&amp;COUNTIF($A$6:A203,A203))</f>
        <v>49 · BKSHMUJRE|6</v>
      </c>
    </row>
    <row r="204" customFormat="false" ht="15" hidden="false" customHeight="false" outlineLevel="0" collapsed="false">
      <c r="A204" s="27" t="s">
        <v>186</v>
      </c>
      <c r="B204" s="27" t="s">
        <v>426</v>
      </c>
      <c r="C204" s="27" t="n">
        <v>2</v>
      </c>
      <c r="D204" s="27" t="s">
        <v>244</v>
      </c>
      <c r="E204" s="27" t="s">
        <v>418</v>
      </c>
      <c r="F204" s="31"/>
      <c r="G204" s="27"/>
      <c r="H204" s="32" t="str">
        <f aca="false">IF(A204="","",A204&amp;"|"&amp;COUNTIF($A$6:A204,A204))</f>
        <v>50 · BK-SH|1</v>
      </c>
    </row>
    <row r="205" customFormat="false" ht="15" hidden="false" customHeight="false" outlineLevel="0" collapsed="false">
      <c r="A205" s="27" t="s">
        <v>186</v>
      </c>
      <c r="B205" s="27" t="s">
        <v>432</v>
      </c>
      <c r="C205" s="27" t="n">
        <v>2</v>
      </c>
      <c r="D205" s="27" t="s">
        <v>244</v>
      </c>
      <c r="E205" s="27" t="s">
        <v>418</v>
      </c>
      <c r="F205" s="31"/>
      <c r="G205" s="27"/>
      <c r="H205" s="32" t="str">
        <f aca="false">IF(A205="","",A205&amp;"|"&amp;COUNTIF($A$6:A205,A205))</f>
        <v>50 · BK-SH|2</v>
      </c>
    </row>
    <row r="206" customFormat="false" ht="15" hidden="false" customHeight="false" outlineLevel="0" collapsed="false">
      <c r="A206" s="27" t="s">
        <v>186</v>
      </c>
      <c r="B206" s="27" t="s">
        <v>433</v>
      </c>
      <c r="C206" s="27" t="n">
        <v>1</v>
      </c>
      <c r="D206" s="27" t="s">
        <v>244</v>
      </c>
      <c r="E206" s="27" t="s">
        <v>418</v>
      </c>
      <c r="F206" s="31"/>
      <c r="G206" s="27"/>
      <c r="H206" s="32" t="str">
        <f aca="false">IF(A206="","",A206&amp;"|"&amp;COUNTIF($A$6:A206,A206))</f>
        <v>50 · BK-SH|3</v>
      </c>
    </row>
    <row r="207" customFormat="false" ht="15" hidden="false" customHeight="false" outlineLevel="0" collapsed="false">
      <c r="A207" s="27" t="s">
        <v>186</v>
      </c>
      <c r="B207" s="27" t="s">
        <v>428</v>
      </c>
      <c r="C207" s="27" t="n">
        <v>2</v>
      </c>
      <c r="D207" s="27" t="s">
        <v>244</v>
      </c>
      <c r="E207" s="27" t="s">
        <v>418</v>
      </c>
      <c r="F207" s="31"/>
      <c r="G207" s="27"/>
      <c r="H207" s="32" t="str">
        <f aca="false">IF(A207="","",A207&amp;"|"&amp;COUNTIF($A$6:A207,A207))</f>
        <v>50 · BK-SH|4</v>
      </c>
    </row>
    <row r="208" customFormat="false" ht="15" hidden="false" customHeight="false" outlineLevel="0" collapsed="false">
      <c r="A208" s="27" t="s">
        <v>186</v>
      </c>
      <c r="B208" s="27" t="s">
        <v>434</v>
      </c>
      <c r="C208" s="27" t="n">
        <v>2</v>
      </c>
      <c r="D208" s="27" t="s">
        <v>244</v>
      </c>
      <c r="E208" s="27" t="s">
        <v>418</v>
      </c>
      <c r="F208" s="31"/>
      <c r="G208" s="27"/>
      <c r="H208" s="32" t="str">
        <f aca="false">IF(A208="","",A208&amp;"|"&amp;COUNTIF($A$6:A208,A208))</f>
        <v>50 · BK-SH|5</v>
      </c>
    </row>
    <row r="209" customFormat="false" ht="15" hidden="false" customHeight="false" outlineLevel="0" collapsed="false">
      <c r="A209" s="27" t="s">
        <v>186</v>
      </c>
      <c r="B209" s="27" t="s">
        <v>435</v>
      </c>
      <c r="C209" s="27" t="n">
        <v>1</v>
      </c>
      <c r="D209" s="27" t="s">
        <v>244</v>
      </c>
      <c r="E209" s="27" t="s">
        <v>418</v>
      </c>
      <c r="F209" s="31"/>
      <c r="G209" s="27"/>
      <c r="H209" s="32" t="str">
        <f aca="false">IF(A209="","",A209&amp;"|"&amp;COUNTIF($A$6:A209,A209))</f>
        <v>50 · BK-SH|6</v>
      </c>
    </row>
    <row r="210" customFormat="false" ht="15" hidden="false" customHeight="false" outlineLevel="0" collapsed="false">
      <c r="A210" s="27" t="s">
        <v>187</v>
      </c>
      <c r="B210" s="27" t="s">
        <v>426</v>
      </c>
      <c r="C210" s="27" t="n">
        <v>2</v>
      </c>
      <c r="D210" s="27" t="s">
        <v>244</v>
      </c>
      <c r="E210" s="27" t="s">
        <v>418</v>
      </c>
      <c r="F210" s="31"/>
      <c r="G210" s="27"/>
      <c r="H210" s="32" t="str">
        <f aca="false">IF(A210="","",A210&amp;"|"&amp;COUNTIF($A$6:A210,A210))</f>
        <v>51 · BKINSHMUJRE|1</v>
      </c>
    </row>
    <row r="211" customFormat="false" ht="15" hidden="false" customHeight="false" outlineLevel="0" collapsed="false">
      <c r="A211" s="27" t="s">
        <v>187</v>
      </c>
      <c r="B211" s="27" t="s">
        <v>432</v>
      </c>
      <c r="C211" s="27" t="n">
        <v>2</v>
      </c>
      <c r="D211" s="27" t="s">
        <v>244</v>
      </c>
      <c r="E211" s="27" t="s">
        <v>418</v>
      </c>
      <c r="F211" s="31"/>
      <c r="G211" s="27"/>
      <c r="H211" s="32" t="str">
        <f aca="false">IF(A211="","",A211&amp;"|"&amp;COUNTIF($A$6:A211,A211))</f>
        <v>51 · BKINSHMUJRE|2</v>
      </c>
    </row>
    <row r="212" customFormat="false" ht="15" hidden="false" customHeight="false" outlineLevel="0" collapsed="false">
      <c r="A212" s="27" t="s">
        <v>187</v>
      </c>
      <c r="B212" s="27" t="s">
        <v>433</v>
      </c>
      <c r="C212" s="27" t="n">
        <v>1</v>
      </c>
      <c r="D212" s="27" t="s">
        <v>244</v>
      </c>
      <c r="E212" s="27" t="s">
        <v>418</v>
      </c>
      <c r="F212" s="31"/>
      <c r="G212" s="27"/>
      <c r="H212" s="32" t="str">
        <f aca="false">IF(A212="","",A212&amp;"|"&amp;COUNTIF($A$6:A212,A212))</f>
        <v>51 · BKINSHMUJRE|3</v>
      </c>
    </row>
    <row r="213" customFormat="false" ht="15" hidden="false" customHeight="false" outlineLevel="0" collapsed="false">
      <c r="A213" s="27" t="s">
        <v>187</v>
      </c>
      <c r="B213" s="27" t="s">
        <v>428</v>
      </c>
      <c r="C213" s="27" t="n">
        <v>2</v>
      </c>
      <c r="D213" s="27" t="s">
        <v>244</v>
      </c>
      <c r="E213" s="27" t="s">
        <v>418</v>
      </c>
      <c r="F213" s="31"/>
      <c r="G213" s="27"/>
      <c r="H213" s="32" t="str">
        <f aca="false">IF(A213="","",A213&amp;"|"&amp;COUNTIF($A$6:A213,A213))</f>
        <v>51 · BKINSHMUJRE|4</v>
      </c>
    </row>
    <row r="214" customFormat="false" ht="15" hidden="false" customHeight="false" outlineLevel="0" collapsed="false">
      <c r="A214" s="27" t="s">
        <v>187</v>
      </c>
      <c r="B214" s="27" t="s">
        <v>434</v>
      </c>
      <c r="C214" s="27" t="n">
        <v>2</v>
      </c>
      <c r="D214" s="27" t="s">
        <v>244</v>
      </c>
      <c r="E214" s="27" t="s">
        <v>418</v>
      </c>
      <c r="F214" s="31"/>
      <c r="G214" s="27"/>
      <c r="H214" s="32" t="str">
        <f aca="false">IF(A214="","",A214&amp;"|"&amp;COUNTIF($A$6:A214,A214))</f>
        <v>51 · BKINSHMUJRE|5</v>
      </c>
    </row>
    <row r="215" customFormat="false" ht="15" hidden="false" customHeight="false" outlineLevel="0" collapsed="false">
      <c r="A215" s="27" t="s">
        <v>187</v>
      </c>
      <c r="B215" s="27" t="s">
        <v>435</v>
      </c>
      <c r="C215" s="27" t="n">
        <v>1</v>
      </c>
      <c r="D215" s="27" t="s">
        <v>244</v>
      </c>
      <c r="E215" s="27" t="s">
        <v>418</v>
      </c>
      <c r="F215" s="31"/>
      <c r="G215" s="27"/>
      <c r="H215" s="32" t="str">
        <f aca="false">IF(A215="","",A215&amp;"|"&amp;COUNTIF($A$6:A215,A215))</f>
        <v>51 · BKINSHMUJRE|6</v>
      </c>
    </row>
    <row r="216" customFormat="false" ht="15" hidden="false" customHeight="false" outlineLevel="0" collapsed="false">
      <c r="A216" s="27" t="s">
        <v>189</v>
      </c>
      <c r="B216" s="27" t="s">
        <v>426</v>
      </c>
      <c r="C216" s="27" t="n">
        <v>2</v>
      </c>
      <c r="D216" s="27" t="s">
        <v>244</v>
      </c>
      <c r="E216" s="27" t="s">
        <v>418</v>
      </c>
      <c r="F216" s="31"/>
      <c r="G216" s="27"/>
      <c r="H216" s="32" t="str">
        <f aca="false">IF(A216="","",A216&amp;"|"&amp;COUNTIF($A$6:A216,A216))</f>
        <v>52 · BKINSHHOMRE|1</v>
      </c>
    </row>
    <row r="217" customFormat="false" ht="15" hidden="false" customHeight="false" outlineLevel="0" collapsed="false">
      <c r="A217" s="27" t="s">
        <v>189</v>
      </c>
      <c r="B217" s="27" t="s">
        <v>432</v>
      </c>
      <c r="C217" s="27" t="n">
        <v>2</v>
      </c>
      <c r="D217" s="27" t="s">
        <v>244</v>
      </c>
      <c r="E217" s="27" t="s">
        <v>418</v>
      </c>
      <c r="F217" s="31"/>
      <c r="G217" s="27"/>
      <c r="H217" s="32" t="str">
        <f aca="false">IF(A217="","",A217&amp;"|"&amp;COUNTIF($A$6:A217,A217))</f>
        <v>52 · BKINSHHOMRE|2</v>
      </c>
    </row>
    <row r="218" customFormat="false" ht="15" hidden="false" customHeight="false" outlineLevel="0" collapsed="false">
      <c r="A218" s="27" t="s">
        <v>189</v>
      </c>
      <c r="B218" s="27" t="s">
        <v>433</v>
      </c>
      <c r="C218" s="27" t="n">
        <v>1</v>
      </c>
      <c r="D218" s="27" t="s">
        <v>244</v>
      </c>
      <c r="E218" s="27" t="s">
        <v>418</v>
      </c>
      <c r="F218" s="31"/>
      <c r="G218" s="27"/>
      <c r="H218" s="32" t="str">
        <f aca="false">IF(A218="","",A218&amp;"|"&amp;COUNTIF($A$6:A218,A218))</f>
        <v>52 · BKINSHHOMRE|3</v>
      </c>
    </row>
    <row r="219" customFormat="false" ht="15" hidden="false" customHeight="false" outlineLevel="0" collapsed="false">
      <c r="A219" s="27" t="s">
        <v>189</v>
      </c>
      <c r="B219" s="27" t="s">
        <v>428</v>
      </c>
      <c r="C219" s="27" t="n">
        <v>2</v>
      </c>
      <c r="D219" s="27" t="s">
        <v>244</v>
      </c>
      <c r="E219" s="27" t="s">
        <v>418</v>
      </c>
      <c r="F219" s="31"/>
      <c r="G219" s="27"/>
      <c r="H219" s="32" t="str">
        <f aca="false">IF(A219="","",A219&amp;"|"&amp;COUNTIF($A$6:A219,A219))</f>
        <v>52 · BKINSHHOMRE|4</v>
      </c>
    </row>
    <row r="220" customFormat="false" ht="15" hidden="false" customHeight="false" outlineLevel="0" collapsed="false">
      <c r="A220" s="27" t="s">
        <v>189</v>
      </c>
      <c r="B220" s="27" t="s">
        <v>434</v>
      </c>
      <c r="C220" s="27" t="n">
        <v>2</v>
      </c>
      <c r="D220" s="27" t="s">
        <v>244</v>
      </c>
      <c r="E220" s="27" t="s">
        <v>418</v>
      </c>
      <c r="F220" s="31"/>
      <c r="G220" s="27"/>
      <c r="H220" s="32" t="str">
        <f aca="false">IF(A220="","",A220&amp;"|"&amp;COUNTIF($A$6:A220,A220))</f>
        <v>52 · BKINSHHOMRE|5</v>
      </c>
    </row>
    <row r="221" customFormat="false" ht="15" hidden="false" customHeight="false" outlineLevel="0" collapsed="false">
      <c r="A221" s="27" t="s">
        <v>189</v>
      </c>
      <c r="B221" s="27" t="s">
        <v>435</v>
      </c>
      <c r="C221" s="27" t="n">
        <v>1</v>
      </c>
      <c r="D221" s="27" t="s">
        <v>244</v>
      </c>
      <c r="E221" s="27" t="s">
        <v>418</v>
      </c>
      <c r="F221" s="31"/>
      <c r="G221" s="27"/>
      <c r="H221" s="32" t="str">
        <f aca="false">IF(A221="","",A221&amp;"|"&amp;COUNTIF($A$6:A221,A221))</f>
        <v>52 · BKINSHHOMRE|6</v>
      </c>
    </row>
    <row r="222" customFormat="false" ht="15" hidden="false" customHeight="false" outlineLevel="0" collapsed="false">
      <c r="A222" s="27" t="s">
        <v>190</v>
      </c>
      <c r="B222" s="27" t="s">
        <v>417</v>
      </c>
      <c r="C222" s="27" t="n">
        <v>2</v>
      </c>
      <c r="D222" s="27" t="s">
        <v>244</v>
      </c>
      <c r="E222" s="27" t="s">
        <v>418</v>
      </c>
      <c r="F222" s="31"/>
      <c r="G222" s="27"/>
      <c r="H222" s="32" t="str">
        <f aca="false">IF(A222="","",A222&amp;"|"&amp;COUNTIF($A$6:A222,A222))</f>
        <v>53 · BKSHMUJPRO|1</v>
      </c>
    </row>
    <row r="223" customFormat="false" ht="15" hidden="false" customHeight="false" outlineLevel="0" collapsed="false">
      <c r="A223" s="27" t="s">
        <v>190</v>
      </c>
      <c r="B223" s="27" t="s">
        <v>430</v>
      </c>
      <c r="C223" s="27" t="n">
        <v>2</v>
      </c>
      <c r="D223" s="27" t="s">
        <v>244</v>
      </c>
      <c r="E223" s="27" t="s">
        <v>418</v>
      </c>
      <c r="F223" s="31"/>
      <c r="G223" s="27"/>
      <c r="H223" s="32" t="str">
        <f aca="false">IF(A223="","",A223&amp;"|"&amp;COUNTIF($A$6:A223,A223))</f>
        <v>53 · BKSHMUJPRO|2</v>
      </c>
    </row>
    <row r="224" customFormat="false" ht="15" hidden="false" customHeight="false" outlineLevel="0" collapsed="false">
      <c r="A224" s="27" t="s">
        <v>190</v>
      </c>
      <c r="B224" s="27" t="s">
        <v>431</v>
      </c>
      <c r="C224" s="27" t="n">
        <v>1</v>
      </c>
      <c r="D224" s="27" t="s">
        <v>244</v>
      </c>
      <c r="E224" s="27" t="s">
        <v>418</v>
      </c>
      <c r="F224" s="31"/>
      <c r="G224" s="27"/>
      <c r="H224" s="32" t="str">
        <f aca="false">IF(A224="","",A224&amp;"|"&amp;COUNTIF($A$6:A224,A224))</f>
        <v>53 · BKSHMUJPRO|3</v>
      </c>
    </row>
    <row r="225" customFormat="false" ht="15" hidden="false" customHeight="false" outlineLevel="0" collapsed="false">
      <c r="A225" s="27" t="s">
        <v>190</v>
      </c>
      <c r="B225" s="27" t="s">
        <v>423</v>
      </c>
      <c r="C225" s="27" t="n">
        <v>2</v>
      </c>
      <c r="D225" s="27" t="s">
        <v>72</v>
      </c>
      <c r="E225" s="27" t="s">
        <v>418</v>
      </c>
      <c r="F225" s="31"/>
      <c r="G225" s="27"/>
      <c r="H225" s="32" t="str">
        <f aca="false">IF(A225="","",A225&amp;"|"&amp;COUNTIF($A$6:A225,A225))</f>
        <v>53 · BKSHMUJPRO|4</v>
      </c>
    </row>
    <row r="226" customFormat="false" ht="15" hidden="false" customHeight="false" outlineLevel="0" collapsed="false">
      <c r="A226" s="27" t="s">
        <v>193</v>
      </c>
      <c r="B226" s="27" t="s">
        <v>417</v>
      </c>
      <c r="C226" s="27" t="n">
        <v>2</v>
      </c>
      <c r="D226" s="27" t="s">
        <v>244</v>
      </c>
      <c r="E226" s="27" t="s">
        <v>418</v>
      </c>
      <c r="F226" s="31"/>
      <c r="G226" s="27"/>
      <c r="H226" s="32" t="str">
        <f aca="false">IF(A226="","",A226&amp;"|"&amp;COUNTIF($A$6:A226,A226))</f>
        <v>54 · BK-SH PRO|1</v>
      </c>
    </row>
    <row r="227" customFormat="false" ht="15" hidden="false" customHeight="false" outlineLevel="0" collapsed="false">
      <c r="A227" s="27" t="s">
        <v>193</v>
      </c>
      <c r="B227" s="27" t="s">
        <v>430</v>
      </c>
      <c r="C227" s="27" t="n">
        <v>2</v>
      </c>
      <c r="D227" s="27" t="s">
        <v>244</v>
      </c>
      <c r="E227" s="27" t="s">
        <v>418</v>
      </c>
      <c r="F227" s="31"/>
      <c r="G227" s="27"/>
      <c r="H227" s="32" t="str">
        <f aca="false">IF(A227="","",A227&amp;"|"&amp;COUNTIF($A$6:A227,A227))</f>
        <v>54 · BK-SH PRO|2</v>
      </c>
    </row>
    <row r="228" customFormat="false" ht="15" hidden="false" customHeight="false" outlineLevel="0" collapsed="false">
      <c r="A228" s="27" t="s">
        <v>193</v>
      </c>
      <c r="B228" s="27" t="s">
        <v>431</v>
      </c>
      <c r="C228" s="27" t="n">
        <v>1</v>
      </c>
      <c r="D228" s="27" t="s">
        <v>244</v>
      </c>
      <c r="E228" s="27" t="s">
        <v>418</v>
      </c>
      <c r="F228" s="31"/>
      <c r="G228" s="27"/>
      <c r="H228" s="32" t="str">
        <f aca="false">IF(A228="","",A228&amp;"|"&amp;COUNTIF($A$6:A228,A228))</f>
        <v>54 · BK-SH PRO|3</v>
      </c>
    </row>
    <row r="229" customFormat="false" ht="15" hidden="false" customHeight="false" outlineLevel="0" collapsed="false">
      <c r="A229" s="27" t="s">
        <v>193</v>
      </c>
      <c r="B229" s="27" t="s">
        <v>423</v>
      </c>
      <c r="C229" s="27" t="n">
        <v>2</v>
      </c>
      <c r="D229" s="27" t="s">
        <v>72</v>
      </c>
      <c r="E229" s="27" t="s">
        <v>418</v>
      </c>
      <c r="F229" s="31"/>
      <c r="G229" s="27"/>
      <c r="H229" s="32" t="str">
        <f aca="false">IF(A229="","",A229&amp;"|"&amp;COUNTIF($A$6:A229,A229))</f>
        <v>54 · BK-SH PRO|4</v>
      </c>
    </row>
    <row r="230" customFormat="false" ht="15" hidden="false" customHeight="false" outlineLevel="0" collapsed="false">
      <c r="A230" s="27" t="s">
        <v>194</v>
      </c>
      <c r="B230" s="27" t="s">
        <v>417</v>
      </c>
      <c r="C230" s="27" t="n">
        <v>2</v>
      </c>
      <c r="D230" s="27" t="s">
        <v>244</v>
      </c>
      <c r="E230" s="27" t="s">
        <v>418</v>
      </c>
      <c r="F230" s="31"/>
      <c r="G230" s="27"/>
      <c r="H230" s="32" t="str">
        <f aca="false">IF(A230="","",A230&amp;"|"&amp;COUNTIF($A$6:A230,A230))</f>
        <v>SM-01 · Short Fútbol|1</v>
      </c>
    </row>
    <row r="231" customFormat="false" ht="15" hidden="false" customHeight="false" outlineLevel="0" collapsed="false">
      <c r="A231" s="27" t="s">
        <v>194</v>
      </c>
      <c r="B231" s="27" t="s">
        <v>430</v>
      </c>
      <c r="C231" s="27" t="n">
        <v>2</v>
      </c>
      <c r="D231" s="27" t="s">
        <v>244</v>
      </c>
      <c r="E231" s="27" t="s">
        <v>418</v>
      </c>
      <c r="F231" s="31"/>
      <c r="G231" s="27"/>
      <c r="H231" s="32" t="str">
        <f aca="false">IF(A231="","",A231&amp;"|"&amp;COUNTIF($A$6:A231,A231))</f>
        <v>SM-01 · Short Fútbol|2</v>
      </c>
    </row>
    <row r="232" customFormat="false" ht="15" hidden="false" customHeight="false" outlineLevel="0" collapsed="false">
      <c r="A232" s="27" t="s">
        <v>194</v>
      </c>
      <c r="B232" s="27" t="s">
        <v>431</v>
      </c>
      <c r="C232" s="27" t="n">
        <v>1</v>
      </c>
      <c r="D232" s="27" t="s">
        <v>244</v>
      </c>
      <c r="E232" s="27" t="s">
        <v>418</v>
      </c>
      <c r="F232" s="31"/>
      <c r="G232" s="27"/>
      <c r="H232" s="32" t="str">
        <f aca="false">IF(A232="","",A232&amp;"|"&amp;COUNTIF($A$6:A232,A232))</f>
        <v>SM-01 · Short Fútbol|3</v>
      </c>
    </row>
    <row r="233" customFormat="false" ht="15" hidden="false" customHeight="false" outlineLevel="0" collapsed="false">
      <c r="A233" s="27" t="s">
        <v>198</v>
      </c>
      <c r="B233" s="27" t="s">
        <v>417</v>
      </c>
      <c r="C233" s="27" t="n">
        <v>2</v>
      </c>
      <c r="D233" s="27" t="s">
        <v>244</v>
      </c>
      <c r="E233" s="27" t="s">
        <v>436</v>
      </c>
      <c r="F233" s="31"/>
      <c r="G233" s="27"/>
      <c r="H233" s="32" t="str">
        <f aca="false">IF(A233="","",A233&amp;"|"&amp;COUNTIF($A$6:A233,A233))</f>
        <v>SM-02 · Short Rugby|1</v>
      </c>
    </row>
    <row r="234" customFormat="false" ht="15" hidden="false" customHeight="false" outlineLevel="0" collapsed="false">
      <c r="A234" s="27" t="s">
        <v>198</v>
      </c>
      <c r="B234" s="27" t="s">
        <v>430</v>
      </c>
      <c r="C234" s="27" t="n">
        <v>2</v>
      </c>
      <c r="D234" s="27" t="s">
        <v>244</v>
      </c>
      <c r="E234" s="27" t="s">
        <v>436</v>
      </c>
      <c r="F234" s="31"/>
      <c r="G234" s="27"/>
      <c r="H234" s="32" t="str">
        <f aca="false">IF(A234="","",A234&amp;"|"&amp;COUNTIF($A$6:A234,A234))</f>
        <v>SM-02 · Short Rugby|2</v>
      </c>
    </row>
    <row r="235" customFormat="false" ht="15" hidden="false" customHeight="false" outlineLevel="0" collapsed="false">
      <c r="A235" s="27" t="s">
        <v>198</v>
      </c>
      <c r="B235" s="27" t="s">
        <v>431</v>
      </c>
      <c r="C235" s="27" t="n">
        <v>1</v>
      </c>
      <c r="D235" s="27" t="s">
        <v>244</v>
      </c>
      <c r="E235" s="27" t="s">
        <v>436</v>
      </c>
      <c r="F235" s="31"/>
      <c r="G235" s="27"/>
      <c r="H235" s="32" t="str">
        <f aca="false">IF(A235="","",A235&amp;"|"&amp;COUNTIF($A$6:A235,A235))</f>
        <v>SM-02 · Short Rugby|3</v>
      </c>
    </row>
    <row r="236" customFormat="false" ht="15" hidden="false" customHeight="false" outlineLevel="0" collapsed="false">
      <c r="A236" s="27" t="s">
        <v>204</v>
      </c>
      <c r="B236" s="27" t="s">
        <v>417</v>
      </c>
      <c r="C236" s="27" t="n">
        <v>1</v>
      </c>
      <c r="D236" s="27" t="s">
        <v>244</v>
      </c>
      <c r="E236" s="27" t="s">
        <v>418</v>
      </c>
      <c r="F236" s="31"/>
      <c r="G236" s="27"/>
      <c r="H236" s="32" t="str">
        <f aca="false">IF(A236="","",A236&amp;"|"&amp;COUNTIF($A$6:A236,A236))</f>
        <v>SM-03 · Camiseta Running s/m|1</v>
      </c>
    </row>
    <row r="237" customFormat="false" ht="15" hidden="false" customHeight="false" outlineLevel="0" collapsed="false">
      <c r="A237" s="27" t="s">
        <v>204</v>
      </c>
      <c r="B237" s="27" t="s">
        <v>419</v>
      </c>
      <c r="C237" s="27" t="n">
        <v>1</v>
      </c>
      <c r="D237" s="27" t="s">
        <v>244</v>
      </c>
      <c r="E237" s="27" t="s">
        <v>418</v>
      </c>
      <c r="F237" s="31"/>
      <c r="G237" s="27"/>
      <c r="H237" s="32" t="str">
        <f aca="false">IF(A237="","",A237&amp;"|"&amp;COUNTIF($A$6:A237,A237))</f>
        <v>SM-03 · Camiseta Running s/m|2</v>
      </c>
    </row>
    <row r="238" customFormat="false" ht="15" hidden="false" customHeight="false" outlineLevel="0" collapsed="false">
      <c r="A238" s="27" t="s">
        <v>204</v>
      </c>
      <c r="B238" s="27" t="s">
        <v>425</v>
      </c>
      <c r="C238" s="27" t="n">
        <v>1</v>
      </c>
      <c r="D238" s="27" t="s">
        <v>244</v>
      </c>
      <c r="E238" s="27" t="s">
        <v>418</v>
      </c>
      <c r="F238" s="31"/>
      <c r="G238" s="27"/>
      <c r="H238" s="32" t="str">
        <f aca="false">IF(A238="","",A238&amp;"|"&amp;COUNTIF($A$6:A238,A238))</f>
        <v>SM-03 · Camiseta Running s/m|3</v>
      </c>
    </row>
    <row r="239" customFormat="false" ht="15" hidden="false" customHeight="false" outlineLevel="0" collapsed="false">
      <c r="A239" s="27" t="s">
        <v>210</v>
      </c>
      <c r="B239" s="27" t="s">
        <v>437</v>
      </c>
      <c r="C239" s="27" t="n">
        <v>2</v>
      </c>
      <c r="D239" s="27" t="s">
        <v>244</v>
      </c>
      <c r="E239" s="27" t="s">
        <v>436</v>
      </c>
      <c r="F239" s="31"/>
      <c r="G239" s="27"/>
      <c r="H239" s="32" t="str">
        <f aca="false">IF(A239="","",A239&amp;"|"&amp;COUNTIF($A$6:A239,A239))</f>
        <v>SM-04 · Calza Vóley|1</v>
      </c>
    </row>
    <row r="240" customFormat="false" ht="15" hidden="false" customHeight="false" outlineLevel="0" collapsed="false">
      <c r="A240" s="27" t="s">
        <v>210</v>
      </c>
      <c r="B240" s="27" t="s">
        <v>431</v>
      </c>
      <c r="C240" s="27" t="n">
        <v>1</v>
      </c>
      <c r="D240" s="27" t="s">
        <v>244</v>
      </c>
      <c r="E240" s="27" t="s">
        <v>436</v>
      </c>
      <c r="F240" s="31"/>
      <c r="G240" s="27"/>
      <c r="H240" s="32" t="str">
        <f aca="false">IF(A240="","",A240&amp;"|"&amp;COUNTIF($A$6:A240,A240))</f>
        <v>SM-04 · Calza Vóley|2</v>
      </c>
    </row>
    <row r="241" customFormat="false" ht="15" hidden="false" customHeight="false" outlineLevel="0" collapsed="false">
      <c r="A241" s="27"/>
      <c r="B241" s="27"/>
      <c r="C241" s="27"/>
      <c r="D241" s="27"/>
      <c r="E241" s="27"/>
      <c r="F241" s="31"/>
      <c r="G241" s="27"/>
      <c r="H241" s="32" t="str">
        <f aca="false">IF(A241="","",A241&amp;"|"&amp;COUNTIF($A$6:A241,A241))</f>
        <v/>
      </c>
    </row>
    <row r="242" customFormat="false" ht="15" hidden="false" customHeight="false" outlineLevel="0" collapsed="false">
      <c r="A242" s="27"/>
      <c r="B242" s="27"/>
      <c r="C242" s="27"/>
      <c r="D242" s="27"/>
      <c r="E242" s="27"/>
      <c r="F242" s="31"/>
      <c r="G242" s="27"/>
      <c r="H242" s="32" t="str">
        <f aca="false">IF(A242="","",A242&amp;"|"&amp;COUNTIF($A$6:A242,A242))</f>
        <v/>
      </c>
    </row>
    <row r="243" customFormat="false" ht="15" hidden="false" customHeight="false" outlineLevel="0" collapsed="false">
      <c r="A243" s="27"/>
      <c r="B243" s="27"/>
      <c r="C243" s="27"/>
      <c r="D243" s="27"/>
      <c r="E243" s="27"/>
      <c r="F243" s="31"/>
      <c r="G243" s="27"/>
      <c r="H243" s="32" t="str">
        <f aca="false">IF(A243="","",A243&amp;"|"&amp;COUNTIF($A$6:A243,A243))</f>
        <v/>
      </c>
    </row>
    <row r="244" customFormat="false" ht="15" hidden="false" customHeight="false" outlineLevel="0" collapsed="false">
      <c r="A244" s="27"/>
      <c r="B244" s="27"/>
      <c r="C244" s="27"/>
      <c r="D244" s="27"/>
      <c r="E244" s="27"/>
      <c r="F244" s="31"/>
      <c r="G244" s="27"/>
      <c r="H244" s="32" t="str">
        <f aca="false">IF(A244="","",A244&amp;"|"&amp;COUNTIF($A$6:A244,A244))</f>
        <v/>
      </c>
    </row>
    <row r="245" customFormat="false" ht="15" hidden="false" customHeight="false" outlineLevel="0" collapsed="false">
      <c r="A245" s="27"/>
      <c r="B245" s="27"/>
      <c r="C245" s="27"/>
      <c r="D245" s="27"/>
      <c r="E245" s="27"/>
      <c r="F245" s="31"/>
      <c r="G245" s="27"/>
      <c r="H245" s="32" t="str">
        <f aca="false">IF(A245="","",A245&amp;"|"&amp;COUNTIF($A$6:A245,A245))</f>
        <v/>
      </c>
    </row>
    <row r="246" customFormat="false" ht="15" hidden="false" customHeight="false" outlineLevel="0" collapsed="false">
      <c r="A246" s="27"/>
      <c r="B246" s="27"/>
      <c r="C246" s="27"/>
      <c r="D246" s="27"/>
      <c r="E246" s="27"/>
      <c r="F246" s="31"/>
      <c r="G246" s="27"/>
      <c r="H246" s="32" t="str">
        <f aca="false">IF(A246="","",A246&amp;"|"&amp;COUNTIF($A$6:A246,A246))</f>
        <v/>
      </c>
    </row>
    <row r="247" customFormat="false" ht="15" hidden="false" customHeight="false" outlineLevel="0" collapsed="false">
      <c r="A247" s="27"/>
      <c r="B247" s="27"/>
      <c r="C247" s="27"/>
      <c r="D247" s="27"/>
      <c r="E247" s="27"/>
      <c r="F247" s="31"/>
      <c r="G247" s="27"/>
      <c r="H247" s="32" t="str">
        <f aca="false">IF(A247="","",A247&amp;"|"&amp;COUNTIF($A$6:A247,A247))</f>
        <v/>
      </c>
    </row>
    <row r="248" customFormat="false" ht="15" hidden="false" customHeight="false" outlineLevel="0" collapsed="false">
      <c r="A248" s="27"/>
      <c r="B248" s="27"/>
      <c r="C248" s="27"/>
      <c r="D248" s="27"/>
      <c r="E248" s="27"/>
      <c r="F248" s="31"/>
      <c r="G248" s="27"/>
      <c r="H248" s="32" t="str">
        <f aca="false">IF(A248="","",A248&amp;"|"&amp;COUNTIF($A$6:A248,A248))</f>
        <v/>
      </c>
    </row>
    <row r="249" customFormat="false" ht="15" hidden="false" customHeight="false" outlineLevel="0" collapsed="false">
      <c r="A249" s="27"/>
      <c r="B249" s="27"/>
      <c r="C249" s="27"/>
      <c r="D249" s="27"/>
      <c r="E249" s="27"/>
      <c r="F249" s="31"/>
      <c r="G249" s="27"/>
      <c r="H249" s="32" t="str">
        <f aca="false">IF(A249="","",A249&amp;"|"&amp;COUNTIF($A$6:A249,A249))</f>
        <v/>
      </c>
    </row>
    <row r="250" customFormat="false" ht="15" hidden="false" customHeight="false" outlineLevel="0" collapsed="false">
      <c r="A250" s="27"/>
      <c r="B250" s="27"/>
      <c r="C250" s="27"/>
      <c r="D250" s="27"/>
      <c r="E250" s="27"/>
      <c r="F250" s="31"/>
      <c r="G250" s="27"/>
      <c r="H250" s="32" t="str">
        <f aca="false">IF(A250="","",A250&amp;"|"&amp;COUNTIF($A$6:A250,A250))</f>
        <v/>
      </c>
    </row>
    <row r="251" customFormat="false" ht="15" hidden="false" customHeight="false" outlineLevel="0" collapsed="false">
      <c r="A251" s="27"/>
      <c r="B251" s="27"/>
      <c r="C251" s="27"/>
      <c r="D251" s="27"/>
      <c r="E251" s="27"/>
      <c r="F251" s="31"/>
      <c r="G251" s="27"/>
      <c r="H251" s="32" t="str">
        <f aca="false">IF(A251="","",A251&amp;"|"&amp;COUNTIF($A$6:A251,A251))</f>
        <v/>
      </c>
    </row>
    <row r="252" customFormat="false" ht="15" hidden="false" customHeight="false" outlineLevel="0" collapsed="false">
      <c r="A252" s="27"/>
      <c r="B252" s="27"/>
      <c r="C252" s="27"/>
      <c r="D252" s="27"/>
      <c r="E252" s="27"/>
      <c r="F252" s="31"/>
      <c r="G252" s="27"/>
      <c r="H252" s="32" t="str">
        <f aca="false">IF(A252="","",A252&amp;"|"&amp;COUNTIF($A$6:A252,A252))</f>
        <v/>
      </c>
    </row>
    <row r="253" customFormat="false" ht="15" hidden="false" customHeight="false" outlineLevel="0" collapsed="false">
      <c r="A253" s="27"/>
      <c r="B253" s="27"/>
      <c r="C253" s="27"/>
      <c r="D253" s="27"/>
      <c r="E253" s="27"/>
      <c r="F253" s="31"/>
      <c r="G253" s="27"/>
      <c r="H253" s="32" t="str">
        <f aca="false">IF(A253="","",A253&amp;"|"&amp;COUNTIF($A$6:A253,A253))</f>
        <v/>
      </c>
    </row>
    <row r="254" customFormat="false" ht="15" hidden="false" customHeight="false" outlineLevel="0" collapsed="false">
      <c r="A254" s="27"/>
      <c r="B254" s="27"/>
      <c r="C254" s="27"/>
      <c r="D254" s="27"/>
      <c r="E254" s="27"/>
      <c r="F254" s="31"/>
      <c r="G254" s="27"/>
      <c r="H254" s="32" t="str">
        <f aca="false">IF(A254="","",A254&amp;"|"&amp;COUNTIF($A$6:A254,A254))</f>
        <v/>
      </c>
    </row>
    <row r="255" customFormat="false" ht="15" hidden="false" customHeight="false" outlineLevel="0" collapsed="false">
      <c r="A255" s="27"/>
      <c r="B255" s="27"/>
      <c r="C255" s="27"/>
      <c r="D255" s="27"/>
      <c r="E255" s="27"/>
      <c r="F255" s="31"/>
      <c r="G255" s="27"/>
      <c r="H255" s="32" t="str">
        <f aca="false">IF(A255="","",A255&amp;"|"&amp;COUNTIF($A$6:A255,A255))</f>
        <v/>
      </c>
    </row>
    <row r="256" customFormat="false" ht="15" hidden="false" customHeight="false" outlineLevel="0" collapsed="false">
      <c r="A256" s="27"/>
      <c r="B256" s="27"/>
      <c r="C256" s="27"/>
      <c r="D256" s="27"/>
      <c r="E256" s="27"/>
      <c r="F256" s="31"/>
      <c r="G256" s="27"/>
      <c r="H256" s="32" t="str">
        <f aca="false">IF(A256="","",A256&amp;"|"&amp;COUNTIF($A$6:A256,A256))</f>
        <v/>
      </c>
    </row>
    <row r="257" customFormat="false" ht="15" hidden="false" customHeight="false" outlineLevel="0" collapsed="false">
      <c r="A257" s="27"/>
      <c r="B257" s="27"/>
      <c r="C257" s="27"/>
      <c r="D257" s="27"/>
      <c r="E257" s="27"/>
      <c r="F257" s="31"/>
      <c r="G257" s="27"/>
      <c r="H257" s="32" t="str">
        <f aca="false">IF(A257="","",A257&amp;"|"&amp;COUNTIF($A$6:A257,A257))</f>
        <v/>
      </c>
    </row>
    <row r="258" customFormat="false" ht="15" hidden="false" customHeight="false" outlineLevel="0" collapsed="false">
      <c r="A258" s="27"/>
      <c r="B258" s="27"/>
      <c r="C258" s="27"/>
      <c r="D258" s="27"/>
      <c r="E258" s="27"/>
      <c r="F258" s="31"/>
      <c r="G258" s="27"/>
      <c r="H258" s="32" t="str">
        <f aca="false">IF(A258="","",A258&amp;"|"&amp;COUNTIF($A$6:A258,A258))</f>
        <v/>
      </c>
    </row>
    <row r="259" customFormat="false" ht="15" hidden="false" customHeight="false" outlineLevel="0" collapsed="false">
      <c r="A259" s="27"/>
      <c r="B259" s="27"/>
      <c r="C259" s="27"/>
      <c r="D259" s="27"/>
      <c r="E259" s="27"/>
      <c r="F259" s="31"/>
      <c r="G259" s="27"/>
      <c r="H259" s="32" t="str">
        <f aca="false">IF(A259="","",A259&amp;"|"&amp;COUNTIF($A$6:A259,A259))</f>
        <v/>
      </c>
    </row>
    <row r="260" customFormat="false" ht="15" hidden="false" customHeight="false" outlineLevel="0" collapsed="false">
      <c r="A260" s="27"/>
      <c r="B260" s="27"/>
      <c r="C260" s="27"/>
      <c r="D260" s="27"/>
      <c r="E260" s="27"/>
      <c r="F260" s="31"/>
      <c r="G260" s="27"/>
      <c r="H260" s="32" t="str">
        <f aca="false">IF(A260="","",A260&amp;"|"&amp;COUNTIF($A$6:A260,A260))</f>
        <v/>
      </c>
    </row>
    <row r="261" customFormat="false" ht="15" hidden="false" customHeight="false" outlineLevel="0" collapsed="false">
      <c r="A261" s="27"/>
      <c r="B261" s="27"/>
      <c r="C261" s="27"/>
      <c r="D261" s="27"/>
      <c r="E261" s="27"/>
      <c r="F261" s="31"/>
      <c r="G261" s="27"/>
      <c r="H261" s="32" t="str">
        <f aca="false">IF(A261="","",A261&amp;"|"&amp;COUNTIF($A$6:A261,A261))</f>
        <v/>
      </c>
    </row>
    <row r="262" customFormat="false" ht="15" hidden="false" customHeight="false" outlineLevel="0" collapsed="false">
      <c r="A262" s="27"/>
      <c r="B262" s="27"/>
      <c r="C262" s="27"/>
      <c r="D262" s="27"/>
      <c r="E262" s="27"/>
      <c r="F262" s="31"/>
      <c r="G262" s="27"/>
      <c r="H262" s="32" t="str">
        <f aca="false">IF(A262="","",A262&amp;"|"&amp;COUNTIF($A$6:A262,A262))</f>
        <v/>
      </c>
    </row>
    <row r="263" customFormat="false" ht="15" hidden="false" customHeight="false" outlineLevel="0" collapsed="false">
      <c r="A263" s="27"/>
      <c r="B263" s="27"/>
      <c r="C263" s="27"/>
      <c r="D263" s="27"/>
      <c r="E263" s="27"/>
      <c r="F263" s="31"/>
      <c r="G263" s="27"/>
      <c r="H263" s="32" t="str">
        <f aca="false">IF(A263="","",A263&amp;"|"&amp;COUNTIF($A$6:A263,A263))</f>
        <v/>
      </c>
    </row>
    <row r="264" customFormat="false" ht="15" hidden="false" customHeight="false" outlineLevel="0" collapsed="false">
      <c r="A264" s="27"/>
      <c r="B264" s="27"/>
      <c r="C264" s="27"/>
      <c r="D264" s="27"/>
      <c r="E264" s="27"/>
      <c r="F264" s="31"/>
      <c r="G264" s="27"/>
      <c r="H264" s="32" t="str">
        <f aca="false">IF(A264="","",A264&amp;"|"&amp;COUNTIF($A$6:A264,A264))</f>
        <v/>
      </c>
    </row>
    <row r="265" customFormat="false" ht="15" hidden="false" customHeight="false" outlineLevel="0" collapsed="false">
      <c r="A265" s="27"/>
      <c r="B265" s="27"/>
      <c r="C265" s="27"/>
      <c r="D265" s="27"/>
      <c r="E265" s="27"/>
      <c r="F265" s="31"/>
      <c r="G265" s="27"/>
      <c r="H265" s="32" t="str">
        <f aca="false">IF(A265="","",A265&amp;"|"&amp;COUNTIF($A$6:A265,A265))</f>
        <v/>
      </c>
    </row>
    <row r="266" customFormat="false" ht="15" hidden="false" customHeight="false" outlineLevel="0" collapsed="false">
      <c r="A266" s="27"/>
      <c r="B266" s="27"/>
      <c r="C266" s="27"/>
      <c r="D266" s="27"/>
      <c r="E266" s="27"/>
      <c r="F266" s="31"/>
      <c r="G266" s="27"/>
      <c r="H266" s="32" t="str">
        <f aca="false">IF(A266="","",A266&amp;"|"&amp;COUNTIF($A$6:A266,A266))</f>
        <v/>
      </c>
    </row>
    <row r="267" customFormat="false" ht="15" hidden="false" customHeight="false" outlineLevel="0" collapsed="false">
      <c r="A267" s="27"/>
      <c r="B267" s="27"/>
      <c r="C267" s="27"/>
      <c r="D267" s="27"/>
      <c r="E267" s="27"/>
      <c r="F267" s="31"/>
      <c r="G267" s="27"/>
      <c r="H267" s="32" t="str">
        <f aca="false">IF(A267="","",A267&amp;"|"&amp;COUNTIF($A$6:A267,A267))</f>
        <v/>
      </c>
    </row>
    <row r="268" customFormat="false" ht="15" hidden="false" customHeight="false" outlineLevel="0" collapsed="false">
      <c r="A268" s="27"/>
      <c r="B268" s="27"/>
      <c r="C268" s="27"/>
      <c r="D268" s="27"/>
      <c r="E268" s="27"/>
      <c r="F268" s="31"/>
      <c r="G268" s="27"/>
      <c r="H268" s="32" t="str">
        <f aca="false">IF(A268="","",A268&amp;"|"&amp;COUNTIF($A$6:A268,A268))</f>
        <v/>
      </c>
    </row>
    <row r="269" customFormat="false" ht="15" hidden="false" customHeight="false" outlineLevel="0" collapsed="false">
      <c r="A269" s="27"/>
      <c r="B269" s="27"/>
      <c r="C269" s="27"/>
      <c r="D269" s="27"/>
      <c r="E269" s="27"/>
      <c r="F269" s="31"/>
      <c r="G269" s="27"/>
      <c r="H269" s="32" t="str">
        <f aca="false">IF(A269="","",A269&amp;"|"&amp;COUNTIF($A$6:A269,A269))</f>
        <v/>
      </c>
    </row>
    <row r="270" customFormat="false" ht="15" hidden="false" customHeight="false" outlineLevel="0" collapsed="false">
      <c r="A270" s="27"/>
      <c r="B270" s="27"/>
      <c r="C270" s="27"/>
      <c r="D270" s="27"/>
      <c r="E270" s="27"/>
      <c r="F270" s="31"/>
      <c r="G270" s="27"/>
      <c r="H270" s="32" t="str">
        <f aca="false">IF(A270="","",A270&amp;"|"&amp;COUNTIF($A$6:A270,A270))</f>
        <v/>
      </c>
    </row>
    <row r="271" customFormat="false" ht="15" hidden="false" customHeight="false" outlineLevel="0" collapsed="false">
      <c r="A271" s="27"/>
      <c r="B271" s="27"/>
      <c r="C271" s="27"/>
      <c r="D271" s="27"/>
      <c r="E271" s="27"/>
      <c r="F271" s="31"/>
      <c r="G271" s="27"/>
      <c r="H271" s="32" t="str">
        <f aca="false">IF(A271="","",A271&amp;"|"&amp;COUNTIF($A$6:A271,A271))</f>
        <v/>
      </c>
    </row>
    <row r="272" customFormat="false" ht="15" hidden="false" customHeight="false" outlineLevel="0" collapsed="false">
      <c r="A272" s="27"/>
      <c r="B272" s="27"/>
      <c r="C272" s="27"/>
      <c r="D272" s="27"/>
      <c r="E272" s="27"/>
      <c r="F272" s="31"/>
      <c r="G272" s="27"/>
      <c r="H272" s="32" t="str">
        <f aca="false">IF(A272="","",A272&amp;"|"&amp;COUNTIF($A$6:A272,A272))</f>
        <v/>
      </c>
    </row>
    <row r="273" customFormat="false" ht="15" hidden="false" customHeight="false" outlineLevel="0" collapsed="false">
      <c r="A273" s="27"/>
      <c r="B273" s="27"/>
      <c r="C273" s="27"/>
      <c r="D273" s="27"/>
      <c r="E273" s="27"/>
      <c r="F273" s="31"/>
      <c r="G273" s="27"/>
      <c r="H273" s="32" t="str">
        <f aca="false">IF(A273="","",A273&amp;"|"&amp;COUNTIF($A$6:A273,A273))</f>
        <v/>
      </c>
    </row>
    <row r="274" customFormat="false" ht="15" hidden="false" customHeight="false" outlineLevel="0" collapsed="false">
      <c r="A274" s="27"/>
      <c r="B274" s="27"/>
      <c r="C274" s="27"/>
      <c r="D274" s="27"/>
      <c r="E274" s="27"/>
      <c r="F274" s="31"/>
      <c r="G274" s="27"/>
      <c r="H274" s="32" t="str">
        <f aca="false">IF(A274="","",A274&amp;"|"&amp;COUNTIF($A$6:A274,A274))</f>
        <v/>
      </c>
    </row>
    <row r="275" customFormat="false" ht="15" hidden="false" customHeight="false" outlineLevel="0" collapsed="false">
      <c r="A275" s="27"/>
      <c r="B275" s="27"/>
      <c r="C275" s="27"/>
      <c r="D275" s="27"/>
      <c r="E275" s="27"/>
      <c r="F275" s="31"/>
      <c r="G275" s="27"/>
      <c r="H275" s="32" t="str">
        <f aca="false">IF(A275="","",A275&amp;"|"&amp;COUNTIF($A$6:A275,A275))</f>
        <v/>
      </c>
    </row>
    <row r="276" customFormat="false" ht="15" hidden="false" customHeight="false" outlineLevel="0" collapsed="false">
      <c r="A276" s="27"/>
      <c r="B276" s="27"/>
      <c r="C276" s="27"/>
      <c r="D276" s="27"/>
      <c r="E276" s="27"/>
      <c r="F276" s="31"/>
      <c r="G276" s="27"/>
      <c r="H276" s="32" t="str">
        <f aca="false">IF(A276="","",A276&amp;"|"&amp;COUNTIF($A$6:A276,A276))</f>
        <v/>
      </c>
    </row>
    <row r="277" customFormat="false" ht="15" hidden="false" customHeight="false" outlineLevel="0" collapsed="false">
      <c r="A277" s="27"/>
      <c r="B277" s="27"/>
      <c r="C277" s="27"/>
      <c r="D277" s="27"/>
      <c r="E277" s="27"/>
      <c r="F277" s="31"/>
      <c r="G277" s="27"/>
      <c r="H277" s="32" t="str">
        <f aca="false">IF(A277="","",A277&amp;"|"&amp;COUNTIF($A$6:A277,A277))</f>
        <v/>
      </c>
    </row>
    <row r="278" customFormat="false" ht="15" hidden="false" customHeight="false" outlineLevel="0" collapsed="false">
      <c r="A278" s="27"/>
      <c r="B278" s="27"/>
      <c r="C278" s="27"/>
      <c r="D278" s="27"/>
      <c r="E278" s="27"/>
      <c r="F278" s="31"/>
      <c r="G278" s="27"/>
      <c r="H278" s="32" t="str">
        <f aca="false">IF(A278="","",A278&amp;"|"&amp;COUNTIF($A$6:A278,A278))</f>
        <v/>
      </c>
    </row>
    <row r="279" customFormat="false" ht="15" hidden="false" customHeight="false" outlineLevel="0" collapsed="false">
      <c r="A279" s="27"/>
      <c r="B279" s="27"/>
      <c r="C279" s="27"/>
      <c r="D279" s="27"/>
      <c r="E279" s="27"/>
      <c r="F279" s="31"/>
      <c r="G279" s="27"/>
      <c r="H279" s="32" t="str">
        <f aca="false">IF(A279="","",A279&amp;"|"&amp;COUNTIF($A$6:A279,A279))</f>
        <v/>
      </c>
    </row>
    <row r="280" customFormat="false" ht="15" hidden="false" customHeight="false" outlineLevel="0" collapsed="false">
      <c r="A280" s="27"/>
      <c r="B280" s="27"/>
      <c r="C280" s="27"/>
      <c r="D280" s="27"/>
      <c r="E280" s="27"/>
      <c r="F280" s="31"/>
      <c r="G280" s="27"/>
      <c r="H280" s="32" t="str">
        <f aca="false">IF(A280="","",A280&amp;"|"&amp;COUNTIF($A$6:A280,A280))</f>
        <v/>
      </c>
    </row>
    <row r="281" customFormat="false" ht="15" hidden="false" customHeight="false" outlineLevel="0" collapsed="false">
      <c r="A281" s="27"/>
      <c r="B281" s="27"/>
      <c r="C281" s="27"/>
      <c r="D281" s="27"/>
      <c r="E281" s="27"/>
      <c r="F281" s="31"/>
      <c r="G281" s="27"/>
      <c r="H281" s="32" t="str">
        <f aca="false">IF(A281="","",A281&amp;"|"&amp;COUNTIF($A$6:A281,A281))</f>
        <v/>
      </c>
    </row>
    <row r="282" customFormat="false" ht="15" hidden="false" customHeight="false" outlineLevel="0" collapsed="false">
      <c r="A282" s="27"/>
      <c r="B282" s="27"/>
      <c r="C282" s="27"/>
      <c r="D282" s="27"/>
      <c r="E282" s="27"/>
      <c r="F282" s="31"/>
      <c r="G282" s="27"/>
      <c r="H282" s="32" t="str">
        <f aca="false">IF(A282="","",A282&amp;"|"&amp;COUNTIF($A$6:A282,A282))</f>
        <v/>
      </c>
    </row>
    <row r="283" customFormat="false" ht="15" hidden="false" customHeight="false" outlineLevel="0" collapsed="false">
      <c r="A283" s="27"/>
      <c r="B283" s="27"/>
      <c r="C283" s="27"/>
      <c r="D283" s="27"/>
      <c r="E283" s="27"/>
      <c r="F283" s="31"/>
      <c r="G283" s="27"/>
      <c r="H283" s="32" t="str">
        <f aca="false">IF(A283="","",A283&amp;"|"&amp;COUNTIF($A$6:A283,A283))</f>
        <v/>
      </c>
    </row>
    <row r="284" customFormat="false" ht="15" hidden="false" customHeight="false" outlineLevel="0" collapsed="false">
      <c r="A284" s="27"/>
      <c r="B284" s="27"/>
      <c r="C284" s="27"/>
      <c r="D284" s="27"/>
      <c r="E284" s="27"/>
      <c r="F284" s="31"/>
      <c r="G284" s="27"/>
      <c r="H284" s="32" t="str">
        <f aca="false">IF(A284="","",A284&amp;"|"&amp;COUNTIF($A$6:A284,A284))</f>
        <v/>
      </c>
    </row>
    <row r="285" customFormat="false" ht="15" hidden="false" customHeight="false" outlineLevel="0" collapsed="false">
      <c r="A285" s="27"/>
      <c r="B285" s="27"/>
      <c r="C285" s="27"/>
      <c r="D285" s="27"/>
      <c r="E285" s="27"/>
      <c r="F285" s="31"/>
      <c r="G285" s="27"/>
      <c r="H285" s="32" t="str">
        <f aca="false">IF(A285="","",A285&amp;"|"&amp;COUNTIF($A$6:A285,A285))</f>
        <v/>
      </c>
    </row>
    <row r="286" customFormat="false" ht="15" hidden="false" customHeight="false" outlineLevel="0" collapsed="false">
      <c r="A286" s="27"/>
      <c r="B286" s="27"/>
      <c r="C286" s="27"/>
      <c r="D286" s="27"/>
      <c r="E286" s="27"/>
      <c r="F286" s="31"/>
      <c r="G286" s="27"/>
      <c r="H286" s="32" t="str">
        <f aca="false">IF(A286="","",A286&amp;"|"&amp;COUNTIF($A$6:A286,A286))</f>
        <v/>
      </c>
    </row>
    <row r="287" customFormat="false" ht="15" hidden="false" customHeight="false" outlineLevel="0" collapsed="false">
      <c r="A287" s="27"/>
      <c r="B287" s="27"/>
      <c r="C287" s="27"/>
      <c r="D287" s="27"/>
      <c r="E287" s="27"/>
      <c r="F287" s="31"/>
      <c r="G287" s="27"/>
      <c r="H287" s="32" t="str">
        <f aca="false">IF(A287="","",A287&amp;"|"&amp;COUNTIF($A$6:A287,A287))</f>
        <v/>
      </c>
    </row>
    <row r="288" customFormat="false" ht="15" hidden="false" customHeight="false" outlineLevel="0" collapsed="false">
      <c r="A288" s="27"/>
      <c r="B288" s="27"/>
      <c r="C288" s="27"/>
      <c r="D288" s="27"/>
      <c r="E288" s="27"/>
      <c r="F288" s="31"/>
      <c r="G288" s="27"/>
      <c r="H288" s="32" t="str">
        <f aca="false">IF(A288="","",A288&amp;"|"&amp;COUNTIF($A$6:A288,A288))</f>
        <v/>
      </c>
    </row>
    <row r="289" customFormat="false" ht="15" hidden="false" customHeight="false" outlineLevel="0" collapsed="false">
      <c r="A289" s="27"/>
      <c r="B289" s="27"/>
      <c r="C289" s="27"/>
      <c r="D289" s="27"/>
      <c r="E289" s="27"/>
      <c r="F289" s="31"/>
      <c r="G289" s="27"/>
      <c r="H289" s="32" t="str">
        <f aca="false">IF(A289="","",A289&amp;"|"&amp;COUNTIF($A$6:A289,A289))</f>
        <v/>
      </c>
    </row>
    <row r="290" customFormat="false" ht="15" hidden="false" customHeight="false" outlineLevel="0" collapsed="false">
      <c r="A290" s="27"/>
      <c r="B290" s="27"/>
      <c r="C290" s="27"/>
      <c r="D290" s="27"/>
      <c r="E290" s="27"/>
      <c r="F290" s="31"/>
      <c r="G290" s="27"/>
      <c r="H290" s="32" t="str">
        <f aca="false">IF(A290="","",A290&amp;"|"&amp;COUNTIF($A$6:A290,A290))</f>
        <v/>
      </c>
    </row>
    <row r="291" customFormat="false" ht="15" hidden="false" customHeight="false" outlineLevel="0" collapsed="false">
      <c r="A291" s="27"/>
      <c r="B291" s="27"/>
      <c r="C291" s="27"/>
      <c r="D291" s="27"/>
      <c r="E291" s="27"/>
      <c r="F291" s="31"/>
      <c r="G291" s="27"/>
      <c r="H291" s="32" t="str">
        <f aca="false">IF(A291="","",A291&amp;"|"&amp;COUNTIF($A$6:A291,A291))</f>
        <v/>
      </c>
    </row>
    <row r="292" customFormat="false" ht="15" hidden="false" customHeight="false" outlineLevel="0" collapsed="false">
      <c r="A292" s="27"/>
      <c r="B292" s="27"/>
      <c r="C292" s="27"/>
      <c r="D292" s="27"/>
      <c r="E292" s="27"/>
      <c r="F292" s="31"/>
      <c r="G292" s="27"/>
      <c r="H292" s="32" t="str">
        <f aca="false">IF(A292="","",A292&amp;"|"&amp;COUNTIF($A$6:A292,A292))</f>
        <v/>
      </c>
    </row>
    <row r="293" customFormat="false" ht="15" hidden="false" customHeight="false" outlineLevel="0" collapsed="false">
      <c r="A293" s="27"/>
      <c r="B293" s="27"/>
      <c r="C293" s="27"/>
      <c r="D293" s="27"/>
      <c r="E293" s="27"/>
      <c r="F293" s="31"/>
      <c r="G293" s="27"/>
      <c r="H293" s="32" t="str">
        <f aca="false">IF(A293="","",A293&amp;"|"&amp;COUNTIF($A$6:A293,A293))</f>
        <v/>
      </c>
    </row>
    <row r="294" customFormat="false" ht="15" hidden="false" customHeight="false" outlineLevel="0" collapsed="false">
      <c r="A294" s="27"/>
      <c r="B294" s="27"/>
      <c r="C294" s="27"/>
      <c r="D294" s="27"/>
      <c r="E294" s="27"/>
      <c r="F294" s="31"/>
      <c r="G294" s="27"/>
      <c r="H294" s="32" t="str">
        <f aca="false">IF(A294="","",A294&amp;"|"&amp;COUNTIF($A$6:A294,A294))</f>
        <v/>
      </c>
    </row>
    <row r="295" customFormat="false" ht="15" hidden="false" customHeight="false" outlineLevel="0" collapsed="false">
      <c r="A295" s="27"/>
      <c r="B295" s="27"/>
      <c r="C295" s="27"/>
      <c r="D295" s="27"/>
      <c r="E295" s="27"/>
      <c r="F295" s="31"/>
      <c r="G295" s="27"/>
      <c r="H295" s="32" t="str">
        <f aca="false">IF(A295="","",A295&amp;"|"&amp;COUNTIF($A$6:A295,A295))</f>
        <v/>
      </c>
    </row>
    <row r="296" customFormat="false" ht="15" hidden="false" customHeight="false" outlineLevel="0" collapsed="false">
      <c r="A296" s="27"/>
      <c r="B296" s="27"/>
      <c r="C296" s="27"/>
      <c r="D296" s="27"/>
      <c r="E296" s="27"/>
      <c r="F296" s="31"/>
      <c r="G296" s="27"/>
      <c r="H296" s="32" t="str">
        <f aca="false">IF(A296="","",A296&amp;"|"&amp;COUNTIF($A$6:A296,A296))</f>
        <v/>
      </c>
    </row>
    <row r="297" customFormat="false" ht="15" hidden="false" customHeight="false" outlineLevel="0" collapsed="false">
      <c r="A297" s="27"/>
      <c r="B297" s="27"/>
      <c r="C297" s="27"/>
      <c r="D297" s="27"/>
      <c r="E297" s="27"/>
      <c r="F297" s="31"/>
      <c r="G297" s="27"/>
      <c r="H297" s="32" t="str">
        <f aca="false">IF(A297="","",A297&amp;"|"&amp;COUNTIF($A$6:A297,A297))</f>
        <v/>
      </c>
    </row>
    <row r="298" customFormat="false" ht="15" hidden="false" customHeight="false" outlineLevel="0" collapsed="false">
      <c r="A298" s="27"/>
      <c r="B298" s="27"/>
      <c r="C298" s="27"/>
      <c r="D298" s="27"/>
      <c r="E298" s="27"/>
      <c r="F298" s="31"/>
      <c r="G298" s="27"/>
      <c r="H298" s="32" t="str">
        <f aca="false">IF(A298="","",A298&amp;"|"&amp;COUNTIF($A$6:A298,A298))</f>
        <v/>
      </c>
    </row>
    <row r="299" customFormat="false" ht="15" hidden="false" customHeight="false" outlineLevel="0" collapsed="false">
      <c r="A299" s="27"/>
      <c r="B299" s="27"/>
      <c r="C299" s="27"/>
      <c r="D299" s="27"/>
      <c r="E299" s="27"/>
      <c r="F299" s="31"/>
      <c r="G299" s="27"/>
      <c r="H299" s="32" t="str">
        <f aca="false">IF(A299="","",A299&amp;"|"&amp;COUNTIF($A$6:A299,A299))</f>
        <v/>
      </c>
    </row>
    <row r="300" customFormat="false" ht="15" hidden="false" customHeight="false" outlineLevel="0" collapsed="false">
      <c r="A300" s="27"/>
      <c r="B300" s="27"/>
      <c r="C300" s="27"/>
      <c r="D300" s="27"/>
      <c r="E300" s="27"/>
      <c r="F300" s="31"/>
      <c r="G300" s="27"/>
      <c r="H300" s="32" t="str">
        <f aca="false">IF(A300="","",A300&amp;"|"&amp;COUNTIF($A$6:A300,A300))</f>
        <v/>
      </c>
    </row>
    <row r="301" customFormat="false" ht="15" hidden="false" customHeight="false" outlineLevel="0" collapsed="false">
      <c r="A301" s="27"/>
      <c r="B301" s="27"/>
      <c r="C301" s="27"/>
      <c r="D301" s="27"/>
      <c r="E301" s="27"/>
      <c r="F301" s="31"/>
      <c r="G301" s="27"/>
      <c r="H301" s="32" t="str">
        <f aca="false">IF(A301="","",A301&amp;"|"&amp;COUNTIF($A$6:A301,A301))</f>
        <v/>
      </c>
    </row>
    <row r="302" customFormat="false" ht="15" hidden="false" customHeight="false" outlineLevel="0" collapsed="false">
      <c r="A302" s="27"/>
      <c r="B302" s="27"/>
      <c r="C302" s="27"/>
      <c r="D302" s="27"/>
      <c r="E302" s="27"/>
      <c r="F302" s="31"/>
      <c r="G302" s="27"/>
      <c r="H302" s="32" t="str">
        <f aca="false">IF(A302="","",A302&amp;"|"&amp;COUNTIF($A$6:A302,A302))</f>
        <v/>
      </c>
    </row>
    <row r="303" customFormat="false" ht="15" hidden="false" customHeight="false" outlineLevel="0" collapsed="false">
      <c r="A303" s="27"/>
      <c r="B303" s="27"/>
      <c r="C303" s="27"/>
      <c r="D303" s="27"/>
      <c r="E303" s="27"/>
      <c r="F303" s="31"/>
      <c r="G303" s="27"/>
      <c r="H303" s="32" t="str">
        <f aca="false">IF(A303="","",A303&amp;"|"&amp;COUNTIF($A$6:A303,A303))</f>
        <v/>
      </c>
    </row>
    <row r="304" customFormat="false" ht="15" hidden="false" customHeight="false" outlineLevel="0" collapsed="false">
      <c r="A304" s="27"/>
      <c r="B304" s="27"/>
      <c r="C304" s="27"/>
      <c r="D304" s="27"/>
      <c r="E304" s="27"/>
      <c r="F304" s="31"/>
      <c r="G304" s="27"/>
      <c r="H304" s="32" t="str">
        <f aca="false">IF(A304="","",A304&amp;"|"&amp;COUNTIF($A$6:A304,A304))</f>
        <v/>
      </c>
    </row>
    <row r="305" customFormat="false" ht="15" hidden="false" customHeight="false" outlineLevel="0" collapsed="false">
      <c r="A305" s="27"/>
      <c r="B305" s="27"/>
      <c r="C305" s="27"/>
      <c r="D305" s="27"/>
      <c r="E305" s="27"/>
      <c r="F305" s="31"/>
      <c r="G305" s="27"/>
      <c r="H305" s="32" t="str">
        <f aca="false">IF(A305="","",A305&amp;"|"&amp;COUNTIF($A$6:A305,A305))</f>
        <v/>
      </c>
    </row>
    <row r="306" customFormat="false" ht="15" hidden="false" customHeight="false" outlineLevel="0" collapsed="false">
      <c r="A306" s="27"/>
      <c r="B306" s="27"/>
      <c r="C306" s="27"/>
      <c r="D306" s="27"/>
      <c r="E306" s="27"/>
      <c r="F306" s="31"/>
      <c r="G306" s="27"/>
      <c r="H306" s="32" t="str">
        <f aca="false">IF(A306="","",A306&amp;"|"&amp;COUNTIF($A$6:A306,A306))</f>
        <v/>
      </c>
    </row>
    <row r="307" customFormat="false" ht="15" hidden="false" customHeight="false" outlineLevel="0" collapsed="false">
      <c r="A307" s="27"/>
      <c r="B307" s="27"/>
      <c r="C307" s="27"/>
      <c r="D307" s="27"/>
      <c r="E307" s="27"/>
      <c r="F307" s="31"/>
      <c r="G307" s="27"/>
      <c r="H307" s="32" t="str">
        <f aca="false">IF(A307="","",A307&amp;"|"&amp;COUNTIF($A$6:A307,A307))</f>
        <v/>
      </c>
    </row>
    <row r="308" customFormat="false" ht="15" hidden="false" customHeight="false" outlineLevel="0" collapsed="false">
      <c r="A308" s="27"/>
      <c r="B308" s="27"/>
      <c r="C308" s="27"/>
      <c r="D308" s="27"/>
      <c r="E308" s="27"/>
      <c r="F308" s="31"/>
      <c r="G308" s="27"/>
      <c r="H308" s="32" t="str">
        <f aca="false">IF(A308="","",A308&amp;"|"&amp;COUNTIF($A$6:A308,A308))</f>
        <v/>
      </c>
    </row>
    <row r="309" customFormat="false" ht="15" hidden="false" customHeight="false" outlineLevel="0" collapsed="false">
      <c r="A309" s="27"/>
      <c r="B309" s="27"/>
      <c r="C309" s="27"/>
      <c r="D309" s="27"/>
      <c r="E309" s="27"/>
      <c r="F309" s="31"/>
      <c r="G309" s="27"/>
      <c r="H309" s="32" t="str">
        <f aca="false">IF(A309="","",A309&amp;"|"&amp;COUNTIF($A$6:A309,A309))</f>
        <v/>
      </c>
    </row>
    <row r="310" customFormat="false" ht="15" hidden="false" customHeight="false" outlineLevel="0" collapsed="false">
      <c r="A310" s="27"/>
      <c r="B310" s="27"/>
      <c r="C310" s="27"/>
      <c r="D310" s="27"/>
      <c r="E310" s="27"/>
      <c r="F310" s="31"/>
      <c r="G310" s="27"/>
      <c r="H310" s="32" t="str">
        <f aca="false">IF(A310="","",A310&amp;"|"&amp;COUNTIF($A$6:A310,A310))</f>
        <v/>
      </c>
    </row>
    <row r="311" customFormat="false" ht="15" hidden="false" customHeight="false" outlineLevel="0" collapsed="false">
      <c r="A311" s="27"/>
      <c r="B311" s="27"/>
      <c r="C311" s="27"/>
      <c r="D311" s="27"/>
      <c r="E311" s="27"/>
      <c r="F311" s="31"/>
      <c r="G311" s="27"/>
      <c r="H311" s="32" t="str">
        <f aca="false">IF(A311="","",A311&amp;"|"&amp;COUNTIF($A$6:A311,A311))</f>
        <v/>
      </c>
    </row>
    <row r="312" customFormat="false" ht="15" hidden="false" customHeight="false" outlineLevel="0" collapsed="false">
      <c r="A312" s="27"/>
      <c r="B312" s="27"/>
      <c r="C312" s="27"/>
      <c r="D312" s="27"/>
      <c r="E312" s="27"/>
      <c r="F312" s="31"/>
      <c r="G312" s="27"/>
      <c r="H312" s="32" t="str">
        <f aca="false">IF(A312="","",A312&amp;"|"&amp;COUNTIF($A$6:A312,A312))</f>
        <v/>
      </c>
    </row>
    <row r="313" customFormat="false" ht="15" hidden="false" customHeight="false" outlineLevel="0" collapsed="false">
      <c r="A313" s="27"/>
      <c r="B313" s="27"/>
      <c r="C313" s="27"/>
      <c r="D313" s="27"/>
      <c r="E313" s="27"/>
      <c r="F313" s="31"/>
      <c r="G313" s="27"/>
      <c r="H313" s="32" t="str">
        <f aca="false">IF(A313="","",A313&amp;"|"&amp;COUNTIF($A$6:A313,A313))</f>
        <v/>
      </c>
    </row>
    <row r="314" customFormat="false" ht="15" hidden="false" customHeight="false" outlineLevel="0" collapsed="false">
      <c r="A314" s="27"/>
      <c r="B314" s="27"/>
      <c r="C314" s="27"/>
      <c r="D314" s="27"/>
      <c r="E314" s="27"/>
      <c r="F314" s="31"/>
      <c r="G314" s="27"/>
      <c r="H314" s="32" t="str">
        <f aca="false">IF(A314="","",A314&amp;"|"&amp;COUNTIF($A$6:A314,A314))</f>
        <v/>
      </c>
    </row>
    <row r="315" customFormat="false" ht="15" hidden="false" customHeight="false" outlineLevel="0" collapsed="false">
      <c r="A315" s="27"/>
      <c r="B315" s="27"/>
      <c r="C315" s="27"/>
      <c r="D315" s="27"/>
      <c r="E315" s="27"/>
      <c r="F315" s="31"/>
      <c r="G315" s="27"/>
      <c r="H315" s="32" t="str">
        <f aca="false">IF(A315="","",A315&amp;"|"&amp;COUNTIF($A$6:A315,A315))</f>
        <v/>
      </c>
    </row>
    <row r="316" customFormat="false" ht="15" hidden="false" customHeight="false" outlineLevel="0" collapsed="false">
      <c r="A316" s="27"/>
      <c r="B316" s="27"/>
      <c r="C316" s="27"/>
      <c r="D316" s="27"/>
      <c r="E316" s="27"/>
      <c r="F316" s="31"/>
      <c r="G316" s="27"/>
      <c r="H316" s="32" t="str">
        <f aca="false">IF(A316="","",A316&amp;"|"&amp;COUNTIF($A$6:A316,A316))</f>
        <v/>
      </c>
    </row>
    <row r="317" customFormat="false" ht="15" hidden="false" customHeight="false" outlineLevel="0" collapsed="false">
      <c r="A317" s="27"/>
      <c r="B317" s="27"/>
      <c r="C317" s="27"/>
      <c r="D317" s="27"/>
      <c r="E317" s="27"/>
      <c r="F317" s="31"/>
      <c r="G317" s="27"/>
      <c r="H317" s="32" t="str">
        <f aca="false">IF(A317="","",A317&amp;"|"&amp;COUNTIF($A$6:A317,A317))</f>
        <v/>
      </c>
    </row>
    <row r="318" customFormat="false" ht="15" hidden="false" customHeight="false" outlineLevel="0" collapsed="false">
      <c r="A318" s="27"/>
      <c r="B318" s="27"/>
      <c r="C318" s="27"/>
      <c r="D318" s="27"/>
      <c r="E318" s="27"/>
      <c r="F318" s="31"/>
      <c r="G318" s="27"/>
      <c r="H318" s="32" t="str">
        <f aca="false">IF(A318="","",A318&amp;"|"&amp;COUNTIF($A$6:A318,A318))</f>
        <v/>
      </c>
    </row>
    <row r="319" customFormat="false" ht="15" hidden="false" customHeight="false" outlineLevel="0" collapsed="false">
      <c r="A319" s="27"/>
      <c r="B319" s="27"/>
      <c r="C319" s="27"/>
      <c r="D319" s="27"/>
      <c r="E319" s="27"/>
      <c r="F319" s="31"/>
      <c r="G319" s="27"/>
      <c r="H319" s="32" t="str">
        <f aca="false">IF(A319="","",A319&amp;"|"&amp;COUNTIF($A$6:A319,A319))</f>
        <v/>
      </c>
    </row>
    <row r="320" customFormat="false" ht="15" hidden="false" customHeight="false" outlineLevel="0" collapsed="false">
      <c r="A320" s="27"/>
      <c r="B320" s="27"/>
      <c r="C320" s="27"/>
      <c r="D320" s="27"/>
      <c r="E320" s="27"/>
      <c r="F320" s="31"/>
      <c r="G320" s="27"/>
      <c r="H320" s="32" t="str">
        <f aca="false">IF(A320="","",A320&amp;"|"&amp;COUNTIF($A$6:A320,A320))</f>
        <v/>
      </c>
    </row>
    <row r="321" customFormat="false" ht="15" hidden="false" customHeight="false" outlineLevel="0" collapsed="false">
      <c r="A321" s="27"/>
      <c r="B321" s="27"/>
      <c r="C321" s="27"/>
      <c r="D321" s="27"/>
      <c r="E321" s="27"/>
      <c r="F321" s="31"/>
      <c r="G321" s="27"/>
      <c r="H321" s="32" t="str">
        <f aca="false">IF(A321="","",A321&amp;"|"&amp;COUNTIF($A$6:A321,A321))</f>
        <v/>
      </c>
    </row>
    <row r="322" customFormat="false" ht="15" hidden="false" customHeight="false" outlineLevel="0" collapsed="false">
      <c r="A322" s="27"/>
      <c r="B322" s="27"/>
      <c r="C322" s="27"/>
      <c r="D322" s="27"/>
      <c r="E322" s="27"/>
      <c r="F322" s="31"/>
      <c r="G322" s="27"/>
      <c r="H322" s="32" t="str">
        <f aca="false">IF(A322="","",A322&amp;"|"&amp;COUNTIF($A$6:A322,A322))</f>
        <v/>
      </c>
    </row>
    <row r="323" customFormat="false" ht="15" hidden="false" customHeight="false" outlineLevel="0" collapsed="false">
      <c r="A323" s="27"/>
      <c r="B323" s="27"/>
      <c r="C323" s="27"/>
      <c r="D323" s="27"/>
      <c r="E323" s="27"/>
      <c r="F323" s="31"/>
      <c r="G323" s="27"/>
      <c r="H323" s="32" t="str">
        <f aca="false">IF(A323="","",A323&amp;"|"&amp;COUNTIF($A$6:A323,A323))</f>
        <v/>
      </c>
    </row>
    <row r="324" customFormat="false" ht="15" hidden="false" customHeight="false" outlineLevel="0" collapsed="false">
      <c r="A324" s="27"/>
      <c r="B324" s="27"/>
      <c r="C324" s="27"/>
      <c r="D324" s="27"/>
      <c r="E324" s="27"/>
      <c r="F324" s="31"/>
      <c r="G324" s="27"/>
      <c r="H324" s="32" t="str">
        <f aca="false">IF(A324="","",A324&amp;"|"&amp;COUNTIF($A$6:A324,A324))</f>
        <v/>
      </c>
    </row>
    <row r="325" customFormat="false" ht="15" hidden="false" customHeight="false" outlineLevel="0" collapsed="false">
      <c r="A325" s="27"/>
      <c r="B325" s="27"/>
      <c r="C325" s="27"/>
      <c r="D325" s="27"/>
      <c r="E325" s="27"/>
      <c r="F325" s="31"/>
      <c r="G325" s="27"/>
      <c r="H325" s="32" t="str">
        <f aca="false">IF(A325="","",A325&amp;"|"&amp;COUNTIF($A$6:A325,A325))</f>
        <v/>
      </c>
    </row>
    <row r="326" customFormat="false" ht="15" hidden="false" customHeight="false" outlineLevel="0" collapsed="false">
      <c r="A326" s="27"/>
      <c r="B326" s="27"/>
      <c r="C326" s="27"/>
      <c r="D326" s="27"/>
      <c r="E326" s="27"/>
      <c r="F326" s="31"/>
      <c r="G326" s="27"/>
      <c r="H326" s="32" t="str">
        <f aca="false">IF(A326="","",A326&amp;"|"&amp;COUNTIF($A$6:A326,A326))</f>
        <v/>
      </c>
    </row>
    <row r="327" customFormat="false" ht="15" hidden="false" customHeight="false" outlineLevel="0" collapsed="false">
      <c r="A327" s="27"/>
      <c r="B327" s="27"/>
      <c r="C327" s="27"/>
      <c r="D327" s="27"/>
      <c r="E327" s="27"/>
      <c r="F327" s="31"/>
      <c r="G327" s="27"/>
      <c r="H327" s="32" t="str">
        <f aca="false">IF(A327="","",A327&amp;"|"&amp;COUNTIF($A$6:A327,A327))</f>
        <v/>
      </c>
    </row>
    <row r="328" customFormat="false" ht="15" hidden="false" customHeight="false" outlineLevel="0" collapsed="false">
      <c r="A328" s="27"/>
      <c r="B328" s="27"/>
      <c r="C328" s="27"/>
      <c r="D328" s="27"/>
      <c r="E328" s="27"/>
      <c r="F328" s="31"/>
      <c r="G328" s="27"/>
      <c r="H328" s="32" t="str">
        <f aca="false">IF(A328="","",A328&amp;"|"&amp;COUNTIF($A$6:A328,A328))</f>
        <v/>
      </c>
    </row>
    <row r="329" customFormat="false" ht="15" hidden="false" customHeight="false" outlineLevel="0" collapsed="false">
      <c r="A329" s="27"/>
      <c r="B329" s="27"/>
      <c r="C329" s="27"/>
      <c r="D329" s="27"/>
      <c r="E329" s="27"/>
      <c r="F329" s="31"/>
      <c r="G329" s="27"/>
      <c r="H329" s="32" t="str">
        <f aca="false">IF(A329="","",A329&amp;"|"&amp;COUNTIF($A$6:A329,A329))</f>
        <v/>
      </c>
    </row>
    <row r="330" customFormat="false" ht="15" hidden="false" customHeight="false" outlineLevel="0" collapsed="false">
      <c r="A330" s="27"/>
      <c r="B330" s="27"/>
      <c r="C330" s="27"/>
      <c r="D330" s="27"/>
      <c r="E330" s="27"/>
      <c r="F330" s="31"/>
      <c r="G330" s="27"/>
      <c r="H330" s="32" t="str">
        <f aca="false">IF(A330="","",A330&amp;"|"&amp;COUNTIF($A$6:A330,A330))</f>
        <v/>
      </c>
    </row>
    <row r="331" customFormat="false" ht="15" hidden="false" customHeight="false" outlineLevel="0" collapsed="false">
      <c r="A331" s="27"/>
      <c r="B331" s="27"/>
      <c r="C331" s="27"/>
      <c r="D331" s="27"/>
      <c r="E331" s="27"/>
      <c r="F331" s="31"/>
      <c r="G331" s="27"/>
      <c r="H331" s="32" t="str">
        <f aca="false">IF(A331="","",A331&amp;"|"&amp;COUNTIF($A$6:A331,A331))</f>
        <v/>
      </c>
    </row>
    <row r="332" customFormat="false" ht="15" hidden="false" customHeight="false" outlineLevel="0" collapsed="false">
      <c r="A332" s="27"/>
      <c r="B332" s="27"/>
      <c r="C332" s="27"/>
      <c r="D332" s="27"/>
      <c r="E332" s="27"/>
      <c r="F332" s="31"/>
      <c r="G332" s="27"/>
      <c r="H332" s="32" t="str">
        <f aca="false">IF(A332="","",A332&amp;"|"&amp;COUNTIF($A$6:A332,A332))</f>
        <v/>
      </c>
    </row>
    <row r="333" customFormat="false" ht="15" hidden="false" customHeight="false" outlineLevel="0" collapsed="false">
      <c r="A333" s="27"/>
      <c r="B333" s="27"/>
      <c r="C333" s="27"/>
      <c r="D333" s="27"/>
      <c r="E333" s="27"/>
      <c r="F333" s="31"/>
      <c r="G333" s="27"/>
      <c r="H333" s="32" t="str">
        <f aca="false">IF(A333="","",A333&amp;"|"&amp;COUNTIF($A$6:A333,A333))</f>
        <v/>
      </c>
    </row>
    <row r="334" customFormat="false" ht="15" hidden="false" customHeight="false" outlineLevel="0" collapsed="false">
      <c r="A334" s="27"/>
      <c r="B334" s="27"/>
      <c r="C334" s="27"/>
      <c r="D334" s="27"/>
      <c r="E334" s="27"/>
      <c r="F334" s="31"/>
      <c r="G334" s="27"/>
      <c r="H334" s="32" t="str">
        <f aca="false">IF(A334="","",A334&amp;"|"&amp;COUNTIF($A$6:A334,A334))</f>
        <v/>
      </c>
    </row>
    <row r="335" customFormat="false" ht="15" hidden="false" customHeight="false" outlineLevel="0" collapsed="false">
      <c r="A335" s="27"/>
      <c r="B335" s="27"/>
      <c r="C335" s="27"/>
      <c r="D335" s="27"/>
      <c r="E335" s="27"/>
      <c r="F335" s="31"/>
      <c r="G335" s="27"/>
      <c r="H335" s="32" t="str">
        <f aca="false">IF(A335="","",A335&amp;"|"&amp;COUNTIF($A$6:A335,A335))</f>
        <v/>
      </c>
    </row>
    <row r="336" customFormat="false" ht="15" hidden="false" customHeight="false" outlineLevel="0" collapsed="false">
      <c r="A336" s="27"/>
      <c r="B336" s="27"/>
      <c r="C336" s="27"/>
      <c r="D336" s="27"/>
      <c r="E336" s="27"/>
      <c r="F336" s="31"/>
      <c r="G336" s="27"/>
      <c r="H336" s="32" t="str">
        <f aca="false">IF(A336="","",A336&amp;"|"&amp;COUNTIF($A$6:A336,A336))</f>
        <v/>
      </c>
    </row>
    <row r="337" customFormat="false" ht="15" hidden="false" customHeight="false" outlineLevel="0" collapsed="false">
      <c r="A337" s="27"/>
      <c r="B337" s="27"/>
      <c r="C337" s="27"/>
      <c r="D337" s="27"/>
      <c r="E337" s="27"/>
      <c r="F337" s="31"/>
      <c r="G337" s="27"/>
      <c r="H337" s="32" t="str">
        <f aca="false">IF(A337="","",A337&amp;"|"&amp;COUNTIF($A$6:A337,A337))</f>
        <v/>
      </c>
    </row>
    <row r="338" customFormat="false" ht="15" hidden="false" customHeight="false" outlineLevel="0" collapsed="false">
      <c r="A338" s="27"/>
      <c r="B338" s="27"/>
      <c r="C338" s="27"/>
      <c r="D338" s="27"/>
      <c r="E338" s="27"/>
      <c r="F338" s="31"/>
      <c r="G338" s="27"/>
      <c r="H338" s="32" t="str">
        <f aca="false">IF(A338="","",A338&amp;"|"&amp;COUNTIF($A$6:A338,A338))</f>
        <v/>
      </c>
    </row>
    <row r="339" customFormat="false" ht="15" hidden="false" customHeight="false" outlineLevel="0" collapsed="false">
      <c r="A339" s="27"/>
      <c r="B339" s="27"/>
      <c r="C339" s="27"/>
      <c r="D339" s="27"/>
      <c r="E339" s="27"/>
      <c r="F339" s="31"/>
      <c r="G339" s="27"/>
      <c r="H339" s="32" t="str">
        <f aca="false">IF(A339="","",A339&amp;"|"&amp;COUNTIF($A$6:A339,A339))</f>
        <v/>
      </c>
    </row>
    <row r="340" customFormat="false" ht="15" hidden="false" customHeight="false" outlineLevel="0" collapsed="false">
      <c r="A340" s="27"/>
      <c r="B340" s="27"/>
      <c r="C340" s="27"/>
      <c r="D340" s="27"/>
      <c r="E340" s="27"/>
      <c r="F340" s="31"/>
      <c r="G340" s="27"/>
      <c r="H340" s="32" t="str">
        <f aca="false">IF(A340="","",A340&amp;"|"&amp;COUNTIF($A$6:A340,A340))</f>
        <v/>
      </c>
    </row>
    <row r="341" customFormat="false" ht="15" hidden="false" customHeight="false" outlineLevel="0" collapsed="false">
      <c r="A341" s="27"/>
      <c r="B341" s="27"/>
      <c r="C341" s="27"/>
      <c r="D341" s="27"/>
      <c r="E341" s="27"/>
      <c r="F341" s="31"/>
      <c r="G341" s="27"/>
      <c r="H341" s="32" t="str">
        <f aca="false">IF(A341="","",A341&amp;"|"&amp;COUNTIF($A$6:A341,A341))</f>
        <v/>
      </c>
    </row>
    <row r="342" customFormat="false" ht="15" hidden="false" customHeight="false" outlineLevel="0" collapsed="false">
      <c r="A342" s="27"/>
      <c r="B342" s="27"/>
      <c r="C342" s="27"/>
      <c r="D342" s="27"/>
      <c r="E342" s="27"/>
      <c r="F342" s="31"/>
      <c r="G342" s="27"/>
      <c r="H342" s="32" t="str">
        <f aca="false">IF(A342="","",A342&amp;"|"&amp;COUNTIF($A$6:A342,A342))</f>
        <v/>
      </c>
    </row>
    <row r="343" customFormat="false" ht="15" hidden="false" customHeight="false" outlineLevel="0" collapsed="false">
      <c r="A343" s="27"/>
      <c r="B343" s="27"/>
      <c r="C343" s="27"/>
      <c r="D343" s="27"/>
      <c r="E343" s="27"/>
      <c r="F343" s="31"/>
      <c r="G343" s="27"/>
      <c r="H343" s="32" t="str">
        <f aca="false">IF(A343="","",A343&amp;"|"&amp;COUNTIF($A$6:A343,A343))</f>
        <v/>
      </c>
    </row>
    <row r="344" customFormat="false" ht="15" hidden="false" customHeight="false" outlineLevel="0" collapsed="false">
      <c r="A344" s="27"/>
      <c r="B344" s="27"/>
      <c r="C344" s="27"/>
      <c r="D344" s="27"/>
      <c r="E344" s="27"/>
      <c r="F344" s="31"/>
      <c r="G344" s="27"/>
      <c r="H344" s="32" t="str">
        <f aca="false">IF(A344="","",A344&amp;"|"&amp;COUNTIF($A$6:A344,A344))</f>
        <v/>
      </c>
    </row>
    <row r="345" customFormat="false" ht="15" hidden="false" customHeight="false" outlineLevel="0" collapsed="false">
      <c r="A345" s="27"/>
      <c r="B345" s="27"/>
      <c r="C345" s="27"/>
      <c r="D345" s="27"/>
      <c r="E345" s="27"/>
      <c r="F345" s="31"/>
      <c r="G345" s="27"/>
      <c r="H345" s="32" t="str">
        <f aca="false">IF(A345="","",A345&amp;"|"&amp;COUNTIF($A$6:A345,A345))</f>
        <v/>
      </c>
    </row>
    <row r="346" customFormat="false" ht="15" hidden="false" customHeight="false" outlineLevel="0" collapsed="false">
      <c r="A346" s="27"/>
      <c r="B346" s="27"/>
      <c r="C346" s="27"/>
      <c r="D346" s="27"/>
      <c r="E346" s="27"/>
      <c r="F346" s="31"/>
      <c r="G346" s="27"/>
      <c r="H346" s="32" t="str">
        <f aca="false">IF(A346="","",A346&amp;"|"&amp;COUNTIF($A$6:A346,A346))</f>
        <v/>
      </c>
    </row>
    <row r="347" customFormat="false" ht="15" hidden="false" customHeight="false" outlineLevel="0" collapsed="false">
      <c r="A347" s="27"/>
      <c r="B347" s="27"/>
      <c r="C347" s="27"/>
      <c r="D347" s="27"/>
      <c r="E347" s="27"/>
      <c r="F347" s="31"/>
      <c r="G347" s="27"/>
      <c r="H347" s="32" t="str">
        <f aca="false">IF(A347="","",A347&amp;"|"&amp;COUNTIF($A$6:A347,A347))</f>
        <v/>
      </c>
    </row>
    <row r="348" customFormat="false" ht="15" hidden="false" customHeight="false" outlineLevel="0" collapsed="false">
      <c r="A348" s="27"/>
      <c r="B348" s="27"/>
      <c r="C348" s="27"/>
      <c r="D348" s="27"/>
      <c r="E348" s="27"/>
      <c r="F348" s="31"/>
      <c r="G348" s="27"/>
      <c r="H348" s="32" t="str">
        <f aca="false">IF(A348="","",A348&amp;"|"&amp;COUNTIF($A$6:A348,A348))</f>
        <v/>
      </c>
    </row>
    <row r="349" customFormat="false" ht="15" hidden="false" customHeight="false" outlineLevel="0" collapsed="false">
      <c r="A349" s="27"/>
      <c r="B349" s="27"/>
      <c r="C349" s="27"/>
      <c r="D349" s="27"/>
      <c r="E349" s="27"/>
      <c r="F349" s="31"/>
      <c r="G349" s="27"/>
      <c r="H349" s="32" t="str">
        <f aca="false">IF(A349="","",A349&amp;"|"&amp;COUNTIF($A$6:A349,A349))</f>
        <v/>
      </c>
    </row>
    <row r="350" customFormat="false" ht="15" hidden="false" customHeight="false" outlineLevel="0" collapsed="false">
      <c r="A350" s="27"/>
      <c r="B350" s="27"/>
      <c r="C350" s="27"/>
      <c r="D350" s="27"/>
      <c r="E350" s="27"/>
      <c r="F350" s="31"/>
      <c r="G350" s="27"/>
      <c r="H350" s="32" t="str">
        <f aca="false">IF(A350="","",A350&amp;"|"&amp;COUNTIF($A$6:A350,A350))</f>
        <v/>
      </c>
    </row>
    <row r="351" customFormat="false" ht="15" hidden="false" customHeight="false" outlineLevel="0" collapsed="false">
      <c r="A351" s="27"/>
      <c r="B351" s="27"/>
      <c r="C351" s="27"/>
      <c r="D351" s="27"/>
      <c r="E351" s="27"/>
      <c r="F351" s="31"/>
      <c r="G351" s="27"/>
      <c r="H351" s="32" t="str">
        <f aca="false">IF(A351="","",A351&amp;"|"&amp;COUNTIF($A$6:A351,A351))</f>
        <v/>
      </c>
    </row>
    <row r="352" customFormat="false" ht="15" hidden="false" customHeight="false" outlineLevel="0" collapsed="false">
      <c r="A352" s="27"/>
      <c r="B352" s="27"/>
      <c r="C352" s="27"/>
      <c r="D352" s="27"/>
      <c r="E352" s="27"/>
      <c r="F352" s="31"/>
      <c r="G352" s="27"/>
      <c r="H352" s="32" t="str">
        <f aca="false">IF(A352="","",A352&amp;"|"&amp;COUNTIF($A$6:A352,A352))</f>
        <v/>
      </c>
    </row>
    <row r="353" customFormat="false" ht="15" hidden="false" customHeight="false" outlineLevel="0" collapsed="false">
      <c r="A353" s="27"/>
      <c r="B353" s="27"/>
      <c r="C353" s="27"/>
      <c r="D353" s="27"/>
      <c r="E353" s="27"/>
      <c r="F353" s="31"/>
      <c r="G353" s="27"/>
      <c r="H353" s="32" t="str">
        <f aca="false">IF(A353="","",A353&amp;"|"&amp;COUNTIF($A$6:A353,A353))</f>
        <v/>
      </c>
    </row>
    <row r="354" customFormat="false" ht="15" hidden="false" customHeight="false" outlineLevel="0" collapsed="false">
      <c r="A354" s="27"/>
      <c r="B354" s="27"/>
      <c r="C354" s="27"/>
      <c r="D354" s="27"/>
      <c r="E354" s="27"/>
      <c r="F354" s="31"/>
      <c r="G354" s="27"/>
      <c r="H354" s="32" t="str">
        <f aca="false">IF(A354="","",A354&amp;"|"&amp;COUNTIF($A$6:A354,A354))</f>
        <v/>
      </c>
    </row>
    <row r="355" customFormat="false" ht="15" hidden="false" customHeight="false" outlineLevel="0" collapsed="false">
      <c r="A355" s="27"/>
      <c r="B355" s="27"/>
      <c r="C355" s="27"/>
      <c r="D355" s="27"/>
      <c r="E355" s="27"/>
      <c r="F355" s="31"/>
      <c r="G355" s="27"/>
      <c r="H355" s="32" t="str">
        <f aca="false">IF(A355="","",A355&amp;"|"&amp;COUNTIF($A$6:A355,A355))</f>
        <v/>
      </c>
    </row>
    <row r="356" customFormat="false" ht="15" hidden="false" customHeight="false" outlineLevel="0" collapsed="false">
      <c r="A356" s="27"/>
      <c r="B356" s="27"/>
      <c r="C356" s="27"/>
      <c r="D356" s="27"/>
      <c r="E356" s="27"/>
      <c r="F356" s="31"/>
      <c r="G356" s="27"/>
      <c r="H356" s="32" t="str">
        <f aca="false">IF(A356="","",A356&amp;"|"&amp;COUNTIF($A$6:A356,A356))</f>
        <v/>
      </c>
    </row>
    <row r="357" customFormat="false" ht="15" hidden="false" customHeight="false" outlineLevel="0" collapsed="false">
      <c r="A357" s="27"/>
      <c r="B357" s="27"/>
      <c r="C357" s="27"/>
      <c r="D357" s="27"/>
      <c r="E357" s="27"/>
      <c r="F357" s="31"/>
      <c r="G357" s="27"/>
      <c r="H357" s="32" t="str">
        <f aca="false">IF(A357="","",A357&amp;"|"&amp;COUNTIF($A$6:A357,A357))</f>
        <v/>
      </c>
    </row>
    <row r="358" customFormat="false" ht="15" hidden="false" customHeight="false" outlineLevel="0" collapsed="false">
      <c r="A358" s="27"/>
      <c r="B358" s="27"/>
      <c r="C358" s="27"/>
      <c r="D358" s="27"/>
      <c r="E358" s="27"/>
      <c r="F358" s="31"/>
      <c r="G358" s="27"/>
      <c r="H358" s="32" t="str">
        <f aca="false">IF(A358="","",A358&amp;"|"&amp;COUNTIF($A$6:A358,A358))</f>
        <v/>
      </c>
    </row>
    <row r="359" customFormat="false" ht="15" hidden="false" customHeight="false" outlineLevel="0" collapsed="false">
      <c r="A359" s="27"/>
      <c r="B359" s="27"/>
      <c r="C359" s="27"/>
      <c r="D359" s="27"/>
      <c r="E359" s="27"/>
      <c r="F359" s="31"/>
      <c r="G359" s="27"/>
      <c r="H359" s="32" t="str">
        <f aca="false">IF(A359="","",A359&amp;"|"&amp;COUNTIF($A$6:A359,A359))</f>
        <v/>
      </c>
    </row>
    <row r="360" customFormat="false" ht="15" hidden="false" customHeight="false" outlineLevel="0" collapsed="false">
      <c r="A360" s="27"/>
      <c r="B360" s="27"/>
      <c r="C360" s="27"/>
      <c r="D360" s="27"/>
      <c r="E360" s="27"/>
      <c r="F360" s="31"/>
      <c r="G360" s="27"/>
      <c r="H360" s="32" t="str">
        <f aca="false">IF(A360="","",A360&amp;"|"&amp;COUNTIF($A$6:A360,A360))</f>
        <v/>
      </c>
    </row>
    <row r="361" customFormat="false" ht="15" hidden="false" customHeight="false" outlineLevel="0" collapsed="false">
      <c r="A361" s="27"/>
      <c r="B361" s="27"/>
      <c r="C361" s="27"/>
      <c r="D361" s="27"/>
      <c r="E361" s="27"/>
      <c r="F361" s="31"/>
      <c r="G361" s="27"/>
      <c r="H361" s="32" t="str">
        <f aca="false">IF(A361="","",A361&amp;"|"&amp;COUNTIF($A$6:A361,A361))</f>
        <v/>
      </c>
    </row>
    <row r="362" customFormat="false" ht="15" hidden="false" customHeight="false" outlineLevel="0" collapsed="false">
      <c r="A362" s="27"/>
      <c r="B362" s="27"/>
      <c r="C362" s="27"/>
      <c r="D362" s="27"/>
      <c r="E362" s="27"/>
      <c r="F362" s="31"/>
      <c r="G362" s="27"/>
      <c r="H362" s="32" t="str">
        <f aca="false">IF(A362="","",A362&amp;"|"&amp;COUNTIF($A$6:A362,A362))</f>
        <v/>
      </c>
    </row>
    <row r="363" customFormat="false" ht="15" hidden="false" customHeight="false" outlineLevel="0" collapsed="false">
      <c r="A363" s="27"/>
      <c r="B363" s="27"/>
      <c r="C363" s="27"/>
      <c r="D363" s="27"/>
      <c r="E363" s="27"/>
      <c r="F363" s="31"/>
      <c r="G363" s="27"/>
      <c r="H363" s="32" t="str">
        <f aca="false">IF(A363="","",A363&amp;"|"&amp;COUNTIF($A$6:A363,A363))</f>
        <v/>
      </c>
    </row>
    <row r="364" customFormat="false" ht="15" hidden="false" customHeight="false" outlineLevel="0" collapsed="false">
      <c r="A364" s="27"/>
      <c r="B364" s="27"/>
      <c r="C364" s="27"/>
      <c r="D364" s="27"/>
      <c r="E364" s="27"/>
      <c r="F364" s="31"/>
      <c r="G364" s="27"/>
      <c r="H364" s="32" t="str">
        <f aca="false">IF(A364="","",A364&amp;"|"&amp;COUNTIF($A$6:A364,A364))</f>
        <v/>
      </c>
    </row>
    <row r="365" customFormat="false" ht="15" hidden="false" customHeight="false" outlineLevel="0" collapsed="false">
      <c r="A365" s="27"/>
      <c r="B365" s="27"/>
      <c r="C365" s="27"/>
      <c r="D365" s="27"/>
      <c r="E365" s="27"/>
      <c r="F365" s="31"/>
      <c r="G365" s="27"/>
      <c r="H365" s="32" t="str">
        <f aca="false">IF(A365="","",A365&amp;"|"&amp;COUNTIF($A$6:A365,A365))</f>
        <v/>
      </c>
    </row>
    <row r="366" customFormat="false" ht="15" hidden="false" customHeight="false" outlineLevel="0" collapsed="false">
      <c r="A366" s="27"/>
      <c r="B366" s="27"/>
      <c r="C366" s="27"/>
      <c r="D366" s="27"/>
      <c r="E366" s="27"/>
      <c r="F366" s="31"/>
      <c r="G366" s="27"/>
      <c r="H366" s="32" t="str">
        <f aca="false">IF(A366="","",A366&amp;"|"&amp;COUNTIF($A$6:A366,A366))</f>
        <v/>
      </c>
    </row>
    <row r="367" customFormat="false" ht="15" hidden="false" customHeight="false" outlineLevel="0" collapsed="false">
      <c r="A367" s="27"/>
      <c r="B367" s="27"/>
      <c r="C367" s="27"/>
      <c r="D367" s="27"/>
      <c r="E367" s="27"/>
      <c r="F367" s="31"/>
      <c r="G367" s="27"/>
      <c r="H367" s="32" t="str">
        <f aca="false">IF(A367="","",A367&amp;"|"&amp;COUNTIF($A$6:A367,A367))</f>
        <v/>
      </c>
    </row>
    <row r="368" customFormat="false" ht="15" hidden="false" customHeight="false" outlineLevel="0" collapsed="false">
      <c r="A368" s="27"/>
      <c r="B368" s="27"/>
      <c r="C368" s="27"/>
      <c r="D368" s="27"/>
      <c r="E368" s="27"/>
      <c r="F368" s="31"/>
      <c r="G368" s="27"/>
      <c r="H368" s="32" t="str">
        <f aca="false">IF(A368="","",A368&amp;"|"&amp;COUNTIF($A$6:A368,A368))</f>
        <v/>
      </c>
    </row>
    <row r="369" customFormat="false" ht="15" hidden="false" customHeight="false" outlineLevel="0" collapsed="false">
      <c r="A369" s="27"/>
      <c r="B369" s="27"/>
      <c r="C369" s="27"/>
      <c r="D369" s="27"/>
      <c r="E369" s="27"/>
      <c r="F369" s="31"/>
      <c r="G369" s="27"/>
      <c r="H369" s="32" t="str">
        <f aca="false">IF(A369="","",A369&amp;"|"&amp;COUNTIF($A$6:A369,A369))</f>
        <v/>
      </c>
    </row>
    <row r="370" customFormat="false" ht="15" hidden="false" customHeight="false" outlineLevel="0" collapsed="false">
      <c r="A370" s="27"/>
      <c r="B370" s="27"/>
      <c r="C370" s="27"/>
      <c r="D370" s="27"/>
      <c r="E370" s="27"/>
      <c r="F370" s="31"/>
      <c r="G370" s="27"/>
      <c r="H370" s="32" t="str">
        <f aca="false">IF(A370="","",A370&amp;"|"&amp;COUNTIF($A$6:A370,A370))</f>
        <v/>
      </c>
    </row>
    <row r="371" customFormat="false" ht="15" hidden="false" customHeight="false" outlineLevel="0" collapsed="false">
      <c r="A371" s="27"/>
      <c r="B371" s="27"/>
      <c r="C371" s="27"/>
      <c r="D371" s="27"/>
      <c r="E371" s="27"/>
      <c r="F371" s="31"/>
      <c r="G371" s="27"/>
      <c r="H371" s="32" t="str">
        <f aca="false">IF(A371="","",A371&amp;"|"&amp;COUNTIF($A$6:A371,A371))</f>
        <v/>
      </c>
    </row>
    <row r="372" customFormat="false" ht="15" hidden="false" customHeight="false" outlineLevel="0" collapsed="false">
      <c r="A372" s="27"/>
      <c r="B372" s="27"/>
      <c r="C372" s="27"/>
      <c r="D372" s="27"/>
      <c r="E372" s="27"/>
      <c r="F372" s="31"/>
      <c r="G372" s="27"/>
      <c r="H372" s="32" t="str">
        <f aca="false">IF(A372="","",A372&amp;"|"&amp;COUNTIF($A$6:A372,A372))</f>
        <v/>
      </c>
    </row>
    <row r="373" customFormat="false" ht="15" hidden="false" customHeight="false" outlineLevel="0" collapsed="false">
      <c r="A373" s="27"/>
      <c r="B373" s="27"/>
      <c r="C373" s="27"/>
      <c r="D373" s="27"/>
      <c r="E373" s="27"/>
      <c r="F373" s="31"/>
      <c r="G373" s="27"/>
      <c r="H373" s="32" t="str">
        <f aca="false">IF(A373="","",A373&amp;"|"&amp;COUNTIF($A$6:A373,A373))</f>
        <v/>
      </c>
    </row>
    <row r="374" customFormat="false" ht="15" hidden="false" customHeight="false" outlineLevel="0" collapsed="false">
      <c r="A374" s="27"/>
      <c r="B374" s="27"/>
      <c r="C374" s="27"/>
      <c r="D374" s="27"/>
      <c r="E374" s="27"/>
      <c r="F374" s="31"/>
      <c r="G374" s="27"/>
      <c r="H374" s="32" t="str">
        <f aca="false">IF(A374="","",A374&amp;"|"&amp;COUNTIF($A$6:A374,A374))</f>
        <v/>
      </c>
    </row>
    <row r="375" customFormat="false" ht="15" hidden="false" customHeight="false" outlineLevel="0" collapsed="false">
      <c r="A375" s="27"/>
      <c r="B375" s="27"/>
      <c r="C375" s="27"/>
      <c r="D375" s="27"/>
      <c r="E375" s="27"/>
      <c r="F375" s="31"/>
      <c r="G375" s="27"/>
      <c r="H375" s="32" t="str">
        <f aca="false">IF(A375="","",A375&amp;"|"&amp;COUNTIF($A$6:A375,A375))</f>
        <v/>
      </c>
    </row>
    <row r="376" customFormat="false" ht="15" hidden="false" customHeight="false" outlineLevel="0" collapsed="false">
      <c r="A376" s="27"/>
      <c r="B376" s="27"/>
      <c r="C376" s="27"/>
      <c r="D376" s="27"/>
      <c r="E376" s="27"/>
      <c r="F376" s="31"/>
      <c r="G376" s="27"/>
      <c r="H376" s="32" t="str">
        <f aca="false">IF(A376="","",A376&amp;"|"&amp;COUNTIF($A$6:A376,A376))</f>
        <v/>
      </c>
    </row>
    <row r="377" customFormat="false" ht="15" hidden="false" customHeight="false" outlineLevel="0" collapsed="false">
      <c r="A377" s="27"/>
      <c r="B377" s="27"/>
      <c r="C377" s="27"/>
      <c r="D377" s="27"/>
      <c r="E377" s="27"/>
      <c r="F377" s="31"/>
      <c r="G377" s="27"/>
      <c r="H377" s="32" t="str">
        <f aca="false">IF(A377="","",A377&amp;"|"&amp;COUNTIF($A$6:A377,A377))</f>
        <v/>
      </c>
    </row>
    <row r="378" customFormat="false" ht="15" hidden="false" customHeight="false" outlineLevel="0" collapsed="false">
      <c r="A378" s="27"/>
      <c r="B378" s="27"/>
      <c r="C378" s="27"/>
      <c r="D378" s="27"/>
      <c r="E378" s="27"/>
      <c r="F378" s="31"/>
      <c r="G378" s="27"/>
      <c r="H378" s="32" t="str">
        <f aca="false">IF(A378="","",A378&amp;"|"&amp;COUNTIF($A$6:A378,A378))</f>
        <v/>
      </c>
    </row>
    <row r="379" customFormat="false" ht="15" hidden="false" customHeight="false" outlineLevel="0" collapsed="false">
      <c r="A379" s="27"/>
      <c r="B379" s="27"/>
      <c r="C379" s="27"/>
      <c r="D379" s="27"/>
      <c r="E379" s="27"/>
      <c r="F379" s="31"/>
      <c r="G379" s="27"/>
      <c r="H379" s="32" t="str">
        <f aca="false">IF(A379="","",A379&amp;"|"&amp;COUNTIF($A$6:A379,A379))</f>
        <v/>
      </c>
    </row>
    <row r="380" customFormat="false" ht="15" hidden="false" customHeight="false" outlineLevel="0" collapsed="false">
      <c r="A380" s="27"/>
      <c r="B380" s="27"/>
      <c r="C380" s="27"/>
      <c r="D380" s="27"/>
      <c r="E380" s="27"/>
      <c r="F380" s="31"/>
      <c r="G380" s="27"/>
      <c r="H380" s="32" t="str">
        <f aca="false">IF(A380="","",A380&amp;"|"&amp;COUNTIF($A$6:A380,A380))</f>
        <v/>
      </c>
    </row>
    <row r="381" customFormat="false" ht="15" hidden="false" customHeight="false" outlineLevel="0" collapsed="false">
      <c r="A381" s="27"/>
      <c r="B381" s="27"/>
      <c r="C381" s="27"/>
      <c r="D381" s="27"/>
      <c r="E381" s="27"/>
      <c r="F381" s="31"/>
      <c r="G381" s="27"/>
      <c r="H381" s="32" t="str">
        <f aca="false">IF(A381="","",A381&amp;"|"&amp;COUNTIF($A$6:A381,A381))</f>
        <v/>
      </c>
    </row>
    <row r="382" customFormat="false" ht="15" hidden="false" customHeight="false" outlineLevel="0" collapsed="false">
      <c r="A382" s="27"/>
      <c r="B382" s="27"/>
      <c r="C382" s="27"/>
      <c r="D382" s="27"/>
      <c r="E382" s="27"/>
      <c r="F382" s="31"/>
      <c r="G382" s="27"/>
      <c r="H382" s="32" t="str">
        <f aca="false">IF(A382="","",A382&amp;"|"&amp;COUNTIF($A$6:A382,A382))</f>
        <v/>
      </c>
    </row>
    <row r="383" customFormat="false" ht="15" hidden="false" customHeight="false" outlineLevel="0" collapsed="false">
      <c r="A383" s="27"/>
      <c r="B383" s="27"/>
      <c r="C383" s="27"/>
      <c r="D383" s="27"/>
      <c r="E383" s="27"/>
      <c r="F383" s="31"/>
      <c r="G383" s="27"/>
      <c r="H383" s="32" t="str">
        <f aca="false">IF(A383="","",A383&amp;"|"&amp;COUNTIF($A$6:A383,A383))</f>
        <v/>
      </c>
    </row>
    <row r="384" customFormat="false" ht="15" hidden="false" customHeight="false" outlineLevel="0" collapsed="false">
      <c r="A384" s="27"/>
      <c r="B384" s="27"/>
      <c r="C384" s="27"/>
      <c r="D384" s="27"/>
      <c r="E384" s="27"/>
      <c r="F384" s="31"/>
      <c r="G384" s="27"/>
      <c r="H384" s="32" t="str">
        <f aca="false">IF(A384="","",A384&amp;"|"&amp;COUNTIF($A$6:A384,A384))</f>
        <v/>
      </c>
    </row>
    <row r="385" customFormat="false" ht="15" hidden="false" customHeight="false" outlineLevel="0" collapsed="false">
      <c r="A385" s="27"/>
      <c r="B385" s="27"/>
      <c r="C385" s="27"/>
      <c r="D385" s="27"/>
      <c r="E385" s="27"/>
      <c r="F385" s="31"/>
      <c r="G385" s="27"/>
      <c r="H385" s="32" t="str">
        <f aca="false">IF(A385="","",A385&amp;"|"&amp;COUNTIF($A$6:A385,A385))</f>
        <v/>
      </c>
    </row>
    <row r="386" customFormat="false" ht="15" hidden="false" customHeight="false" outlineLevel="0" collapsed="false">
      <c r="A386" s="27"/>
      <c r="B386" s="27"/>
      <c r="C386" s="27"/>
      <c r="D386" s="27"/>
      <c r="E386" s="27"/>
      <c r="F386" s="31"/>
      <c r="G386" s="27"/>
      <c r="H386" s="32" t="str">
        <f aca="false">IF(A386="","",A386&amp;"|"&amp;COUNTIF($A$6:A386,A386))</f>
        <v/>
      </c>
    </row>
    <row r="387" customFormat="false" ht="15" hidden="false" customHeight="false" outlineLevel="0" collapsed="false">
      <c r="A387" s="27"/>
      <c r="B387" s="27"/>
      <c r="C387" s="27"/>
      <c r="D387" s="27"/>
      <c r="E387" s="27"/>
      <c r="F387" s="31"/>
      <c r="G387" s="27"/>
      <c r="H387" s="32" t="str">
        <f aca="false">IF(A387="","",A387&amp;"|"&amp;COUNTIF($A$6:A387,A387))</f>
        <v/>
      </c>
    </row>
    <row r="388" customFormat="false" ht="15" hidden="false" customHeight="false" outlineLevel="0" collapsed="false">
      <c r="A388" s="27"/>
      <c r="B388" s="27"/>
      <c r="C388" s="27"/>
      <c r="D388" s="27"/>
      <c r="E388" s="27"/>
      <c r="F388" s="31"/>
      <c r="G388" s="27"/>
      <c r="H388" s="32" t="str">
        <f aca="false">IF(A388="","",A388&amp;"|"&amp;COUNTIF($A$6:A388,A388))</f>
        <v/>
      </c>
    </row>
    <row r="389" customFormat="false" ht="15" hidden="false" customHeight="false" outlineLevel="0" collapsed="false">
      <c r="A389" s="27"/>
      <c r="B389" s="27"/>
      <c r="C389" s="27"/>
      <c r="D389" s="27"/>
      <c r="E389" s="27"/>
      <c r="F389" s="31"/>
      <c r="G389" s="27"/>
      <c r="H389" s="32" t="str">
        <f aca="false">IF(A389="","",A389&amp;"|"&amp;COUNTIF($A$6:A389,A389))</f>
        <v/>
      </c>
    </row>
    <row r="390" customFormat="false" ht="15" hidden="false" customHeight="false" outlineLevel="0" collapsed="false">
      <c r="A390" s="27"/>
      <c r="B390" s="27"/>
      <c r="C390" s="27"/>
      <c r="D390" s="27"/>
      <c r="E390" s="27"/>
      <c r="F390" s="31"/>
      <c r="G390" s="27"/>
      <c r="H390" s="32" t="str">
        <f aca="false">IF(A390="","",A390&amp;"|"&amp;COUNTIF($A$6:A390,A390))</f>
        <v/>
      </c>
    </row>
    <row r="391" customFormat="false" ht="15" hidden="false" customHeight="false" outlineLevel="0" collapsed="false">
      <c r="A391" s="27"/>
      <c r="B391" s="27"/>
      <c r="C391" s="27"/>
      <c r="D391" s="27"/>
      <c r="E391" s="27"/>
      <c r="F391" s="31"/>
      <c r="G391" s="27"/>
      <c r="H391" s="32" t="str">
        <f aca="false">IF(A391="","",A391&amp;"|"&amp;COUNTIF($A$6:A391,A391))</f>
        <v/>
      </c>
    </row>
    <row r="392" customFormat="false" ht="15" hidden="false" customHeight="false" outlineLevel="0" collapsed="false">
      <c r="A392" s="27"/>
      <c r="B392" s="27"/>
      <c r="C392" s="27"/>
      <c r="D392" s="27"/>
      <c r="E392" s="27"/>
      <c r="F392" s="31"/>
      <c r="G392" s="27"/>
      <c r="H392" s="32" t="str">
        <f aca="false">IF(A392="","",A392&amp;"|"&amp;COUNTIF($A$6:A392,A392))</f>
        <v/>
      </c>
    </row>
    <row r="393" customFormat="false" ht="15" hidden="false" customHeight="false" outlineLevel="0" collapsed="false">
      <c r="A393" s="27"/>
      <c r="B393" s="27"/>
      <c r="C393" s="27"/>
      <c r="D393" s="27"/>
      <c r="E393" s="27"/>
      <c r="F393" s="31"/>
      <c r="G393" s="27"/>
      <c r="H393" s="32" t="str">
        <f aca="false">IF(A393="","",A393&amp;"|"&amp;COUNTIF($A$6:A393,A393))</f>
        <v/>
      </c>
    </row>
    <row r="394" customFormat="false" ht="15" hidden="false" customHeight="false" outlineLevel="0" collapsed="false">
      <c r="A394" s="27"/>
      <c r="B394" s="27"/>
      <c r="C394" s="27"/>
      <c r="D394" s="27"/>
      <c r="E394" s="27"/>
      <c r="F394" s="31"/>
      <c r="G394" s="27"/>
      <c r="H394" s="32" t="str">
        <f aca="false">IF(A394="","",A394&amp;"|"&amp;COUNTIF($A$6:A394,A394))</f>
        <v/>
      </c>
    </row>
    <row r="395" customFormat="false" ht="15" hidden="false" customHeight="false" outlineLevel="0" collapsed="false">
      <c r="A395" s="27"/>
      <c r="B395" s="27"/>
      <c r="C395" s="27"/>
      <c r="D395" s="27"/>
      <c r="E395" s="27"/>
      <c r="F395" s="31"/>
      <c r="G395" s="27"/>
      <c r="H395" s="32" t="str">
        <f aca="false">IF(A395="","",A395&amp;"|"&amp;COUNTIF($A$6:A395,A395))</f>
        <v/>
      </c>
    </row>
    <row r="396" customFormat="false" ht="15" hidden="false" customHeight="false" outlineLevel="0" collapsed="false">
      <c r="A396" s="27"/>
      <c r="B396" s="27"/>
      <c r="C396" s="27"/>
      <c r="D396" s="27"/>
      <c r="E396" s="27"/>
      <c r="F396" s="31"/>
      <c r="G396" s="27"/>
      <c r="H396" s="32" t="str">
        <f aca="false">IF(A396="","",A396&amp;"|"&amp;COUNTIF($A$6:A396,A396))</f>
        <v/>
      </c>
    </row>
    <row r="397" customFormat="false" ht="15" hidden="false" customHeight="false" outlineLevel="0" collapsed="false">
      <c r="A397" s="27"/>
      <c r="B397" s="27"/>
      <c r="C397" s="27"/>
      <c r="D397" s="27"/>
      <c r="E397" s="27"/>
      <c r="F397" s="31"/>
      <c r="G397" s="27"/>
      <c r="H397" s="32" t="str">
        <f aca="false">IF(A397="","",A397&amp;"|"&amp;COUNTIF($A$6:A397,A397))</f>
        <v/>
      </c>
    </row>
    <row r="398" customFormat="false" ht="15" hidden="false" customHeight="false" outlineLevel="0" collapsed="false">
      <c r="A398" s="27"/>
      <c r="B398" s="27"/>
      <c r="C398" s="27"/>
      <c r="D398" s="27"/>
      <c r="E398" s="27"/>
      <c r="F398" s="31"/>
      <c r="G398" s="27"/>
      <c r="H398" s="32" t="str">
        <f aca="false">IF(A398="","",A398&amp;"|"&amp;COUNTIF($A$6:A398,A398))</f>
        <v/>
      </c>
    </row>
    <row r="399" customFormat="false" ht="15" hidden="false" customHeight="false" outlineLevel="0" collapsed="false">
      <c r="A399" s="27"/>
      <c r="B399" s="27"/>
      <c r="C399" s="27"/>
      <c r="D399" s="27"/>
      <c r="E399" s="27"/>
      <c r="F399" s="31"/>
      <c r="G399" s="27"/>
      <c r="H399" s="32" t="str">
        <f aca="false">IF(A399="","",A399&amp;"|"&amp;COUNTIF($A$6:A399,A399))</f>
        <v/>
      </c>
    </row>
    <row r="400" customFormat="false" ht="15" hidden="false" customHeight="false" outlineLevel="0" collapsed="false">
      <c r="A400" s="27"/>
      <c r="B400" s="27"/>
      <c r="C400" s="27"/>
      <c r="D400" s="27"/>
      <c r="E400" s="27"/>
      <c r="F400" s="31"/>
      <c r="G400" s="27"/>
      <c r="H400" s="32" t="str">
        <f aca="false">IF(A400="","",A400&amp;"|"&amp;COUNTIF($A$6:A400,A400))</f>
        <v/>
      </c>
    </row>
    <row r="401" customFormat="false" ht="15" hidden="false" customHeight="false" outlineLevel="0" collapsed="false">
      <c r="A401" s="27"/>
      <c r="B401" s="27"/>
      <c r="C401" s="27"/>
      <c r="D401" s="27"/>
      <c r="E401" s="27"/>
      <c r="F401" s="31"/>
      <c r="G401" s="27"/>
      <c r="H401" s="32" t="str">
        <f aca="false">IF(A401="","",A401&amp;"|"&amp;COUNTIF($A$6:A401,A401))</f>
        <v/>
      </c>
    </row>
    <row r="402" customFormat="false" ht="15" hidden="false" customHeight="false" outlineLevel="0" collapsed="false">
      <c r="A402" s="27"/>
      <c r="B402" s="27"/>
      <c r="C402" s="27"/>
      <c r="D402" s="27"/>
      <c r="E402" s="27"/>
      <c r="F402" s="31"/>
      <c r="G402" s="27"/>
      <c r="H402" s="32" t="str">
        <f aca="false">IF(A402="","",A402&amp;"|"&amp;COUNTIF($A$6:A402,A402))</f>
        <v/>
      </c>
    </row>
    <row r="403" customFormat="false" ht="15" hidden="false" customHeight="false" outlineLevel="0" collapsed="false">
      <c r="A403" s="27"/>
      <c r="B403" s="27"/>
      <c r="C403" s="27"/>
      <c r="D403" s="27"/>
      <c r="E403" s="27"/>
      <c r="F403" s="31"/>
      <c r="G403" s="27"/>
      <c r="H403" s="32" t="str">
        <f aca="false">IF(A403="","",A403&amp;"|"&amp;COUNTIF($A$6:A403,A403))</f>
        <v/>
      </c>
    </row>
    <row r="404" customFormat="false" ht="15" hidden="false" customHeight="false" outlineLevel="0" collapsed="false">
      <c r="A404" s="27"/>
      <c r="B404" s="27"/>
      <c r="C404" s="27"/>
      <c r="D404" s="27"/>
      <c r="E404" s="27"/>
      <c r="F404" s="31"/>
      <c r="G404" s="27"/>
      <c r="H404" s="32" t="str">
        <f aca="false">IF(A404="","",A404&amp;"|"&amp;COUNTIF($A$6:A404,A404))</f>
        <v/>
      </c>
    </row>
    <row r="405" customFormat="false" ht="15" hidden="false" customHeight="false" outlineLevel="0" collapsed="false">
      <c r="A405" s="27"/>
      <c r="B405" s="27"/>
      <c r="C405" s="27"/>
      <c r="D405" s="27"/>
      <c r="E405" s="27"/>
      <c r="F405" s="31"/>
      <c r="G405" s="27"/>
      <c r="H405" s="32" t="str">
        <f aca="false">IF(A405="","",A405&amp;"|"&amp;COUNTIF($A$6:A405,A405))</f>
        <v/>
      </c>
    </row>
    <row r="406" customFormat="false" ht="15" hidden="false" customHeight="false" outlineLevel="0" collapsed="false">
      <c r="A406" s="27"/>
      <c r="B406" s="27"/>
      <c r="C406" s="27"/>
      <c r="D406" s="27"/>
      <c r="E406" s="27"/>
      <c r="F406" s="31"/>
      <c r="G406" s="27"/>
      <c r="H406" s="32" t="str">
        <f aca="false">IF(A406="","",A406&amp;"|"&amp;COUNTIF($A$6:A406,A406))</f>
        <v/>
      </c>
    </row>
    <row r="407" customFormat="false" ht="15" hidden="false" customHeight="false" outlineLevel="0" collapsed="false">
      <c r="A407" s="27"/>
      <c r="B407" s="27"/>
      <c r="C407" s="27"/>
      <c r="D407" s="27"/>
      <c r="E407" s="27"/>
      <c r="F407" s="31"/>
      <c r="G407" s="27"/>
      <c r="H407" s="32" t="str">
        <f aca="false">IF(A407="","",A407&amp;"|"&amp;COUNTIF($A$6:A407,A407))</f>
        <v/>
      </c>
    </row>
    <row r="408" customFormat="false" ht="15" hidden="false" customHeight="false" outlineLevel="0" collapsed="false">
      <c r="A408" s="27"/>
      <c r="B408" s="27"/>
      <c r="C408" s="27"/>
      <c r="D408" s="27"/>
      <c r="E408" s="27"/>
      <c r="F408" s="31"/>
      <c r="G408" s="27"/>
      <c r="H408" s="32" t="str">
        <f aca="false">IF(A408="","",A408&amp;"|"&amp;COUNTIF($A$6:A408,A408))</f>
        <v/>
      </c>
    </row>
    <row r="409" customFormat="false" ht="15" hidden="false" customHeight="false" outlineLevel="0" collapsed="false">
      <c r="A409" s="27"/>
      <c r="B409" s="27"/>
      <c r="C409" s="27"/>
      <c r="D409" s="27"/>
      <c r="E409" s="27"/>
      <c r="F409" s="31"/>
      <c r="G409" s="27"/>
      <c r="H409" s="32" t="str">
        <f aca="false">IF(A409="","",A409&amp;"|"&amp;COUNTIF($A$6:A409,A409))</f>
        <v/>
      </c>
    </row>
    <row r="410" customFormat="false" ht="15" hidden="false" customHeight="false" outlineLevel="0" collapsed="false">
      <c r="A410" s="27"/>
      <c r="B410" s="27"/>
      <c r="C410" s="27"/>
      <c r="D410" s="27"/>
      <c r="E410" s="27"/>
      <c r="F410" s="31"/>
      <c r="G410" s="27"/>
      <c r="H410" s="32" t="str">
        <f aca="false">IF(A410="","",A410&amp;"|"&amp;COUNTIF($A$6:A410,A410))</f>
        <v/>
      </c>
    </row>
    <row r="411" customFormat="false" ht="15" hidden="false" customHeight="false" outlineLevel="0" collapsed="false">
      <c r="A411" s="27"/>
      <c r="B411" s="27"/>
      <c r="C411" s="27"/>
      <c r="D411" s="27"/>
      <c r="E411" s="27"/>
      <c r="F411" s="31"/>
      <c r="G411" s="27"/>
      <c r="H411" s="32" t="str">
        <f aca="false">IF(A411="","",A411&amp;"|"&amp;COUNTIF($A$6:A411,A411))</f>
        <v/>
      </c>
    </row>
    <row r="412" customFormat="false" ht="15" hidden="false" customHeight="false" outlineLevel="0" collapsed="false">
      <c r="A412" s="27"/>
      <c r="B412" s="27"/>
      <c r="C412" s="27"/>
      <c r="D412" s="27"/>
      <c r="E412" s="27"/>
      <c r="F412" s="31"/>
      <c r="G412" s="27"/>
      <c r="H412" s="32" t="str">
        <f aca="false">IF(A412="","",A412&amp;"|"&amp;COUNTIF($A$6:A412,A412))</f>
        <v/>
      </c>
    </row>
    <row r="413" customFormat="false" ht="15" hidden="false" customHeight="false" outlineLevel="0" collapsed="false">
      <c r="A413" s="27"/>
      <c r="B413" s="27"/>
      <c r="C413" s="27"/>
      <c r="D413" s="27"/>
      <c r="E413" s="27"/>
      <c r="F413" s="31"/>
      <c r="G413" s="27"/>
      <c r="H413" s="32" t="str">
        <f aca="false">IF(A413="","",A413&amp;"|"&amp;COUNTIF($A$6:A413,A413))</f>
        <v/>
      </c>
    </row>
    <row r="414" customFormat="false" ht="15" hidden="false" customHeight="false" outlineLevel="0" collapsed="false">
      <c r="A414" s="27"/>
      <c r="B414" s="27"/>
      <c r="C414" s="27"/>
      <c r="D414" s="27"/>
      <c r="E414" s="27"/>
      <c r="F414" s="31"/>
      <c r="G414" s="27"/>
      <c r="H414" s="32" t="str">
        <f aca="false">IF(A414="","",A414&amp;"|"&amp;COUNTIF($A$6:A414,A414))</f>
        <v/>
      </c>
    </row>
    <row r="415" customFormat="false" ht="15" hidden="false" customHeight="false" outlineLevel="0" collapsed="false">
      <c r="A415" s="27"/>
      <c r="B415" s="27"/>
      <c r="C415" s="27"/>
      <c r="D415" s="27"/>
      <c r="E415" s="27"/>
      <c r="F415" s="31"/>
      <c r="G415" s="27"/>
      <c r="H415" s="32" t="str">
        <f aca="false">IF(A415="","",A415&amp;"|"&amp;COUNTIF($A$6:A415,A415))</f>
        <v/>
      </c>
    </row>
    <row r="416" customFormat="false" ht="15" hidden="false" customHeight="false" outlineLevel="0" collapsed="false">
      <c r="A416" s="27"/>
      <c r="B416" s="27"/>
      <c r="C416" s="27"/>
      <c r="D416" s="27"/>
      <c r="E416" s="27"/>
      <c r="F416" s="31"/>
      <c r="G416" s="27"/>
      <c r="H416" s="32" t="str">
        <f aca="false">IF(A416="","",A416&amp;"|"&amp;COUNTIF($A$6:A416,A416))</f>
        <v/>
      </c>
    </row>
    <row r="417" customFormat="false" ht="15" hidden="false" customHeight="false" outlineLevel="0" collapsed="false">
      <c r="A417" s="27"/>
      <c r="B417" s="27"/>
      <c r="C417" s="27"/>
      <c r="D417" s="27"/>
      <c r="E417" s="27"/>
      <c r="F417" s="31"/>
      <c r="G417" s="27"/>
      <c r="H417" s="32" t="str">
        <f aca="false">IF(A417="","",A417&amp;"|"&amp;COUNTIF($A$6:A417,A417))</f>
        <v/>
      </c>
    </row>
    <row r="418" customFormat="false" ht="15" hidden="false" customHeight="false" outlineLevel="0" collapsed="false">
      <c r="A418" s="27"/>
      <c r="B418" s="27"/>
      <c r="C418" s="27"/>
      <c r="D418" s="27"/>
      <c r="E418" s="27"/>
      <c r="F418" s="31"/>
      <c r="G418" s="27"/>
      <c r="H418" s="32" t="str">
        <f aca="false">IF(A418="","",A418&amp;"|"&amp;COUNTIF($A$6:A418,A418))</f>
        <v/>
      </c>
    </row>
    <row r="419" customFormat="false" ht="15" hidden="false" customHeight="false" outlineLevel="0" collapsed="false">
      <c r="A419" s="27"/>
      <c r="B419" s="27"/>
      <c r="C419" s="27"/>
      <c r="D419" s="27"/>
      <c r="E419" s="27"/>
      <c r="F419" s="31"/>
      <c r="G419" s="27"/>
      <c r="H419" s="32" t="str">
        <f aca="false">IF(A419="","",A419&amp;"|"&amp;COUNTIF($A$6:A419,A419))</f>
        <v/>
      </c>
    </row>
    <row r="420" customFormat="false" ht="15" hidden="false" customHeight="false" outlineLevel="0" collapsed="false">
      <c r="A420" s="27"/>
      <c r="B420" s="27"/>
      <c r="C420" s="27"/>
      <c r="D420" s="27"/>
      <c r="E420" s="27"/>
      <c r="F420" s="31"/>
      <c r="G420" s="27"/>
      <c r="H420" s="32" t="str">
        <f aca="false">IF(A420="","",A420&amp;"|"&amp;COUNTIF($A$6:A420,A420))</f>
        <v/>
      </c>
    </row>
    <row r="421" customFormat="false" ht="15" hidden="false" customHeight="false" outlineLevel="0" collapsed="false">
      <c r="A421" s="27"/>
      <c r="B421" s="27"/>
      <c r="C421" s="27"/>
      <c r="D421" s="27"/>
      <c r="E421" s="27"/>
      <c r="F421" s="31"/>
      <c r="G421" s="27"/>
      <c r="H421" s="32" t="str">
        <f aca="false">IF(A421="","",A421&amp;"|"&amp;COUNTIF($A$6:A421,A421))</f>
        <v/>
      </c>
    </row>
    <row r="422" customFormat="false" ht="15" hidden="false" customHeight="false" outlineLevel="0" collapsed="false">
      <c r="A422" s="27"/>
      <c r="B422" s="27"/>
      <c r="C422" s="27"/>
      <c r="D422" s="27"/>
      <c r="E422" s="27"/>
      <c r="F422" s="31"/>
      <c r="G422" s="27"/>
      <c r="H422" s="32" t="str">
        <f aca="false">IF(A422="","",A422&amp;"|"&amp;COUNTIF($A$6:A422,A422))</f>
        <v/>
      </c>
    </row>
    <row r="423" customFormat="false" ht="15" hidden="false" customHeight="false" outlineLevel="0" collapsed="false">
      <c r="A423" s="27"/>
      <c r="B423" s="27"/>
      <c r="C423" s="27"/>
      <c r="D423" s="27"/>
      <c r="E423" s="27"/>
      <c r="F423" s="31"/>
      <c r="G423" s="27"/>
      <c r="H423" s="32" t="str">
        <f aca="false">IF(A423="","",A423&amp;"|"&amp;COUNTIF($A$6:A423,A423))</f>
        <v/>
      </c>
    </row>
    <row r="424" customFormat="false" ht="15" hidden="false" customHeight="false" outlineLevel="0" collapsed="false">
      <c r="A424" s="27"/>
      <c r="B424" s="27"/>
      <c r="C424" s="27"/>
      <c r="D424" s="27"/>
      <c r="E424" s="27"/>
      <c r="F424" s="31"/>
      <c r="G424" s="27"/>
      <c r="H424" s="32" t="str">
        <f aca="false">IF(A424="","",A424&amp;"|"&amp;COUNTIF($A$6:A424,A424))</f>
        <v/>
      </c>
    </row>
    <row r="425" customFormat="false" ht="15" hidden="false" customHeight="false" outlineLevel="0" collapsed="false">
      <c r="A425" s="27"/>
      <c r="B425" s="27"/>
      <c r="C425" s="27"/>
      <c r="D425" s="27"/>
      <c r="E425" s="27"/>
      <c r="F425" s="31"/>
      <c r="G425" s="27"/>
      <c r="H425" s="32" t="str">
        <f aca="false">IF(A425="","",A425&amp;"|"&amp;COUNTIF($A$6:A425,A425))</f>
        <v/>
      </c>
    </row>
    <row r="426" customFormat="false" ht="15" hidden="false" customHeight="false" outlineLevel="0" collapsed="false">
      <c r="A426" s="27"/>
      <c r="B426" s="27"/>
      <c r="C426" s="27"/>
      <c r="D426" s="27"/>
      <c r="E426" s="27"/>
      <c r="F426" s="31"/>
      <c r="G426" s="27"/>
      <c r="H426" s="32" t="str">
        <f aca="false">IF(A426="","",A426&amp;"|"&amp;COUNTIF($A$6:A426,A426))</f>
        <v/>
      </c>
    </row>
    <row r="427" customFormat="false" ht="15" hidden="false" customHeight="false" outlineLevel="0" collapsed="false">
      <c r="A427" s="27"/>
      <c r="B427" s="27"/>
      <c r="C427" s="27"/>
      <c r="D427" s="27"/>
      <c r="E427" s="27"/>
      <c r="F427" s="31"/>
      <c r="G427" s="27"/>
      <c r="H427" s="32" t="str">
        <f aca="false">IF(A427="","",A427&amp;"|"&amp;COUNTIF($A$6:A427,A427))</f>
        <v/>
      </c>
    </row>
    <row r="428" customFormat="false" ht="15" hidden="false" customHeight="false" outlineLevel="0" collapsed="false">
      <c r="A428" s="27"/>
      <c r="B428" s="27"/>
      <c r="C428" s="27"/>
      <c r="D428" s="27"/>
      <c r="E428" s="27"/>
      <c r="F428" s="31"/>
      <c r="G428" s="27"/>
      <c r="H428" s="32" t="str">
        <f aca="false">IF(A428="","",A428&amp;"|"&amp;COUNTIF($A$6:A428,A428))</f>
        <v/>
      </c>
    </row>
    <row r="429" customFormat="false" ht="15" hidden="false" customHeight="false" outlineLevel="0" collapsed="false">
      <c r="A429" s="27"/>
      <c r="B429" s="27"/>
      <c r="C429" s="27"/>
      <c r="D429" s="27"/>
      <c r="E429" s="27"/>
      <c r="F429" s="31"/>
      <c r="G429" s="27"/>
      <c r="H429" s="32" t="str">
        <f aca="false">IF(A429="","",A429&amp;"|"&amp;COUNTIF($A$6:A429,A429))</f>
        <v/>
      </c>
    </row>
    <row r="430" customFormat="false" ht="15" hidden="false" customHeight="false" outlineLevel="0" collapsed="false">
      <c r="A430" s="27"/>
      <c r="B430" s="27"/>
      <c r="C430" s="27"/>
      <c r="D430" s="27"/>
      <c r="E430" s="27"/>
      <c r="F430" s="31"/>
      <c r="G430" s="27"/>
      <c r="H430" s="32" t="str">
        <f aca="false">IF(A430="","",A430&amp;"|"&amp;COUNTIF($A$6:A430,A430))</f>
        <v/>
      </c>
    </row>
    <row r="431" customFormat="false" ht="15" hidden="false" customHeight="false" outlineLevel="0" collapsed="false">
      <c r="A431" s="27"/>
      <c r="B431" s="27"/>
      <c r="C431" s="27"/>
      <c r="D431" s="27"/>
      <c r="E431" s="27"/>
      <c r="F431" s="31"/>
      <c r="G431" s="27"/>
      <c r="H431" s="32" t="str">
        <f aca="false">IF(A431="","",A431&amp;"|"&amp;COUNTIF($A$6:A431,A431))</f>
        <v/>
      </c>
    </row>
    <row r="432" customFormat="false" ht="15" hidden="false" customHeight="false" outlineLevel="0" collapsed="false">
      <c r="A432" s="27"/>
      <c r="B432" s="27"/>
      <c r="C432" s="27"/>
      <c r="D432" s="27"/>
      <c r="E432" s="27"/>
      <c r="F432" s="31"/>
      <c r="G432" s="27"/>
      <c r="H432" s="32" t="str">
        <f aca="false">IF(A432="","",A432&amp;"|"&amp;COUNTIF($A$6:A432,A432))</f>
        <v/>
      </c>
    </row>
    <row r="433" customFormat="false" ht="15" hidden="false" customHeight="false" outlineLevel="0" collapsed="false">
      <c r="A433" s="27"/>
      <c r="B433" s="27"/>
      <c r="C433" s="27"/>
      <c r="D433" s="27"/>
      <c r="E433" s="27"/>
      <c r="F433" s="31"/>
      <c r="G433" s="27"/>
      <c r="H433" s="32" t="str">
        <f aca="false">IF(A433="","",A433&amp;"|"&amp;COUNTIF($A$6:A433,A433))</f>
        <v/>
      </c>
    </row>
    <row r="434" customFormat="false" ht="15" hidden="false" customHeight="false" outlineLevel="0" collapsed="false">
      <c r="A434" s="27"/>
      <c r="B434" s="27"/>
      <c r="C434" s="27"/>
      <c r="D434" s="27"/>
      <c r="E434" s="27"/>
      <c r="F434" s="31"/>
      <c r="G434" s="27"/>
      <c r="H434" s="32" t="str">
        <f aca="false">IF(A434="","",A434&amp;"|"&amp;COUNTIF($A$6:A434,A434))</f>
        <v/>
      </c>
    </row>
    <row r="435" customFormat="false" ht="15" hidden="false" customHeight="false" outlineLevel="0" collapsed="false">
      <c r="A435" s="27"/>
      <c r="B435" s="27"/>
      <c r="C435" s="27"/>
      <c r="D435" s="27"/>
      <c r="E435" s="27"/>
      <c r="F435" s="31"/>
      <c r="G435" s="27"/>
      <c r="H435" s="32" t="str">
        <f aca="false">IF(A435="","",A435&amp;"|"&amp;COUNTIF($A$6:A435,A435))</f>
        <v/>
      </c>
    </row>
    <row r="436" customFormat="false" ht="15" hidden="false" customHeight="false" outlineLevel="0" collapsed="false">
      <c r="A436" s="27"/>
      <c r="B436" s="27"/>
      <c r="C436" s="27"/>
      <c r="D436" s="27"/>
      <c r="E436" s="27"/>
      <c r="F436" s="31"/>
      <c r="G436" s="27"/>
      <c r="H436" s="32" t="str">
        <f aca="false">IF(A436="","",A436&amp;"|"&amp;COUNTIF($A$6:A436,A436))</f>
        <v/>
      </c>
    </row>
    <row r="437" customFormat="false" ht="15" hidden="false" customHeight="false" outlineLevel="0" collapsed="false">
      <c r="A437" s="27"/>
      <c r="B437" s="27"/>
      <c r="C437" s="27"/>
      <c r="D437" s="27"/>
      <c r="E437" s="27"/>
      <c r="F437" s="31"/>
      <c r="G437" s="27"/>
      <c r="H437" s="32" t="str">
        <f aca="false">IF(A437="","",A437&amp;"|"&amp;COUNTIF($A$6:A437,A437))</f>
        <v/>
      </c>
    </row>
    <row r="438" customFormat="false" ht="15" hidden="false" customHeight="false" outlineLevel="0" collapsed="false">
      <c r="A438" s="27"/>
      <c r="B438" s="27"/>
      <c r="C438" s="27"/>
      <c r="D438" s="27"/>
      <c r="E438" s="27"/>
      <c r="F438" s="31"/>
      <c r="G438" s="27"/>
      <c r="H438" s="32" t="str">
        <f aca="false">IF(A438="","",A438&amp;"|"&amp;COUNTIF($A$6:A438,A438))</f>
        <v/>
      </c>
    </row>
    <row r="439" customFormat="false" ht="15" hidden="false" customHeight="false" outlineLevel="0" collapsed="false">
      <c r="A439" s="27"/>
      <c r="B439" s="27"/>
      <c r="C439" s="27"/>
      <c r="D439" s="27"/>
      <c r="E439" s="27"/>
      <c r="F439" s="31"/>
      <c r="G439" s="27"/>
      <c r="H439" s="32" t="str">
        <f aca="false">IF(A439="","",A439&amp;"|"&amp;COUNTIF($A$6:A439,A439))</f>
        <v/>
      </c>
    </row>
    <row r="440" customFormat="false" ht="15" hidden="false" customHeight="false" outlineLevel="0" collapsed="false">
      <c r="A440" s="27"/>
      <c r="B440" s="27"/>
      <c r="C440" s="27"/>
      <c r="D440" s="27"/>
      <c r="E440" s="27"/>
      <c r="F440" s="31"/>
      <c r="G440" s="27"/>
      <c r="H440" s="32" t="str">
        <f aca="false">IF(A440="","",A440&amp;"|"&amp;COUNTIF($A$6:A440,A440))</f>
        <v/>
      </c>
    </row>
    <row r="441" customFormat="false" ht="15" hidden="false" customHeight="false" outlineLevel="0" collapsed="false">
      <c r="A441" s="27"/>
      <c r="B441" s="27"/>
      <c r="C441" s="27"/>
      <c r="D441" s="27"/>
      <c r="E441" s="27"/>
      <c r="F441" s="31"/>
      <c r="G441" s="27"/>
      <c r="H441" s="32" t="str">
        <f aca="false">IF(A441="","",A441&amp;"|"&amp;COUNTIF($A$6:A441,A441))</f>
        <v/>
      </c>
    </row>
    <row r="442" customFormat="false" ht="15" hidden="false" customHeight="false" outlineLevel="0" collapsed="false">
      <c r="A442" s="27"/>
      <c r="B442" s="27"/>
      <c r="C442" s="27"/>
      <c r="D442" s="27"/>
      <c r="E442" s="27"/>
      <c r="F442" s="31"/>
      <c r="G442" s="27"/>
      <c r="H442" s="32" t="str">
        <f aca="false">IF(A442="","",A442&amp;"|"&amp;COUNTIF($A$6:A442,A442))</f>
        <v/>
      </c>
    </row>
    <row r="443" customFormat="false" ht="15" hidden="false" customHeight="false" outlineLevel="0" collapsed="false">
      <c r="A443" s="27"/>
      <c r="B443" s="27"/>
      <c r="C443" s="27"/>
      <c r="D443" s="27"/>
      <c r="E443" s="27"/>
      <c r="F443" s="31"/>
      <c r="G443" s="27"/>
      <c r="H443" s="32" t="str">
        <f aca="false">IF(A443="","",A443&amp;"|"&amp;COUNTIF($A$6:A443,A443))</f>
        <v/>
      </c>
    </row>
    <row r="444" customFormat="false" ht="15" hidden="false" customHeight="false" outlineLevel="0" collapsed="false">
      <c r="A444" s="27"/>
      <c r="B444" s="27"/>
      <c r="C444" s="27"/>
      <c r="D444" s="27"/>
      <c r="E444" s="27"/>
      <c r="F444" s="31"/>
      <c r="G444" s="27"/>
      <c r="H444" s="32" t="str">
        <f aca="false">IF(A444="","",A444&amp;"|"&amp;COUNTIF($A$6:A444,A444))</f>
        <v/>
      </c>
    </row>
    <row r="445" customFormat="false" ht="15" hidden="false" customHeight="false" outlineLevel="0" collapsed="false">
      <c r="A445" s="27"/>
      <c r="B445" s="27"/>
      <c r="C445" s="27"/>
      <c r="D445" s="27"/>
      <c r="E445" s="27"/>
      <c r="F445" s="31"/>
      <c r="G445" s="27"/>
      <c r="H445" s="32" t="str">
        <f aca="false">IF(A445="","",A445&amp;"|"&amp;COUNTIF($A$6:A445,A445))</f>
        <v/>
      </c>
    </row>
    <row r="446" customFormat="false" ht="15" hidden="false" customHeight="false" outlineLevel="0" collapsed="false">
      <c r="A446" s="27"/>
      <c r="B446" s="27"/>
      <c r="C446" s="27"/>
      <c r="D446" s="27"/>
      <c r="E446" s="27"/>
      <c r="F446" s="31"/>
      <c r="G446" s="27"/>
      <c r="H446" s="32" t="str">
        <f aca="false">IF(A446="","",A446&amp;"|"&amp;COUNTIF($A$6:A446,A446))</f>
        <v/>
      </c>
    </row>
    <row r="447" customFormat="false" ht="15" hidden="false" customHeight="false" outlineLevel="0" collapsed="false">
      <c r="A447" s="27"/>
      <c r="B447" s="27"/>
      <c r="C447" s="27"/>
      <c r="D447" s="27"/>
      <c r="E447" s="27"/>
      <c r="F447" s="31"/>
      <c r="G447" s="27"/>
      <c r="H447" s="32" t="str">
        <f aca="false">IF(A447="","",A447&amp;"|"&amp;COUNTIF($A$6:A447,A447))</f>
        <v/>
      </c>
    </row>
    <row r="448" customFormat="false" ht="15" hidden="false" customHeight="false" outlineLevel="0" collapsed="false">
      <c r="A448" s="27"/>
      <c r="B448" s="27"/>
      <c r="C448" s="27"/>
      <c r="D448" s="27"/>
      <c r="E448" s="27"/>
      <c r="F448" s="31"/>
      <c r="G448" s="27"/>
      <c r="H448" s="32" t="str">
        <f aca="false">IF(A448="","",A448&amp;"|"&amp;COUNTIF($A$6:A448,A448))</f>
        <v/>
      </c>
    </row>
    <row r="449" customFormat="false" ht="15" hidden="false" customHeight="false" outlineLevel="0" collapsed="false">
      <c r="A449" s="27"/>
      <c r="B449" s="27"/>
      <c r="C449" s="27"/>
      <c r="D449" s="27"/>
      <c r="E449" s="27"/>
      <c r="F449" s="31"/>
      <c r="G449" s="27"/>
      <c r="H449" s="32" t="str">
        <f aca="false">IF(A449="","",A449&amp;"|"&amp;COUNTIF($A$6:A449,A449))</f>
        <v/>
      </c>
    </row>
    <row r="450" customFormat="false" ht="15" hidden="false" customHeight="false" outlineLevel="0" collapsed="false">
      <c r="A450" s="27"/>
      <c r="B450" s="27"/>
      <c r="C450" s="27"/>
      <c r="D450" s="27"/>
      <c r="E450" s="27"/>
      <c r="F450" s="31"/>
      <c r="G450" s="27"/>
      <c r="H450" s="32" t="str">
        <f aca="false">IF(A450="","",A450&amp;"|"&amp;COUNTIF($A$6:A450,A450))</f>
        <v/>
      </c>
    </row>
    <row r="451" customFormat="false" ht="15" hidden="false" customHeight="false" outlineLevel="0" collapsed="false">
      <c r="A451" s="27"/>
      <c r="B451" s="27"/>
      <c r="C451" s="27"/>
      <c r="D451" s="27"/>
      <c r="E451" s="27"/>
      <c r="F451" s="31"/>
      <c r="G451" s="27"/>
      <c r="H451" s="32" t="str">
        <f aca="false">IF(A451="","",A451&amp;"|"&amp;COUNTIF($A$6:A451,A451))</f>
        <v/>
      </c>
    </row>
    <row r="452" customFormat="false" ht="15" hidden="false" customHeight="false" outlineLevel="0" collapsed="false">
      <c r="A452" s="27"/>
      <c r="B452" s="27"/>
      <c r="C452" s="27"/>
      <c r="D452" s="27"/>
      <c r="E452" s="27"/>
      <c r="F452" s="31"/>
      <c r="G452" s="27"/>
      <c r="H452" s="32" t="str">
        <f aca="false">IF(A452="","",A452&amp;"|"&amp;COUNTIF($A$6:A452,A452))</f>
        <v/>
      </c>
    </row>
    <row r="453" customFormat="false" ht="15" hidden="false" customHeight="false" outlineLevel="0" collapsed="false">
      <c r="A453" s="27"/>
      <c r="B453" s="27"/>
      <c r="C453" s="27"/>
      <c r="D453" s="27"/>
      <c r="E453" s="27"/>
      <c r="F453" s="31"/>
      <c r="G453" s="27"/>
      <c r="H453" s="32" t="str">
        <f aca="false">IF(A453="","",A453&amp;"|"&amp;COUNTIF($A$6:A453,A453))</f>
        <v/>
      </c>
    </row>
    <row r="454" customFormat="false" ht="15" hidden="false" customHeight="false" outlineLevel="0" collapsed="false">
      <c r="A454" s="27"/>
      <c r="B454" s="27"/>
      <c r="C454" s="27"/>
      <c r="D454" s="27"/>
      <c r="E454" s="27"/>
      <c r="F454" s="31"/>
      <c r="G454" s="27"/>
      <c r="H454" s="32" t="str">
        <f aca="false">IF(A454="","",A454&amp;"|"&amp;COUNTIF($A$6:A454,A454))</f>
        <v/>
      </c>
    </row>
    <row r="455" customFormat="false" ht="15" hidden="false" customHeight="false" outlineLevel="0" collapsed="false">
      <c r="A455" s="27"/>
      <c r="B455" s="27"/>
      <c r="C455" s="27"/>
      <c r="D455" s="27"/>
      <c r="E455" s="27"/>
      <c r="F455" s="31"/>
      <c r="G455" s="27"/>
      <c r="H455" s="32" t="str">
        <f aca="false">IF(A455="","",A455&amp;"|"&amp;COUNTIF($A$6:A455,A455))</f>
        <v/>
      </c>
    </row>
    <row r="456" customFormat="false" ht="15" hidden="false" customHeight="false" outlineLevel="0" collapsed="false">
      <c r="A456" s="27"/>
      <c r="B456" s="27"/>
      <c r="C456" s="27"/>
      <c r="D456" s="27"/>
      <c r="E456" s="27"/>
      <c r="F456" s="31"/>
      <c r="G456" s="27"/>
      <c r="H456" s="32" t="str">
        <f aca="false">IF(A456="","",A456&amp;"|"&amp;COUNTIF($A$6:A456,A456))</f>
        <v/>
      </c>
    </row>
    <row r="457" customFormat="false" ht="15" hidden="false" customHeight="false" outlineLevel="0" collapsed="false">
      <c r="A457" s="27"/>
      <c r="B457" s="27"/>
      <c r="C457" s="27"/>
      <c r="D457" s="27"/>
      <c r="E457" s="27"/>
      <c r="F457" s="31"/>
      <c r="G457" s="27"/>
      <c r="H457" s="32" t="str">
        <f aca="false">IF(A457="","",A457&amp;"|"&amp;COUNTIF($A$6:A457,A457))</f>
        <v/>
      </c>
    </row>
    <row r="458" customFormat="false" ht="15" hidden="false" customHeight="false" outlineLevel="0" collapsed="false">
      <c r="A458" s="27"/>
      <c r="B458" s="27"/>
      <c r="C458" s="27"/>
      <c r="D458" s="27"/>
      <c r="E458" s="27"/>
      <c r="F458" s="31"/>
      <c r="G458" s="27"/>
      <c r="H458" s="32" t="str">
        <f aca="false">IF(A458="","",A458&amp;"|"&amp;COUNTIF($A$6:A458,A458))</f>
        <v/>
      </c>
    </row>
    <row r="459" customFormat="false" ht="15" hidden="false" customHeight="false" outlineLevel="0" collapsed="false">
      <c r="A459" s="27"/>
      <c r="B459" s="27"/>
      <c r="C459" s="27"/>
      <c r="D459" s="27"/>
      <c r="E459" s="27"/>
      <c r="F459" s="31"/>
      <c r="G459" s="27"/>
      <c r="H459" s="32" t="str">
        <f aca="false">IF(A459="","",A459&amp;"|"&amp;COUNTIF($A$6:A459,A459))</f>
        <v/>
      </c>
    </row>
    <row r="460" customFormat="false" ht="15" hidden="false" customHeight="false" outlineLevel="0" collapsed="false">
      <c r="A460" s="27"/>
      <c r="B460" s="27"/>
      <c r="C460" s="27"/>
      <c r="D460" s="27"/>
      <c r="E460" s="27"/>
      <c r="F460" s="31"/>
      <c r="G460" s="27"/>
      <c r="H460" s="32" t="str">
        <f aca="false">IF(A460="","",A460&amp;"|"&amp;COUNTIF($A$6:A460,A460))</f>
        <v/>
      </c>
    </row>
    <row r="461" customFormat="false" ht="15" hidden="false" customHeight="false" outlineLevel="0" collapsed="false">
      <c r="A461" s="27"/>
      <c r="B461" s="27"/>
      <c r="C461" s="27"/>
      <c r="D461" s="27"/>
      <c r="E461" s="27"/>
      <c r="F461" s="31"/>
      <c r="G461" s="27"/>
      <c r="H461" s="32" t="str">
        <f aca="false">IF(A461="","",A461&amp;"|"&amp;COUNTIF($A$6:A461,A461))</f>
        <v/>
      </c>
    </row>
    <row r="462" customFormat="false" ht="15" hidden="false" customHeight="false" outlineLevel="0" collapsed="false">
      <c r="A462" s="27"/>
      <c r="B462" s="27"/>
      <c r="C462" s="27"/>
      <c r="D462" s="27"/>
      <c r="E462" s="27"/>
      <c r="F462" s="31"/>
      <c r="G462" s="27"/>
      <c r="H462" s="32" t="str">
        <f aca="false">IF(A462="","",A462&amp;"|"&amp;COUNTIF($A$6:A462,A462))</f>
        <v/>
      </c>
    </row>
    <row r="463" customFormat="false" ht="15" hidden="false" customHeight="false" outlineLevel="0" collapsed="false">
      <c r="A463" s="27"/>
      <c r="B463" s="27"/>
      <c r="C463" s="27"/>
      <c r="D463" s="27"/>
      <c r="E463" s="27"/>
      <c r="F463" s="31"/>
      <c r="G463" s="27"/>
      <c r="H463" s="32" t="str">
        <f aca="false">IF(A463="","",A463&amp;"|"&amp;COUNTIF($A$6:A463,A463))</f>
        <v/>
      </c>
    </row>
    <row r="464" customFormat="false" ht="15" hidden="false" customHeight="false" outlineLevel="0" collapsed="false">
      <c r="A464" s="27"/>
      <c r="B464" s="27"/>
      <c r="C464" s="27"/>
      <c r="D464" s="27"/>
      <c r="E464" s="27"/>
      <c r="F464" s="31"/>
      <c r="G464" s="27"/>
      <c r="H464" s="32" t="str">
        <f aca="false">IF(A464="","",A464&amp;"|"&amp;COUNTIF($A$6:A464,A464))</f>
        <v/>
      </c>
    </row>
    <row r="465" customFormat="false" ht="15" hidden="false" customHeight="false" outlineLevel="0" collapsed="false">
      <c r="A465" s="27"/>
      <c r="B465" s="27"/>
      <c r="C465" s="27"/>
      <c r="D465" s="27"/>
      <c r="E465" s="27"/>
      <c r="F465" s="31"/>
      <c r="G465" s="27"/>
      <c r="H465" s="32" t="str">
        <f aca="false">IF(A465="","",A465&amp;"|"&amp;COUNTIF($A$6:A465,A465))</f>
        <v/>
      </c>
    </row>
    <row r="466" customFormat="false" ht="15" hidden="false" customHeight="false" outlineLevel="0" collapsed="false">
      <c r="A466" s="27"/>
      <c r="B466" s="27"/>
      <c r="C466" s="27"/>
      <c r="D466" s="27"/>
      <c r="E466" s="27"/>
      <c r="F466" s="31"/>
      <c r="G466" s="27"/>
      <c r="H466" s="32" t="str">
        <f aca="false">IF(A466="","",A466&amp;"|"&amp;COUNTIF($A$6:A466,A466))</f>
        <v/>
      </c>
    </row>
    <row r="467" customFormat="false" ht="15" hidden="false" customHeight="false" outlineLevel="0" collapsed="false">
      <c r="A467" s="27"/>
      <c r="B467" s="27"/>
      <c r="C467" s="27"/>
      <c r="D467" s="27"/>
      <c r="E467" s="27"/>
      <c r="F467" s="31"/>
      <c r="G467" s="27"/>
      <c r="H467" s="32" t="str">
        <f aca="false">IF(A467="","",A467&amp;"|"&amp;COUNTIF($A$6:A467,A467))</f>
        <v/>
      </c>
    </row>
    <row r="468" customFormat="false" ht="15" hidden="false" customHeight="false" outlineLevel="0" collapsed="false">
      <c r="A468" s="27"/>
      <c r="B468" s="27"/>
      <c r="C468" s="27"/>
      <c r="D468" s="27"/>
      <c r="E468" s="27"/>
      <c r="F468" s="31"/>
      <c r="G468" s="27"/>
      <c r="H468" s="32" t="str">
        <f aca="false">IF(A468="","",A468&amp;"|"&amp;COUNTIF($A$6:A468,A468))</f>
        <v/>
      </c>
    </row>
    <row r="469" customFormat="false" ht="15" hidden="false" customHeight="false" outlineLevel="0" collapsed="false">
      <c r="A469" s="27"/>
      <c r="B469" s="27"/>
      <c r="C469" s="27"/>
      <c r="D469" s="27"/>
      <c r="E469" s="27"/>
      <c r="F469" s="31"/>
      <c r="G469" s="27"/>
      <c r="H469" s="32" t="str">
        <f aca="false">IF(A469="","",A469&amp;"|"&amp;COUNTIF($A$6:A469,A469))</f>
        <v/>
      </c>
    </row>
    <row r="470" customFormat="false" ht="15" hidden="false" customHeight="false" outlineLevel="0" collapsed="false">
      <c r="A470" s="27"/>
      <c r="B470" s="27"/>
      <c r="C470" s="27"/>
      <c r="D470" s="27"/>
      <c r="E470" s="27"/>
      <c r="F470" s="31"/>
      <c r="G470" s="27"/>
      <c r="H470" s="32" t="str">
        <f aca="false">IF(A470="","",A470&amp;"|"&amp;COUNTIF($A$6:A470,A470))</f>
        <v/>
      </c>
    </row>
    <row r="471" customFormat="false" ht="15" hidden="false" customHeight="false" outlineLevel="0" collapsed="false">
      <c r="A471" s="27"/>
      <c r="B471" s="27"/>
      <c r="C471" s="27"/>
      <c r="D471" s="27"/>
      <c r="E471" s="27"/>
      <c r="F471" s="31"/>
      <c r="G471" s="27"/>
      <c r="H471" s="32" t="str">
        <f aca="false">IF(A471="","",A471&amp;"|"&amp;COUNTIF($A$6:A471,A471))</f>
        <v/>
      </c>
    </row>
    <row r="472" customFormat="false" ht="15" hidden="false" customHeight="false" outlineLevel="0" collapsed="false">
      <c r="A472" s="27"/>
      <c r="B472" s="27"/>
      <c r="C472" s="27"/>
      <c r="D472" s="27"/>
      <c r="E472" s="27"/>
      <c r="F472" s="31"/>
      <c r="G472" s="27"/>
      <c r="H472" s="32" t="str">
        <f aca="false">IF(A472="","",A472&amp;"|"&amp;COUNTIF($A$6:A472,A472))</f>
        <v/>
      </c>
    </row>
    <row r="473" customFormat="false" ht="15" hidden="false" customHeight="false" outlineLevel="0" collapsed="false">
      <c r="A473" s="27"/>
      <c r="B473" s="27"/>
      <c r="C473" s="27"/>
      <c r="D473" s="27"/>
      <c r="E473" s="27"/>
      <c r="F473" s="31"/>
      <c r="G473" s="27"/>
      <c r="H473" s="32" t="str">
        <f aca="false">IF(A473="","",A473&amp;"|"&amp;COUNTIF($A$6:A473,A473))</f>
        <v/>
      </c>
    </row>
    <row r="474" customFormat="false" ht="15" hidden="false" customHeight="false" outlineLevel="0" collapsed="false">
      <c r="A474" s="27"/>
      <c r="B474" s="27"/>
      <c r="C474" s="27"/>
      <c r="D474" s="27"/>
      <c r="E474" s="27"/>
      <c r="F474" s="31"/>
      <c r="G474" s="27"/>
      <c r="H474" s="32" t="str">
        <f aca="false">IF(A474="","",A474&amp;"|"&amp;COUNTIF($A$6:A474,A474))</f>
        <v/>
      </c>
    </row>
    <row r="475" customFormat="false" ht="15" hidden="false" customHeight="false" outlineLevel="0" collapsed="false">
      <c r="A475" s="27"/>
      <c r="B475" s="27"/>
      <c r="C475" s="27"/>
      <c r="D475" s="27"/>
      <c r="E475" s="27"/>
      <c r="F475" s="31"/>
      <c r="G475" s="27"/>
      <c r="H475" s="32" t="str">
        <f aca="false">IF(A475="","",A475&amp;"|"&amp;COUNTIF($A$6:A475,A475))</f>
        <v/>
      </c>
    </row>
    <row r="476" customFormat="false" ht="15" hidden="false" customHeight="false" outlineLevel="0" collapsed="false">
      <c r="A476" s="27"/>
      <c r="B476" s="27"/>
      <c r="C476" s="27"/>
      <c r="D476" s="27"/>
      <c r="E476" s="27"/>
      <c r="F476" s="31"/>
      <c r="G476" s="27"/>
      <c r="H476" s="32" t="str">
        <f aca="false">IF(A476="","",A476&amp;"|"&amp;COUNTIF($A$6:A476,A476))</f>
        <v/>
      </c>
    </row>
    <row r="477" customFormat="false" ht="15" hidden="false" customHeight="false" outlineLevel="0" collapsed="false">
      <c r="A477" s="27"/>
      <c r="B477" s="27"/>
      <c r="C477" s="27"/>
      <c r="D477" s="27"/>
      <c r="E477" s="27"/>
      <c r="F477" s="31"/>
      <c r="G477" s="27"/>
      <c r="H477" s="32" t="str">
        <f aca="false">IF(A477="","",A477&amp;"|"&amp;COUNTIF($A$6:A477,A477))</f>
        <v/>
      </c>
    </row>
    <row r="478" customFormat="false" ht="15" hidden="false" customHeight="false" outlineLevel="0" collapsed="false">
      <c r="A478" s="27"/>
      <c r="B478" s="27"/>
      <c r="C478" s="27"/>
      <c r="D478" s="27"/>
      <c r="E478" s="27"/>
      <c r="F478" s="31"/>
      <c r="G478" s="27"/>
      <c r="H478" s="32" t="str">
        <f aca="false">IF(A478="","",A478&amp;"|"&amp;COUNTIF($A$6:A478,A478))</f>
        <v/>
      </c>
    </row>
    <row r="479" customFormat="false" ht="15" hidden="false" customHeight="false" outlineLevel="0" collapsed="false">
      <c r="A479" s="27"/>
      <c r="B479" s="27"/>
      <c r="C479" s="27"/>
      <c r="D479" s="27"/>
      <c r="E479" s="27"/>
      <c r="F479" s="31"/>
      <c r="G479" s="27"/>
      <c r="H479" s="32" t="str">
        <f aca="false">IF(A479="","",A479&amp;"|"&amp;COUNTIF($A$6:A479,A479))</f>
        <v/>
      </c>
    </row>
    <row r="480" customFormat="false" ht="15" hidden="false" customHeight="false" outlineLevel="0" collapsed="false">
      <c r="A480" s="27"/>
      <c r="B480" s="27"/>
      <c r="C480" s="27"/>
      <c r="D480" s="27"/>
      <c r="E480" s="27"/>
      <c r="F480" s="31"/>
      <c r="G480" s="27"/>
      <c r="H480" s="32" t="str">
        <f aca="false">IF(A480="","",A480&amp;"|"&amp;COUNTIF($A$6:A480,A480))</f>
        <v/>
      </c>
    </row>
    <row r="481" customFormat="false" ht="15" hidden="false" customHeight="false" outlineLevel="0" collapsed="false">
      <c r="A481" s="27"/>
      <c r="B481" s="27"/>
      <c r="C481" s="27"/>
      <c r="D481" s="27"/>
      <c r="E481" s="27"/>
      <c r="F481" s="31"/>
      <c r="G481" s="27"/>
      <c r="H481" s="32" t="str">
        <f aca="false">IF(A481="","",A481&amp;"|"&amp;COUNTIF($A$6:A481,A481))</f>
        <v/>
      </c>
    </row>
    <row r="482" customFormat="false" ht="15" hidden="false" customHeight="false" outlineLevel="0" collapsed="false">
      <c r="A482" s="27"/>
      <c r="B482" s="27"/>
      <c r="C482" s="27"/>
      <c r="D482" s="27"/>
      <c r="E482" s="27"/>
      <c r="F482" s="31"/>
      <c r="G482" s="27"/>
      <c r="H482" s="32" t="str">
        <f aca="false">IF(A482="","",A482&amp;"|"&amp;COUNTIF($A$6:A482,A482))</f>
        <v/>
      </c>
    </row>
    <row r="483" customFormat="false" ht="15" hidden="false" customHeight="false" outlineLevel="0" collapsed="false">
      <c r="A483" s="27"/>
      <c r="B483" s="27"/>
      <c r="C483" s="27"/>
      <c r="D483" s="27"/>
      <c r="E483" s="27"/>
      <c r="F483" s="31"/>
      <c r="G483" s="27"/>
      <c r="H483" s="32" t="str">
        <f aca="false">IF(A483="","",A483&amp;"|"&amp;COUNTIF($A$6:A483,A483))</f>
        <v/>
      </c>
    </row>
    <row r="484" customFormat="false" ht="15" hidden="false" customHeight="false" outlineLevel="0" collapsed="false">
      <c r="A484" s="27"/>
      <c r="B484" s="27"/>
      <c r="C484" s="27"/>
      <c r="D484" s="27"/>
      <c r="E484" s="27"/>
      <c r="F484" s="31"/>
      <c r="G484" s="27"/>
      <c r="H484" s="32" t="str">
        <f aca="false">IF(A484="","",A484&amp;"|"&amp;COUNTIF($A$6:A484,A484))</f>
        <v/>
      </c>
    </row>
    <row r="485" customFormat="false" ht="15" hidden="false" customHeight="false" outlineLevel="0" collapsed="false">
      <c r="A485" s="27"/>
      <c r="B485" s="27"/>
      <c r="C485" s="27"/>
      <c r="D485" s="27"/>
      <c r="E485" s="27"/>
      <c r="F485" s="31"/>
      <c r="G485" s="27"/>
      <c r="H485" s="32" t="str">
        <f aca="false">IF(A485="","",A485&amp;"|"&amp;COUNTIF($A$6:A485,A485))</f>
        <v/>
      </c>
    </row>
    <row r="486" customFormat="false" ht="15" hidden="false" customHeight="false" outlineLevel="0" collapsed="false">
      <c r="A486" s="27"/>
      <c r="B486" s="27"/>
      <c r="C486" s="27"/>
      <c r="D486" s="27"/>
      <c r="E486" s="27"/>
      <c r="F486" s="31"/>
      <c r="G486" s="27"/>
      <c r="H486" s="32" t="str">
        <f aca="false">IF(A486="","",A486&amp;"|"&amp;COUNTIF($A$6:A486,A486))</f>
        <v/>
      </c>
    </row>
    <row r="487" customFormat="false" ht="15" hidden="false" customHeight="false" outlineLevel="0" collapsed="false">
      <c r="A487" s="27"/>
      <c r="B487" s="27"/>
      <c r="C487" s="27"/>
      <c r="D487" s="27"/>
      <c r="E487" s="27"/>
      <c r="F487" s="31"/>
      <c r="G487" s="27"/>
      <c r="H487" s="32" t="str">
        <f aca="false">IF(A487="","",A487&amp;"|"&amp;COUNTIF($A$6:A487,A487))</f>
        <v/>
      </c>
    </row>
    <row r="488" customFormat="false" ht="15" hidden="false" customHeight="false" outlineLevel="0" collapsed="false">
      <c r="A488" s="27"/>
      <c r="B488" s="27"/>
      <c r="C488" s="27"/>
      <c r="D488" s="27"/>
      <c r="E488" s="27"/>
      <c r="F488" s="31"/>
      <c r="G488" s="27"/>
      <c r="H488" s="32" t="str">
        <f aca="false">IF(A488="","",A488&amp;"|"&amp;COUNTIF($A$6:A488,A488))</f>
        <v/>
      </c>
    </row>
    <row r="489" customFormat="false" ht="15" hidden="false" customHeight="false" outlineLevel="0" collapsed="false">
      <c r="A489" s="27"/>
      <c r="B489" s="27"/>
      <c r="C489" s="27"/>
      <c r="D489" s="27"/>
      <c r="E489" s="27"/>
      <c r="F489" s="31"/>
      <c r="G489" s="27"/>
      <c r="H489" s="32" t="str">
        <f aca="false">IF(A489="","",A489&amp;"|"&amp;COUNTIF($A$6:A489,A489))</f>
        <v/>
      </c>
    </row>
    <row r="490" customFormat="false" ht="15" hidden="false" customHeight="false" outlineLevel="0" collapsed="false">
      <c r="A490" s="27"/>
      <c r="B490" s="27"/>
      <c r="C490" s="27"/>
      <c r="D490" s="27"/>
      <c r="E490" s="27"/>
      <c r="F490" s="31"/>
      <c r="G490" s="27"/>
      <c r="H490" s="32" t="str">
        <f aca="false">IF(A490="","",A490&amp;"|"&amp;COUNTIF($A$6:A490,A490))</f>
        <v/>
      </c>
    </row>
    <row r="491" customFormat="false" ht="15" hidden="false" customHeight="false" outlineLevel="0" collapsed="false">
      <c r="A491" s="27"/>
      <c r="B491" s="27"/>
      <c r="C491" s="27"/>
      <c r="D491" s="27"/>
      <c r="E491" s="27"/>
      <c r="F491" s="31"/>
      <c r="G491" s="27"/>
      <c r="H491" s="32" t="str">
        <f aca="false">IF(A491="","",A491&amp;"|"&amp;COUNTIF($A$6:A491,A491))</f>
        <v/>
      </c>
    </row>
    <row r="492" customFormat="false" ht="15" hidden="false" customHeight="false" outlineLevel="0" collapsed="false">
      <c r="A492" s="27"/>
      <c r="B492" s="27"/>
      <c r="C492" s="27"/>
      <c r="D492" s="27"/>
      <c r="E492" s="27"/>
      <c r="F492" s="31"/>
      <c r="G492" s="27"/>
      <c r="H492" s="32" t="str">
        <f aca="false">IF(A492="","",A492&amp;"|"&amp;COUNTIF($A$6:A492,A492))</f>
        <v/>
      </c>
    </row>
    <row r="493" customFormat="false" ht="15" hidden="false" customHeight="false" outlineLevel="0" collapsed="false">
      <c r="A493" s="27"/>
      <c r="B493" s="27"/>
      <c r="C493" s="27"/>
      <c r="D493" s="27"/>
      <c r="E493" s="27"/>
      <c r="F493" s="31"/>
      <c r="G493" s="27"/>
      <c r="H493" s="32" t="str">
        <f aca="false">IF(A493="","",A493&amp;"|"&amp;COUNTIF($A$6:A493,A493))</f>
        <v/>
      </c>
    </row>
    <row r="494" customFormat="false" ht="15" hidden="false" customHeight="false" outlineLevel="0" collapsed="false">
      <c r="A494" s="27"/>
      <c r="B494" s="27"/>
      <c r="C494" s="27"/>
      <c r="D494" s="27"/>
      <c r="E494" s="27"/>
      <c r="F494" s="31"/>
      <c r="G494" s="27"/>
      <c r="H494" s="32" t="str">
        <f aca="false">IF(A494="","",A494&amp;"|"&amp;COUNTIF($A$6:A494,A494))</f>
        <v/>
      </c>
    </row>
    <row r="495" customFormat="false" ht="15" hidden="false" customHeight="false" outlineLevel="0" collapsed="false">
      <c r="A495" s="27"/>
      <c r="B495" s="27"/>
      <c r="C495" s="27"/>
      <c r="D495" s="27"/>
      <c r="E495" s="27"/>
      <c r="F495" s="31"/>
      <c r="G495" s="27"/>
      <c r="H495" s="32" t="str">
        <f aca="false">IF(A495="","",A495&amp;"|"&amp;COUNTIF($A$6:A495,A495))</f>
        <v/>
      </c>
    </row>
    <row r="496" customFormat="false" ht="15" hidden="false" customHeight="false" outlineLevel="0" collapsed="false">
      <c r="A496" s="27"/>
      <c r="B496" s="27"/>
      <c r="C496" s="27"/>
      <c r="D496" s="27"/>
      <c r="E496" s="27"/>
      <c r="F496" s="31"/>
      <c r="G496" s="27"/>
      <c r="H496" s="32" t="str">
        <f aca="false">IF(A496="","",A496&amp;"|"&amp;COUNTIF($A$6:A496,A496))</f>
        <v/>
      </c>
    </row>
    <row r="497" customFormat="false" ht="15" hidden="false" customHeight="false" outlineLevel="0" collapsed="false">
      <c r="A497" s="27"/>
      <c r="B497" s="27"/>
      <c r="C497" s="27"/>
      <c r="D497" s="27"/>
      <c r="E497" s="27"/>
      <c r="F497" s="31"/>
      <c r="G497" s="27"/>
      <c r="H497" s="32" t="str">
        <f aca="false">IF(A497="","",A497&amp;"|"&amp;COUNTIF($A$6:A497,A497))</f>
        <v/>
      </c>
    </row>
    <row r="498" customFormat="false" ht="15" hidden="false" customHeight="false" outlineLevel="0" collapsed="false">
      <c r="A498" s="27"/>
      <c r="B498" s="27"/>
      <c r="C498" s="27"/>
      <c r="D498" s="27"/>
      <c r="E498" s="27"/>
      <c r="F498" s="31"/>
      <c r="G498" s="27"/>
      <c r="H498" s="32" t="str">
        <f aca="false">IF(A498="","",A498&amp;"|"&amp;COUNTIF($A$6:A498,A498))</f>
        <v/>
      </c>
    </row>
    <row r="499" customFormat="false" ht="15" hidden="false" customHeight="false" outlineLevel="0" collapsed="false">
      <c r="A499" s="27"/>
      <c r="B499" s="27"/>
      <c r="C499" s="27"/>
      <c r="D499" s="27"/>
      <c r="E499" s="27"/>
      <c r="F499" s="31"/>
      <c r="G499" s="27"/>
      <c r="H499" s="32" t="str">
        <f aca="false">IF(A499="","",A499&amp;"|"&amp;COUNTIF($A$6:A499,A499))</f>
        <v/>
      </c>
    </row>
    <row r="500" customFormat="false" ht="15" hidden="false" customHeight="false" outlineLevel="0" collapsed="false">
      <c r="A500" s="27"/>
      <c r="B500" s="27"/>
      <c r="C500" s="27"/>
      <c r="D500" s="27"/>
      <c r="E500" s="27"/>
      <c r="F500" s="31"/>
      <c r="G500" s="27"/>
      <c r="H500" s="32" t="str">
        <f aca="false">IF(A500="","",A500&amp;"|"&amp;COUNTIF($A$6:A500,A500))</f>
        <v/>
      </c>
    </row>
    <row r="501" customFormat="false" ht="15" hidden="false" customHeight="false" outlineLevel="0" collapsed="false">
      <c r="A501" s="27"/>
      <c r="B501" s="27"/>
      <c r="C501" s="27"/>
      <c r="D501" s="27"/>
      <c r="E501" s="27"/>
      <c r="F501" s="31"/>
      <c r="G501" s="27"/>
      <c r="H501" s="32" t="str">
        <f aca="false">IF(A501="","",A501&amp;"|"&amp;COUNTIF($A$6:A501,A501))</f>
        <v/>
      </c>
    </row>
    <row r="502" customFormat="false" ht="15" hidden="false" customHeight="false" outlineLevel="0" collapsed="false">
      <c r="A502" s="27"/>
      <c r="B502" s="27"/>
      <c r="C502" s="27"/>
      <c r="D502" s="27"/>
      <c r="E502" s="27"/>
      <c r="F502" s="31"/>
      <c r="G502" s="27"/>
      <c r="H502" s="32" t="str">
        <f aca="false">IF(A502="","",A502&amp;"|"&amp;COUNTIF($A$6:A502,A502))</f>
        <v/>
      </c>
    </row>
    <row r="503" customFormat="false" ht="15" hidden="false" customHeight="false" outlineLevel="0" collapsed="false">
      <c r="A503" s="27"/>
      <c r="B503" s="27"/>
      <c r="C503" s="27"/>
      <c r="D503" s="27"/>
      <c r="E503" s="27"/>
      <c r="F503" s="31"/>
      <c r="G503" s="27"/>
      <c r="H503" s="32" t="str">
        <f aca="false">IF(A503="","",A503&amp;"|"&amp;COUNTIF($A$6:A503,A503))</f>
        <v/>
      </c>
    </row>
    <row r="504" customFormat="false" ht="15" hidden="false" customHeight="false" outlineLevel="0" collapsed="false">
      <c r="A504" s="27"/>
      <c r="B504" s="27"/>
      <c r="C504" s="27"/>
      <c r="D504" s="27"/>
      <c r="E504" s="27"/>
      <c r="F504" s="31"/>
      <c r="G504" s="27"/>
      <c r="H504" s="32" t="str">
        <f aca="false">IF(A504="","",A504&amp;"|"&amp;COUNTIF($A$6:A504,A504))</f>
        <v/>
      </c>
    </row>
    <row r="505" customFormat="false" ht="15" hidden="false" customHeight="false" outlineLevel="0" collapsed="false">
      <c r="A505" s="27"/>
      <c r="B505" s="27"/>
      <c r="C505" s="27"/>
      <c r="D505" s="27"/>
      <c r="E505" s="27"/>
      <c r="F505" s="31"/>
      <c r="G505" s="27"/>
      <c r="H505" s="32" t="str">
        <f aca="false">IF(A505="","",A505&amp;"|"&amp;COUNTIF($A$6:A505,A505))</f>
        <v/>
      </c>
    </row>
    <row r="506" customFormat="false" ht="15" hidden="false" customHeight="false" outlineLevel="0" collapsed="false">
      <c r="A506" s="27"/>
      <c r="B506" s="27"/>
      <c r="C506" s="27"/>
      <c r="D506" s="27"/>
      <c r="E506" s="27"/>
      <c r="F506" s="31"/>
      <c r="G506" s="27"/>
      <c r="H506" s="32" t="str">
        <f aca="false">IF(A506="","",A506&amp;"|"&amp;COUNTIF($A$6:A506,A506))</f>
        <v/>
      </c>
    </row>
    <row r="507" customFormat="false" ht="15" hidden="false" customHeight="false" outlineLevel="0" collapsed="false">
      <c r="A507" s="27"/>
      <c r="B507" s="27"/>
      <c r="C507" s="27"/>
      <c r="D507" s="27"/>
      <c r="E507" s="27"/>
      <c r="F507" s="31"/>
      <c r="G507" s="27"/>
      <c r="H507" s="32" t="str">
        <f aca="false">IF(A507="","",A507&amp;"|"&amp;COUNTIF($A$6:A507,A507))</f>
        <v/>
      </c>
    </row>
    <row r="508" customFormat="false" ht="15" hidden="false" customHeight="false" outlineLevel="0" collapsed="false">
      <c r="A508" s="27"/>
      <c r="B508" s="27"/>
      <c r="C508" s="27"/>
      <c r="D508" s="27"/>
      <c r="E508" s="27"/>
      <c r="F508" s="31"/>
      <c r="G508" s="27"/>
      <c r="H508" s="32" t="str">
        <f aca="false">IF(A508="","",A508&amp;"|"&amp;COUNTIF($A$6:A508,A508))</f>
        <v/>
      </c>
    </row>
    <row r="509" customFormat="false" ht="15" hidden="false" customHeight="false" outlineLevel="0" collapsed="false">
      <c r="A509" s="27"/>
      <c r="B509" s="27"/>
      <c r="C509" s="27"/>
      <c r="D509" s="27"/>
      <c r="E509" s="27"/>
      <c r="F509" s="31"/>
      <c r="G509" s="27"/>
      <c r="H509" s="32" t="str">
        <f aca="false">IF(A509="","",A509&amp;"|"&amp;COUNTIF($A$6:A509,A509))</f>
        <v/>
      </c>
    </row>
    <row r="510" customFormat="false" ht="15" hidden="false" customHeight="false" outlineLevel="0" collapsed="false">
      <c r="A510" s="27"/>
      <c r="B510" s="27"/>
      <c r="C510" s="27"/>
      <c r="D510" s="27"/>
      <c r="E510" s="27"/>
      <c r="F510" s="31"/>
      <c r="G510" s="27"/>
      <c r="H510" s="32" t="str">
        <f aca="false">IF(A510="","",A510&amp;"|"&amp;COUNTIF($A$6:A510,A510))</f>
        <v/>
      </c>
    </row>
    <row r="511" customFormat="false" ht="15" hidden="false" customHeight="false" outlineLevel="0" collapsed="false">
      <c r="A511" s="27"/>
      <c r="B511" s="27"/>
      <c r="C511" s="27"/>
      <c r="D511" s="27"/>
      <c r="E511" s="27"/>
      <c r="F511" s="31"/>
      <c r="G511" s="27"/>
      <c r="H511" s="32" t="str">
        <f aca="false">IF(A511="","",A511&amp;"|"&amp;COUNTIF($A$6:A511,A511))</f>
        <v/>
      </c>
    </row>
    <row r="512" customFormat="false" ht="15" hidden="false" customHeight="false" outlineLevel="0" collapsed="false">
      <c r="A512" s="27"/>
      <c r="B512" s="27"/>
      <c r="C512" s="27"/>
      <c r="D512" s="27"/>
      <c r="E512" s="27"/>
      <c r="F512" s="31"/>
      <c r="G512" s="27"/>
      <c r="H512" s="32" t="str">
        <f aca="false">IF(A512="","",A512&amp;"|"&amp;COUNTIF($A$6:A512,A512))</f>
        <v/>
      </c>
    </row>
    <row r="513" customFormat="false" ht="15" hidden="false" customHeight="false" outlineLevel="0" collapsed="false">
      <c r="A513" s="27"/>
      <c r="B513" s="27"/>
      <c r="C513" s="27"/>
      <c r="D513" s="27"/>
      <c r="E513" s="27"/>
      <c r="F513" s="31"/>
      <c r="G513" s="27"/>
      <c r="H513" s="32" t="str">
        <f aca="false">IF(A513="","",A513&amp;"|"&amp;COUNTIF($A$6:A513,A513))</f>
        <v/>
      </c>
    </row>
    <row r="514" customFormat="false" ht="15" hidden="false" customHeight="false" outlineLevel="0" collapsed="false">
      <c r="A514" s="27"/>
      <c r="B514" s="27"/>
      <c r="C514" s="27"/>
      <c r="D514" s="27"/>
      <c r="E514" s="27"/>
      <c r="F514" s="31"/>
      <c r="G514" s="27"/>
      <c r="H514" s="32" t="str">
        <f aca="false">IF(A514="","",A514&amp;"|"&amp;COUNTIF($A$6:A514,A514))</f>
        <v/>
      </c>
    </row>
    <row r="515" customFormat="false" ht="15" hidden="false" customHeight="false" outlineLevel="0" collapsed="false">
      <c r="A515" s="27"/>
      <c r="B515" s="27"/>
      <c r="C515" s="27"/>
      <c r="D515" s="27"/>
      <c r="E515" s="27"/>
      <c r="F515" s="31"/>
      <c r="G515" s="27"/>
      <c r="H515" s="32" t="str">
        <f aca="false">IF(A515="","",A515&amp;"|"&amp;COUNTIF($A$6:A515,A515))</f>
        <v/>
      </c>
    </row>
    <row r="516" customFormat="false" ht="15" hidden="false" customHeight="false" outlineLevel="0" collapsed="false">
      <c r="A516" s="27"/>
      <c r="B516" s="27"/>
      <c r="C516" s="27"/>
      <c r="D516" s="27"/>
      <c r="E516" s="27"/>
      <c r="F516" s="31"/>
      <c r="G516" s="27"/>
      <c r="H516" s="32" t="str">
        <f aca="false">IF(A516="","",A516&amp;"|"&amp;COUNTIF($A$6:A516,A516))</f>
        <v/>
      </c>
    </row>
    <row r="517" customFormat="false" ht="15" hidden="false" customHeight="false" outlineLevel="0" collapsed="false">
      <c r="A517" s="27"/>
      <c r="B517" s="27"/>
      <c r="C517" s="27"/>
      <c r="D517" s="27"/>
      <c r="E517" s="27"/>
      <c r="F517" s="31"/>
      <c r="G517" s="27"/>
      <c r="H517" s="32" t="str">
        <f aca="false">IF(A517="","",A517&amp;"|"&amp;COUNTIF($A$6:A517,A517))</f>
        <v/>
      </c>
    </row>
    <row r="518" customFormat="false" ht="15" hidden="false" customHeight="false" outlineLevel="0" collapsed="false">
      <c r="A518" s="27"/>
      <c r="B518" s="27"/>
      <c r="C518" s="27"/>
      <c r="D518" s="27"/>
      <c r="E518" s="27"/>
      <c r="F518" s="31"/>
      <c r="G518" s="27"/>
      <c r="H518" s="32" t="str">
        <f aca="false">IF(A518="","",A518&amp;"|"&amp;COUNTIF($A$6:A518,A518))</f>
        <v/>
      </c>
    </row>
    <row r="519" customFormat="false" ht="15" hidden="false" customHeight="false" outlineLevel="0" collapsed="false">
      <c r="A519" s="27"/>
      <c r="B519" s="27"/>
      <c r="C519" s="27"/>
      <c r="D519" s="27"/>
      <c r="E519" s="27"/>
      <c r="F519" s="31"/>
      <c r="G519" s="27"/>
      <c r="H519" s="32" t="str">
        <f aca="false">IF(A519="","",A519&amp;"|"&amp;COUNTIF($A$6:A519,A519))</f>
        <v/>
      </c>
    </row>
    <row r="520" customFormat="false" ht="15" hidden="false" customHeight="false" outlineLevel="0" collapsed="false">
      <c r="A520" s="27"/>
      <c r="B520" s="27"/>
      <c r="C520" s="27"/>
      <c r="D520" s="27"/>
      <c r="E520" s="27"/>
      <c r="F520" s="31"/>
      <c r="G520" s="27"/>
      <c r="H520" s="32" t="str">
        <f aca="false">IF(A520="","",A520&amp;"|"&amp;COUNTIF($A$6:A520,A520))</f>
        <v/>
      </c>
    </row>
    <row r="521" customFormat="false" ht="15" hidden="false" customHeight="false" outlineLevel="0" collapsed="false">
      <c r="A521" s="27"/>
      <c r="B521" s="27"/>
      <c r="C521" s="27"/>
      <c r="D521" s="27"/>
      <c r="E521" s="27"/>
      <c r="F521" s="31"/>
      <c r="G521" s="27"/>
      <c r="H521" s="32" t="str">
        <f aca="false">IF(A521="","",A521&amp;"|"&amp;COUNTIF($A$6:A521,A521))</f>
        <v/>
      </c>
    </row>
    <row r="522" customFormat="false" ht="15" hidden="false" customHeight="false" outlineLevel="0" collapsed="false">
      <c r="A522" s="27"/>
      <c r="B522" s="27"/>
      <c r="C522" s="27"/>
      <c r="D522" s="27"/>
      <c r="E522" s="27"/>
      <c r="F522" s="31"/>
      <c r="G522" s="27"/>
      <c r="H522" s="32" t="str">
        <f aca="false">IF(A522="","",A522&amp;"|"&amp;COUNTIF($A$6:A522,A522))</f>
        <v/>
      </c>
    </row>
    <row r="523" customFormat="false" ht="15" hidden="false" customHeight="false" outlineLevel="0" collapsed="false">
      <c r="A523" s="27"/>
      <c r="B523" s="27"/>
      <c r="C523" s="27"/>
      <c r="D523" s="27"/>
      <c r="E523" s="27"/>
      <c r="F523" s="31"/>
      <c r="G523" s="27"/>
      <c r="H523" s="32" t="str">
        <f aca="false">IF(A523="","",A523&amp;"|"&amp;COUNTIF($A$6:A523,A523))</f>
        <v/>
      </c>
    </row>
    <row r="524" customFormat="false" ht="15" hidden="false" customHeight="false" outlineLevel="0" collapsed="false">
      <c r="A524" s="27"/>
      <c r="B524" s="27"/>
      <c r="C524" s="27"/>
      <c r="D524" s="27"/>
      <c r="E524" s="27"/>
      <c r="F524" s="31"/>
      <c r="G524" s="27"/>
      <c r="H524" s="32" t="str">
        <f aca="false">IF(A524="","",A524&amp;"|"&amp;COUNTIF($A$6:A524,A524))</f>
        <v/>
      </c>
    </row>
    <row r="525" customFormat="false" ht="15" hidden="false" customHeight="false" outlineLevel="0" collapsed="false">
      <c r="A525" s="27"/>
      <c r="B525" s="27"/>
      <c r="C525" s="27"/>
      <c r="D525" s="27"/>
      <c r="E525" s="27"/>
      <c r="F525" s="31"/>
      <c r="G525" s="27"/>
      <c r="H525" s="32" t="str">
        <f aca="false">IF(A525="","",A525&amp;"|"&amp;COUNTIF($A$6:A525,A525))</f>
        <v/>
      </c>
    </row>
    <row r="526" customFormat="false" ht="15" hidden="false" customHeight="false" outlineLevel="0" collapsed="false">
      <c r="A526" s="27"/>
      <c r="B526" s="27"/>
      <c r="C526" s="27"/>
      <c r="D526" s="27"/>
      <c r="E526" s="27"/>
      <c r="F526" s="31"/>
      <c r="G526" s="27"/>
      <c r="H526" s="32" t="str">
        <f aca="false">IF(A526="","",A526&amp;"|"&amp;COUNTIF($A$6:A526,A526))</f>
        <v/>
      </c>
    </row>
    <row r="527" customFormat="false" ht="15" hidden="false" customHeight="false" outlineLevel="0" collapsed="false">
      <c r="A527" s="27"/>
      <c r="B527" s="27"/>
      <c r="C527" s="27"/>
      <c r="D527" s="27"/>
      <c r="E527" s="27"/>
      <c r="F527" s="31"/>
      <c r="G527" s="27"/>
      <c r="H527" s="32" t="str">
        <f aca="false">IF(A527="","",A527&amp;"|"&amp;COUNTIF($A$6:A527,A527))</f>
        <v/>
      </c>
    </row>
    <row r="528" customFormat="false" ht="15" hidden="false" customHeight="false" outlineLevel="0" collapsed="false">
      <c r="A528" s="27"/>
      <c r="B528" s="27"/>
      <c r="C528" s="27"/>
      <c r="D528" s="27"/>
      <c r="E528" s="27"/>
      <c r="F528" s="31"/>
      <c r="G528" s="27"/>
      <c r="H528" s="32" t="str">
        <f aca="false">IF(A528="","",A528&amp;"|"&amp;COUNTIF($A$6:A528,A528))</f>
        <v/>
      </c>
    </row>
    <row r="529" customFormat="false" ht="15" hidden="false" customHeight="false" outlineLevel="0" collapsed="false">
      <c r="A529" s="27"/>
      <c r="B529" s="27"/>
      <c r="C529" s="27"/>
      <c r="D529" s="27"/>
      <c r="E529" s="27"/>
      <c r="F529" s="31"/>
      <c r="G529" s="27"/>
      <c r="H529" s="32" t="str">
        <f aca="false">IF(A529="","",A529&amp;"|"&amp;COUNTIF($A$6:A529,A529))</f>
        <v/>
      </c>
    </row>
    <row r="530" customFormat="false" ht="15" hidden="false" customHeight="false" outlineLevel="0" collapsed="false">
      <c r="A530" s="27"/>
      <c r="B530" s="27"/>
      <c r="C530" s="27"/>
      <c r="D530" s="27"/>
      <c r="E530" s="27"/>
      <c r="F530" s="31"/>
      <c r="G530" s="27"/>
      <c r="H530" s="32" t="str">
        <f aca="false">IF(A530="","",A530&amp;"|"&amp;COUNTIF($A$6:A530,A530))</f>
        <v/>
      </c>
    </row>
    <row r="531" customFormat="false" ht="15" hidden="false" customHeight="false" outlineLevel="0" collapsed="false">
      <c r="A531" s="27"/>
      <c r="B531" s="27"/>
      <c r="C531" s="27"/>
      <c r="D531" s="27"/>
      <c r="E531" s="27"/>
      <c r="F531" s="31"/>
      <c r="G531" s="27"/>
      <c r="H531" s="32" t="str">
        <f aca="false">IF(A531="","",A531&amp;"|"&amp;COUNTIF($A$6:A531,A531))</f>
        <v/>
      </c>
    </row>
    <row r="532" customFormat="false" ht="15" hidden="false" customHeight="false" outlineLevel="0" collapsed="false">
      <c r="A532" s="27"/>
      <c r="B532" s="27"/>
      <c r="C532" s="27"/>
      <c r="D532" s="27"/>
      <c r="E532" s="27"/>
      <c r="F532" s="31"/>
      <c r="G532" s="27"/>
      <c r="H532" s="32" t="str">
        <f aca="false">IF(A532="","",A532&amp;"|"&amp;COUNTIF($A$6:A532,A532))</f>
        <v/>
      </c>
    </row>
    <row r="533" customFormat="false" ht="15" hidden="false" customHeight="false" outlineLevel="0" collapsed="false">
      <c r="A533" s="27"/>
      <c r="B533" s="27"/>
      <c r="C533" s="27"/>
      <c r="D533" s="27"/>
      <c r="E533" s="27"/>
      <c r="F533" s="31"/>
      <c r="G533" s="27"/>
      <c r="H533" s="32" t="str">
        <f aca="false">IF(A533="","",A533&amp;"|"&amp;COUNTIF($A$6:A533,A533))</f>
        <v/>
      </c>
    </row>
    <row r="534" customFormat="false" ht="15" hidden="false" customHeight="false" outlineLevel="0" collapsed="false">
      <c r="A534" s="27"/>
      <c r="B534" s="27"/>
      <c r="C534" s="27"/>
      <c r="D534" s="27"/>
      <c r="E534" s="27"/>
      <c r="F534" s="31"/>
      <c r="G534" s="27"/>
      <c r="H534" s="32" t="str">
        <f aca="false">IF(A534="","",A534&amp;"|"&amp;COUNTIF($A$6:A534,A534))</f>
        <v/>
      </c>
    </row>
    <row r="535" customFormat="false" ht="15" hidden="false" customHeight="false" outlineLevel="0" collapsed="false">
      <c r="A535" s="27"/>
      <c r="B535" s="27"/>
      <c r="C535" s="27"/>
      <c r="D535" s="27"/>
      <c r="E535" s="27"/>
      <c r="F535" s="31"/>
      <c r="G535" s="27"/>
      <c r="H535" s="32" t="str">
        <f aca="false">IF(A535="","",A535&amp;"|"&amp;COUNTIF($A$6:A535,A535))</f>
        <v/>
      </c>
    </row>
    <row r="536" customFormat="false" ht="15" hidden="false" customHeight="false" outlineLevel="0" collapsed="false">
      <c r="A536" s="27"/>
      <c r="B536" s="27"/>
      <c r="C536" s="27"/>
      <c r="D536" s="27"/>
      <c r="E536" s="27"/>
      <c r="F536" s="31"/>
      <c r="G536" s="27"/>
      <c r="H536" s="32" t="str">
        <f aca="false">IF(A536="","",A536&amp;"|"&amp;COUNTIF($A$6:A536,A536))</f>
        <v/>
      </c>
    </row>
    <row r="537" customFormat="false" ht="15" hidden="false" customHeight="false" outlineLevel="0" collapsed="false">
      <c r="A537" s="27"/>
      <c r="B537" s="27"/>
      <c r="C537" s="27"/>
      <c r="D537" s="27"/>
      <c r="E537" s="27"/>
      <c r="F537" s="31"/>
      <c r="G537" s="27"/>
      <c r="H537" s="32" t="str">
        <f aca="false">IF(A537="","",A537&amp;"|"&amp;COUNTIF($A$6:A537,A537))</f>
        <v/>
      </c>
    </row>
    <row r="538" customFormat="false" ht="15" hidden="false" customHeight="false" outlineLevel="0" collapsed="false">
      <c r="A538" s="27"/>
      <c r="B538" s="27"/>
      <c r="C538" s="27"/>
      <c r="D538" s="27"/>
      <c r="E538" s="27"/>
      <c r="F538" s="31"/>
      <c r="G538" s="27"/>
      <c r="H538" s="32" t="str">
        <f aca="false">IF(A538="","",A538&amp;"|"&amp;COUNTIF($A$6:A538,A538))</f>
        <v/>
      </c>
    </row>
    <row r="539" customFormat="false" ht="15" hidden="false" customHeight="false" outlineLevel="0" collapsed="false">
      <c r="A539" s="27"/>
      <c r="B539" s="27"/>
      <c r="C539" s="27"/>
      <c r="D539" s="27"/>
      <c r="E539" s="27"/>
      <c r="F539" s="31"/>
      <c r="G539" s="27"/>
      <c r="H539" s="32" t="str">
        <f aca="false">IF(A539="","",A539&amp;"|"&amp;COUNTIF($A$6:A539,A539))</f>
        <v/>
      </c>
    </row>
    <row r="540" customFormat="false" ht="15" hidden="false" customHeight="false" outlineLevel="0" collapsed="false">
      <c r="A540" s="27"/>
      <c r="B540" s="27"/>
      <c r="C540" s="27"/>
      <c r="D540" s="27"/>
      <c r="E540" s="27"/>
      <c r="F540" s="31"/>
      <c r="G540" s="27"/>
      <c r="H540" s="32" t="str">
        <f aca="false">IF(A540="","",A540&amp;"|"&amp;COUNTIF($A$6:A540,A540))</f>
        <v/>
      </c>
    </row>
    <row r="541" customFormat="false" ht="15" hidden="false" customHeight="false" outlineLevel="0" collapsed="false">
      <c r="A541" s="27"/>
      <c r="B541" s="27"/>
      <c r="C541" s="27"/>
      <c r="D541" s="27"/>
      <c r="E541" s="27"/>
      <c r="F541" s="31"/>
      <c r="G541" s="27"/>
      <c r="H541" s="32" t="str">
        <f aca="false">IF(A541="","",A541&amp;"|"&amp;COUNTIF($A$6:A541,A541))</f>
        <v/>
      </c>
    </row>
    <row r="542" customFormat="false" ht="15" hidden="false" customHeight="false" outlineLevel="0" collapsed="false">
      <c r="A542" s="27"/>
      <c r="B542" s="27"/>
      <c r="C542" s="27"/>
      <c r="D542" s="27"/>
      <c r="E542" s="27"/>
      <c r="F542" s="31"/>
      <c r="G542" s="27"/>
      <c r="H542" s="32" t="str">
        <f aca="false">IF(A542="","",A542&amp;"|"&amp;COUNTIF($A$6:A542,A542))</f>
        <v/>
      </c>
    </row>
    <row r="543" customFormat="false" ht="15" hidden="false" customHeight="false" outlineLevel="0" collapsed="false">
      <c r="A543" s="27"/>
      <c r="B543" s="27"/>
      <c r="C543" s="27"/>
      <c r="D543" s="27"/>
      <c r="E543" s="27"/>
      <c r="F543" s="31"/>
      <c r="G543" s="27"/>
      <c r="H543" s="32" t="str">
        <f aca="false">IF(A543="","",A543&amp;"|"&amp;COUNTIF($A$6:A543,A543))</f>
        <v/>
      </c>
    </row>
    <row r="544" customFormat="false" ht="15" hidden="false" customHeight="false" outlineLevel="0" collapsed="false">
      <c r="A544" s="27"/>
      <c r="B544" s="27"/>
      <c r="C544" s="27"/>
      <c r="D544" s="27"/>
      <c r="E544" s="27"/>
      <c r="F544" s="31"/>
      <c r="G544" s="27"/>
      <c r="H544" s="32" t="str">
        <f aca="false">IF(A544="","",A544&amp;"|"&amp;COUNTIF($A$6:A544,A544))</f>
        <v/>
      </c>
    </row>
    <row r="545" customFormat="false" ht="15" hidden="false" customHeight="false" outlineLevel="0" collapsed="false">
      <c r="A545" s="27"/>
      <c r="B545" s="27"/>
      <c r="C545" s="27"/>
      <c r="D545" s="27"/>
      <c r="E545" s="27"/>
      <c r="F545" s="31"/>
      <c r="G545" s="27"/>
      <c r="H545" s="32" t="str">
        <f aca="false">IF(A545="","",A545&amp;"|"&amp;COUNTIF($A$6:A545,A545))</f>
        <v/>
      </c>
    </row>
    <row r="546" customFormat="false" ht="15" hidden="false" customHeight="false" outlineLevel="0" collapsed="false">
      <c r="A546" s="27"/>
      <c r="B546" s="27"/>
      <c r="C546" s="27"/>
      <c r="D546" s="27"/>
      <c r="E546" s="27"/>
      <c r="F546" s="31"/>
      <c r="G546" s="27"/>
      <c r="H546" s="32" t="str">
        <f aca="false">IF(A546="","",A546&amp;"|"&amp;COUNTIF($A$6:A546,A546))</f>
        <v/>
      </c>
    </row>
    <row r="547" customFormat="false" ht="15" hidden="false" customHeight="false" outlineLevel="0" collapsed="false">
      <c r="A547" s="27"/>
      <c r="B547" s="27"/>
      <c r="C547" s="27"/>
      <c r="D547" s="27"/>
      <c r="E547" s="27"/>
      <c r="F547" s="31"/>
      <c r="G547" s="27"/>
      <c r="H547" s="32" t="str">
        <f aca="false">IF(A547="","",A547&amp;"|"&amp;COUNTIF($A$6:A547,A547))</f>
        <v/>
      </c>
    </row>
    <row r="548" customFormat="false" ht="15" hidden="false" customHeight="false" outlineLevel="0" collapsed="false">
      <c r="A548" s="27"/>
      <c r="B548" s="27"/>
      <c r="C548" s="27"/>
      <c r="D548" s="27"/>
      <c r="E548" s="27"/>
      <c r="F548" s="31"/>
      <c r="G548" s="27"/>
      <c r="H548" s="32" t="str">
        <f aca="false">IF(A548="","",A548&amp;"|"&amp;COUNTIF($A$6:A548,A548))</f>
        <v/>
      </c>
    </row>
    <row r="549" customFormat="false" ht="15" hidden="false" customHeight="false" outlineLevel="0" collapsed="false">
      <c r="A549" s="27"/>
      <c r="B549" s="27"/>
      <c r="C549" s="27"/>
      <c r="D549" s="27"/>
      <c r="E549" s="27"/>
      <c r="F549" s="31"/>
      <c r="G549" s="27"/>
      <c r="H549" s="32" t="str">
        <f aca="false">IF(A549="","",A549&amp;"|"&amp;COUNTIF($A$6:A549,A549))</f>
        <v/>
      </c>
    </row>
    <row r="550" customFormat="false" ht="15" hidden="false" customHeight="false" outlineLevel="0" collapsed="false">
      <c r="A550" s="27"/>
      <c r="B550" s="27"/>
      <c r="C550" s="27"/>
      <c r="D550" s="27"/>
      <c r="E550" s="27"/>
      <c r="F550" s="31"/>
      <c r="G550" s="27"/>
      <c r="H550" s="32" t="str">
        <f aca="false">IF(A550="","",A550&amp;"|"&amp;COUNTIF($A$6:A550,A550))</f>
        <v/>
      </c>
    </row>
    <row r="551" customFormat="false" ht="15" hidden="false" customHeight="false" outlineLevel="0" collapsed="false">
      <c r="A551" s="27"/>
      <c r="B551" s="27"/>
      <c r="C551" s="27"/>
      <c r="D551" s="27"/>
      <c r="E551" s="27"/>
      <c r="F551" s="31"/>
      <c r="G551" s="27"/>
      <c r="H551" s="32" t="str">
        <f aca="false">IF(A551="","",A551&amp;"|"&amp;COUNTIF($A$6:A551,A551))</f>
        <v/>
      </c>
    </row>
    <row r="552" customFormat="false" ht="15" hidden="false" customHeight="false" outlineLevel="0" collapsed="false">
      <c r="A552" s="27"/>
      <c r="B552" s="27"/>
      <c r="C552" s="27"/>
      <c r="D552" s="27"/>
      <c r="E552" s="27"/>
      <c r="F552" s="31"/>
      <c r="G552" s="27"/>
      <c r="H552" s="32" t="str">
        <f aca="false">IF(A552="","",A552&amp;"|"&amp;COUNTIF($A$6:A552,A552))</f>
        <v/>
      </c>
    </row>
    <row r="553" customFormat="false" ht="15" hidden="false" customHeight="false" outlineLevel="0" collapsed="false">
      <c r="A553" s="27"/>
      <c r="B553" s="27"/>
      <c r="C553" s="27"/>
      <c r="D553" s="27"/>
      <c r="E553" s="27"/>
      <c r="F553" s="31"/>
      <c r="G553" s="27"/>
      <c r="H553" s="32" t="str">
        <f aca="false">IF(A553="","",A553&amp;"|"&amp;COUNTIF($A$6:A553,A553))</f>
        <v/>
      </c>
    </row>
    <row r="554" customFormat="false" ht="15" hidden="false" customHeight="false" outlineLevel="0" collapsed="false">
      <c r="A554" s="27"/>
      <c r="B554" s="27"/>
      <c r="C554" s="27"/>
      <c r="D554" s="27"/>
      <c r="E554" s="27"/>
      <c r="F554" s="31"/>
      <c r="G554" s="27"/>
      <c r="H554" s="32" t="str">
        <f aca="false">IF(A554="","",A554&amp;"|"&amp;COUNTIF($A$6:A554,A554))</f>
        <v/>
      </c>
    </row>
    <row r="555" customFormat="false" ht="15" hidden="false" customHeight="false" outlineLevel="0" collapsed="false">
      <c r="A555" s="27"/>
      <c r="B555" s="27"/>
      <c r="C555" s="27"/>
      <c r="D555" s="27"/>
      <c r="E555" s="27"/>
      <c r="F555" s="31"/>
      <c r="G555" s="27"/>
      <c r="H555" s="32" t="str">
        <f aca="false">IF(A555="","",A555&amp;"|"&amp;COUNTIF($A$6:A555,A555))</f>
        <v/>
      </c>
    </row>
    <row r="556" customFormat="false" ht="15" hidden="false" customHeight="false" outlineLevel="0" collapsed="false">
      <c r="A556" s="27"/>
      <c r="B556" s="27"/>
      <c r="C556" s="27"/>
      <c r="D556" s="27"/>
      <c r="E556" s="27"/>
      <c r="F556" s="31"/>
      <c r="G556" s="27"/>
      <c r="H556" s="32" t="str">
        <f aca="false">IF(A556="","",A556&amp;"|"&amp;COUNTIF($A$6:A556,A556))</f>
        <v/>
      </c>
    </row>
    <row r="557" customFormat="false" ht="15" hidden="false" customHeight="false" outlineLevel="0" collapsed="false">
      <c r="A557" s="27"/>
      <c r="B557" s="27"/>
      <c r="C557" s="27"/>
      <c r="D557" s="27"/>
      <c r="E557" s="27"/>
      <c r="F557" s="31"/>
      <c r="G557" s="27"/>
      <c r="H557" s="32" t="str">
        <f aca="false">IF(A557="","",A557&amp;"|"&amp;COUNTIF($A$6:A557,A557))</f>
        <v/>
      </c>
    </row>
    <row r="558" customFormat="false" ht="15" hidden="false" customHeight="false" outlineLevel="0" collapsed="false">
      <c r="A558" s="27"/>
      <c r="B558" s="27"/>
      <c r="C558" s="27"/>
      <c r="D558" s="27"/>
      <c r="E558" s="27"/>
      <c r="F558" s="31"/>
      <c r="G558" s="27"/>
      <c r="H558" s="32" t="str">
        <f aca="false">IF(A558="","",A558&amp;"|"&amp;COUNTIF($A$6:A558,A558))</f>
        <v/>
      </c>
    </row>
    <row r="559" customFormat="false" ht="15" hidden="false" customHeight="false" outlineLevel="0" collapsed="false">
      <c r="A559" s="27"/>
      <c r="B559" s="27"/>
      <c r="C559" s="27"/>
      <c r="D559" s="27"/>
      <c r="E559" s="27"/>
      <c r="F559" s="31"/>
      <c r="G559" s="27"/>
      <c r="H559" s="32" t="str">
        <f aca="false">IF(A559="","",A559&amp;"|"&amp;COUNTIF($A$6:A559,A559))</f>
        <v/>
      </c>
    </row>
    <row r="560" customFormat="false" ht="15" hidden="false" customHeight="false" outlineLevel="0" collapsed="false">
      <c r="A560" s="27"/>
      <c r="B560" s="27"/>
      <c r="C560" s="27"/>
      <c r="D560" s="27"/>
      <c r="E560" s="27"/>
      <c r="F560" s="31"/>
      <c r="G560" s="27"/>
      <c r="H560" s="32" t="str">
        <f aca="false">IF(A560="","",A560&amp;"|"&amp;COUNTIF($A$6:A560,A560))</f>
        <v/>
      </c>
    </row>
    <row r="561" customFormat="false" ht="15" hidden="false" customHeight="false" outlineLevel="0" collapsed="false">
      <c r="A561" s="27"/>
      <c r="B561" s="27"/>
      <c r="C561" s="27"/>
      <c r="D561" s="27"/>
      <c r="E561" s="27"/>
      <c r="F561" s="31"/>
      <c r="G561" s="27"/>
      <c r="H561" s="32" t="str">
        <f aca="false">IF(A561="","",A561&amp;"|"&amp;COUNTIF($A$6:A561,A561))</f>
        <v/>
      </c>
    </row>
    <row r="562" customFormat="false" ht="15" hidden="false" customHeight="false" outlineLevel="0" collapsed="false">
      <c r="A562" s="27"/>
      <c r="B562" s="27"/>
      <c r="C562" s="27"/>
      <c r="D562" s="27"/>
      <c r="E562" s="27"/>
      <c r="F562" s="31"/>
      <c r="G562" s="27"/>
      <c r="H562" s="32" t="str">
        <f aca="false">IF(A562="","",A562&amp;"|"&amp;COUNTIF($A$6:A562,A562))</f>
        <v/>
      </c>
    </row>
    <row r="563" customFormat="false" ht="15" hidden="false" customHeight="false" outlineLevel="0" collapsed="false">
      <c r="A563" s="27"/>
      <c r="B563" s="27"/>
      <c r="C563" s="27"/>
      <c r="D563" s="27"/>
      <c r="E563" s="27"/>
      <c r="F563" s="31"/>
      <c r="G563" s="27"/>
      <c r="H563" s="32" t="str">
        <f aca="false">IF(A563="","",A563&amp;"|"&amp;COUNTIF($A$6:A563,A563))</f>
        <v/>
      </c>
    </row>
    <row r="564" customFormat="false" ht="15" hidden="false" customHeight="false" outlineLevel="0" collapsed="false">
      <c r="A564" s="27"/>
      <c r="B564" s="27"/>
      <c r="C564" s="27"/>
      <c r="D564" s="27"/>
      <c r="E564" s="27"/>
      <c r="F564" s="31"/>
      <c r="G564" s="27"/>
      <c r="H564" s="32" t="str">
        <f aca="false">IF(A564="","",A564&amp;"|"&amp;COUNTIF($A$6:A564,A564))</f>
        <v/>
      </c>
    </row>
    <row r="565" customFormat="false" ht="15" hidden="false" customHeight="false" outlineLevel="0" collapsed="false">
      <c r="A565" s="27"/>
      <c r="B565" s="27"/>
      <c r="C565" s="27"/>
      <c r="D565" s="27"/>
      <c r="E565" s="27"/>
      <c r="F565" s="31"/>
      <c r="G565" s="27"/>
      <c r="H565" s="32" t="str">
        <f aca="false">IF(A565="","",A565&amp;"|"&amp;COUNTIF($A$6:A565,A565))</f>
        <v/>
      </c>
    </row>
    <row r="566" customFormat="false" ht="15" hidden="false" customHeight="false" outlineLevel="0" collapsed="false">
      <c r="A566" s="27"/>
      <c r="B566" s="27"/>
      <c r="C566" s="27"/>
      <c r="D566" s="27"/>
      <c r="E566" s="27"/>
      <c r="F566" s="31"/>
      <c r="G566" s="27"/>
      <c r="H566" s="32" t="str">
        <f aca="false">IF(A566="","",A566&amp;"|"&amp;COUNTIF($A$6:A566,A566))</f>
        <v/>
      </c>
    </row>
    <row r="567" customFormat="false" ht="15" hidden="false" customHeight="false" outlineLevel="0" collapsed="false">
      <c r="A567" s="27"/>
      <c r="B567" s="27"/>
      <c r="C567" s="27"/>
      <c r="D567" s="27"/>
      <c r="E567" s="27"/>
      <c r="F567" s="31"/>
      <c r="G567" s="27"/>
      <c r="H567" s="32" t="str">
        <f aca="false">IF(A567="","",A567&amp;"|"&amp;COUNTIF($A$6:A567,A567))</f>
        <v/>
      </c>
    </row>
    <row r="568" customFormat="false" ht="15" hidden="false" customHeight="false" outlineLevel="0" collapsed="false">
      <c r="A568" s="27"/>
      <c r="B568" s="27"/>
      <c r="C568" s="27"/>
      <c r="D568" s="27"/>
      <c r="E568" s="27"/>
      <c r="F568" s="31"/>
      <c r="G568" s="27"/>
      <c r="H568" s="32" t="str">
        <f aca="false">IF(A568="","",A568&amp;"|"&amp;COUNTIF($A$6:A568,A568))</f>
        <v/>
      </c>
    </row>
    <row r="569" customFormat="false" ht="15" hidden="false" customHeight="false" outlineLevel="0" collapsed="false">
      <c r="A569" s="27"/>
      <c r="B569" s="27"/>
      <c r="C569" s="27"/>
      <c r="D569" s="27"/>
      <c r="E569" s="27"/>
      <c r="F569" s="31"/>
      <c r="G569" s="27"/>
      <c r="H569" s="32" t="str">
        <f aca="false">IF(A569="","",A569&amp;"|"&amp;COUNTIF($A$6:A569,A569))</f>
        <v/>
      </c>
    </row>
    <row r="570" customFormat="false" ht="15" hidden="false" customHeight="false" outlineLevel="0" collapsed="false">
      <c r="A570" s="27"/>
      <c r="B570" s="27"/>
      <c r="C570" s="27"/>
      <c r="D570" s="27"/>
      <c r="E570" s="27"/>
      <c r="F570" s="31"/>
      <c r="G570" s="27"/>
      <c r="H570" s="32" t="str">
        <f aca="false">IF(A570="","",A570&amp;"|"&amp;COUNTIF($A$6:A570,A570))</f>
        <v/>
      </c>
    </row>
    <row r="571" customFormat="false" ht="15" hidden="false" customHeight="false" outlineLevel="0" collapsed="false">
      <c r="A571" s="27"/>
      <c r="B571" s="27"/>
      <c r="C571" s="27"/>
      <c r="D571" s="27"/>
      <c r="E571" s="27"/>
      <c r="F571" s="31"/>
      <c r="G571" s="27"/>
      <c r="H571" s="32" t="str">
        <f aca="false">IF(A571="","",A571&amp;"|"&amp;COUNTIF($A$6:A571,A571))</f>
        <v/>
      </c>
    </row>
    <row r="572" customFormat="false" ht="15" hidden="false" customHeight="false" outlineLevel="0" collapsed="false">
      <c r="A572" s="27"/>
      <c r="B572" s="27"/>
      <c r="C572" s="27"/>
      <c r="D572" s="27"/>
      <c r="E572" s="27"/>
      <c r="F572" s="31"/>
      <c r="G572" s="27"/>
      <c r="H572" s="32" t="str">
        <f aca="false">IF(A572="","",A572&amp;"|"&amp;COUNTIF($A$6:A572,A572))</f>
        <v/>
      </c>
    </row>
    <row r="573" customFormat="false" ht="15" hidden="false" customHeight="false" outlineLevel="0" collapsed="false">
      <c r="A573" s="27"/>
      <c r="B573" s="27"/>
      <c r="C573" s="27"/>
      <c r="D573" s="27"/>
      <c r="E573" s="27"/>
      <c r="F573" s="31"/>
      <c r="G573" s="27"/>
      <c r="H573" s="32" t="str">
        <f aca="false">IF(A573="","",A573&amp;"|"&amp;COUNTIF($A$6:A573,A573))</f>
        <v/>
      </c>
    </row>
    <row r="574" customFormat="false" ht="15" hidden="false" customHeight="false" outlineLevel="0" collapsed="false">
      <c r="A574" s="27"/>
      <c r="B574" s="27"/>
      <c r="C574" s="27"/>
      <c r="D574" s="27"/>
      <c r="E574" s="27"/>
      <c r="F574" s="31"/>
      <c r="G574" s="27"/>
      <c r="H574" s="32" t="str">
        <f aca="false">IF(A574="","",A574&amp;"|"&amp;COUNTIF($A$6:A574,A574))</f>
        <v/>
      </c>
    </row>
    <row r="575" customFormat="false" ht="15" hidden="false" customHeight="false" outlineLevel="0" collapsed="false">
      <c r="A575" s="27"/>
      <c r="B575" s="27"/>
      <c r="C575" s="27"/>
      <c r="D575" s="27"/>
      <c r="E575" s="27"/>
      <c r="F575" s="31"/>
      <c r="G575" s="27"/>
      <c r="H575" s="32" t="str">
        <f aca="false">IF(A575="","",A575&amp;"|"&amp;COUNTIF($A$6:A575,A575))</f>
        <v/>
      </c>
    </row>
    <row r="576" customFormat="false" ht="15" hidden="false" customHeight="false" outlineLevel="0" collapsed="false">
      <c r="A576" s="27"/>
      <c r="B576" s="27"/>
      <c r="C576" s="27"/>
      <c r="D576" s="27"/>
      <c r="E576" s="27"/>
      <c r="F576" s="31"/>
      <c r="G576" s="27"/>
      <c r="H576" s="32" t="str">
        <f aca="false">IF(A576="","",A576&amp;"|"&amp;COUNTIF($A$6:A576,A576))</f>
        <v/>
      </c>
    </row>
    <row r="577" customFormat="false" ht="15" hidden="false" customHeight="false" outlineLevel="0" collapsed="false">
      <c r="A577" s="27"/>
      <c r="B577" s="27"/>
      <c r="C577" s="27"/>
      <c r="D577" s="27"/>
      <c r="E577" s="27"/>
      <c r="F577" s="31"/>
      <c r="G577" s="27"/>
      <c r="H577" s="32" t="str">
        <f aca="false">IF(A577="","",A577&amp;"|"&amp;COUNTIF($A$6:A577,A577))</f>
        <v/>
      </c>
    </row>
    <row r="578" customFormat="false" ht="15" hidden="false" customHeight="false" outlineLevel="0" collapsed="false">
      <c r="A578" s="27"/>
      <c r="B578" s="27"/>
      <c r="C578" s="27"/>
      <c r="D578" s="27"/>
      <c r="E578" s="27"/>
      <c r="F578" s="31"/>
      <c r="G578" s="27"/>
      <c r="H578" s="32" t="str">
        <f aca="false">IF(A578="","",A578&amp;"|"&amp;COUNTIF($A$6:A578,A578))</f>
        <v/>
      </c>
    </row>
    <row r="579" customFormat="false" ht="15" hidden="false" customHeight="false" outlineLevel="0" collapsed="false">
      <c r="A579" s="27"/>
      <c r="B579" s="27"/>
      <c r="C579" s="27"/>
      <c r="D579" s="27"/>
      <c r="E579" s="27"/>
      <c r="F579" s="31"/>
      <c r="G579" s="27"/>
      <c r="H579" s="32" t="str">
        <f aca="false">IF(A579="","",A579&amp;"|"&amp;COUNTIF($A$6:A579,A579))</f>
        <v/>
      </c>
    </row>
    <row r="580" customFormat="false" ht="15" hidden="false" customHeight="false" outlineLevel="0" collapsed="false">
      <c r="A580" s="27"/>
      <c r="B580" s="27"/>
      <c r="C580" s="27"/>
      <c r="D580" s="27"/>
      <c r="E580" s="27"/>
      <c r="F580" s="31"/>
      <c r="G580" s="27"/>
      <c r="H580" s="32" t="str">
        <f aca="false">IF(A580="","",A580&amp;"|"&amp;COUNTIF($A$6:A580,A580))</f>
        <v/>
      </c>
    </row>
    <row r="581" customFormat="false" ht="15" hidden="false" customHeight="false" outlineLevel="0" collapsed="false">
      <c r="A581" s="27"/>
      <c r="B581" s="27"/>
      <c r="C581" s="27"/>
      <c r="D581" s="27"/>
      <c r="E581" s="27"/>
      <c r="F581" s="31"/>
      <c r="G581" s="27"/>
      <c r="H581" s="32" t="str">
        <f aca="false">IF(A581="","",A581&amp;"|"&amp;COUNTIF($A$6:A581,A581))</f>
        <v/>
      </c>
    </row>
    <row r="582" customFormat="false" ht="15" hidden="false" customHeight="false" outlineLevel="0" collapsed="false">
      <c r="A582" s="27"/>
      <c r="B582" s="27"/>
      <c r="C582" s="27"/>
      <c r="D582" s="27"/>
      <c r="E582" s="27"/>
      <c r="F582" s="31"/>
      <c r="G582" s="27"/>
      <c r="H582" s="32" t="str">
        <f aca="false">IF(A582="","",A582&amp;"|"&amp;COUNTIF($A$6:A582,A582))</f>
        <v/>
      </c>
    </row>
    <row r="583" customFormat="false" ht="15" hidden="false" customHeight="false" outlineLevel="0" collapsed="false">
      <c r="A583" s="27"/>
      <c r="B583" s="27"/>
      <c r="C583" s="27"/>
      <c r="D583" s="27"/>
      <c r="E583" s="27"/>
      <c r="F583" s="31"/>
      <c r="G583" s="27"/>
      <c r="H583" s="32" t="str">
        <f aca="false">IF(A583="","",A583&amp;"|"&amp;COUNTIF($A$6:A583,A583))</f>
        <v/>
      </c>
    </row>
    <row r="584" customFormat="false" ht="15" hidden="false" customHeight="false" outlineLevel="0" collapsed="false">
      <c r="A584" s="27"/>
      <c r="B584" s="27"/>
      <c r="C584" s="27"/>
      <c r="D584" s="27"/>
      <c r="E584" s="27"/>
      <c r="F584" s="31"/>
      <c r="G584" s="27"/>
      <c r="H584" s="32" t="str">
        <f aca="false">IF(A584="","",A584&amp;"|"&amp;COUNTIF($A$6:A584,A584))</f>
        <v/>
      </c>
    </row>
    <row r="585" customFormat="false" ht="15" hidden="false" customHeight="false" outlineLevel="0" collapsed="false">
      <c r="A585" s="27"/>
      <c r="B585" s="27"/>
      <c r="C585" s="27"/>
      <c r="D585" s="27"/>
      <c r="E585" s="27"/>
      <c r="F585" s="31"/>
      <c r="G585" s="27"/>
      <c r="H585" s="32" t="str">
        <f aca="false">IF(A585="","",A585&amp;"|"&amp;COUNTIF($A$6:A585,A585))</f>
        <v/>
      </c>
    </row>
    <row r="586" customFormat="false" ht="15" hidden="false" customHeight="false" outlineLevel="0" collapsed="false">
      <c r="A586" s="27"/>
      <c r="B586" s="27"/>
      <c r="C586" s="27"/>
      <c r="D586" s="27"/>
      <c r="E586" s="27"/>
      <c r="F586" s="31"/>
      <c r="G586" s="27"/>
      <c r="H586" s="32" t="str">
        <f aca="false">IF(A586="","",A586&amp;"|"&amp;COUNTIF($A$6:A586,A586))</f>
        <v/>
      </c>
    </row>
    <row r="587" customFormat="false" ht="15" hidden="false" customHeight="false" outlineLevel="0" collapsed="false">
      <c r="A587" s="27"/>
      <c r="B587" s="27"/>
      <c r="C587" s="27"/>
      <c r="D587" s="27"/>
      <c r="E587" s="27"/>
      <c r="F587" s="31"/>
      <c r="G587" s="27"/>
      <c r="H587" s="32" t="str">
        <f aca="false">IF(A587="","",A587&amp;"|"&amp;COUNTIF($A$6:A587,A587))</f>
        <v/>
      </c>
    </row>
    <row r="588" customFormat="false" ht="15" hidden="false" customHeight="false" outlineLevel="0" collapsed="false">
      <c r="A588" s="27"/>
      <c r="B588" s="27"/>
      <c r="C588" s="27"/>
      <c r="D588" s="27"/>
      <c r="E588" s="27"/>
      <c r="F588" s="31"/>
      <c r="G588" s="27"/>
      <c r="H588" s="32" t="str">
        <f aca="false">IF(A588="","",A588&amp;"|"&amp;COUNTIF($A$6:A588,A588))</f>
        <v/>
      </c>
    </row>
    <row r="589" customFormat="false" ht="15" hidden="false" customHeight="false" outlineLevel="0" collapsed="false">
      <c r="A589" s="27"/>
      <c r="B589" s="27"/>
      <c r="C589" s="27"/>
      <c r="D589" s="27"/>
      <c r="E589" s="27"/>
      <c r="F589" s="31"/>
      <c r="G589" s="27"/>
      <c r="H589" s="32" t="str">
        <f aca="false">IF(A589="","",A589&amp;"|"&amp;COUNTIF($A$6:A589,A589))</f>
        <v/>
      </c>
    </row>
    <row r="590" customFormat="false" ht="15" hidden="false" customHeight="false" outlineLevel="0" collapsed="false">
      <c r="A590" s="27"/>
      <c r="B590" s="27"/>
      <c r="C590" s="27"/>
      <c r="D590" s="27"/>
      <c r="E590" s="27"/>
      <c r="F590" s="31"/>
      <c r="G590" s="27"/>
      <c r="H590" s="32" t="str">
        <f aca="false">IF(A590="","",A590&amp;"|"&amp;COUNTIF($A$6:A590,A590))</f>
        <v/>
      </c>
    </row>
    <row r="591" customFormat="false" ht="15" hidden="false" customHeight="false" outlineLevel="0" collapsed="false">
      <c r="A591" s="27"/>
      <c r="B591" s="27"/>
      <c r="C591" s="27"/>
      <c r="D591" s="27"/>
      <c r="E591" s="27"/>
      <c r="F591" s="31"/>
      <c r="G591" s="27"/>
      <c r="H591" s="32" t="str">
        <f aca="false">IF(A591="","",A591&amp;"|"&amp;COUNTIF($A$6:A591,A591))</f>
        <v/>
      </c>
    </row>
    <row r="592" customFormat="false" ht="15" hidden="false" customHeight="false" outlineLevel="0" collapsed="false">
      <c r="A592" s="27"/>
      <c r="B592" s="27"/>
      <c r="C592" s="27"/>
      <c r="D592" s="27"/>
      <c r="E592" s="27"/>
      <c r="F592" s="31"/>
      <c r="G592" s="27"/>
      <c r="H592" s="32" t="str">
        <f aca="false">IF(A592="","",A592&amp;"|"&amp;COUNTIF($A$6:A592,A592))</f>
        <v/>
      </c>
    </row>
    <row r="593" customFormat="false" ht="15" hidden="false" customHeight="false" outlineLevel="0" collapsed="false">
      <c r="A593" s="27"/>
      <c r="B593" s="27"/>
      <c r="C593" s="27"/>
      <c r="D593" s="27"/>
      <c r="E593" s="27"/>
      <c r="F593" s="31"/>
      <c r="G593" s="27"/>
      <c r="H593" s="32" t="str">
        <f aca="false">IF(A593="","",A593&amp;"|"&amp;COUNTIF($A$6:A593,A593))</f>
        <v/>
      </c>
    </row>
    <row r="594" customFormat="false" ht="15" hidden="false" customHeight="false" outlineLevel="0" collapsed="false">
      <c r="A594" s="27"/>
      <c r="B594" s="27"/>
      <c r="C594" s="27"/>
      <c r="D594" s="27"/>
      <c r="E594" s="27"/>
      <c r="F594" s="31"/>
      <c r="G594" s="27"/>
      <c r="H594" s="32" t="str">
        <f aca="false">IF(A594="","",A594&amp;"|"&amp;COUNTIF($A$6:A594,A594))</f>
        <v/>
      </c>
    </row>
    <row r="595" customFormat="false" ht="15" hidden="false" customHeight="false" outlineLevel="0" collapsed="false">
      <c r="A595" s="27"/>
      <c r="B595" s="27"/>
      <c r="C595" s="27"/>
      <c r="D595" s="27"/>
      <c r="E595" s="27"/>
      <c r="F595" s="31"/>
      <c r="G595" s="27"/>
      <c r="H595" s="32" t="str">
        <f aca="false">IF(A595="","",A595&amp;"|"&amp;COUNTIF($A$6:A595,A595))</f>
        <v/>
      </c>
    </row>
    <row r="596" customFormat="false" ht="15" hidden="false" customHeight="false" outlineLevel="0" collapsed="false">
      <c r="A596" s="27"/>
      <c r="B596" s="27"/>
      <c r="C596" s="27"/>
      <c r="D596" s="27"/>
      <c r="E596" s="27"/>
      <c r="F596" s="31"/>
      <c r="G596" s="27"/>
      <c r="H596" s="32" t="str">
        <f aca="false">IF(A596="","",A596&amp;"|"&amp;COUNTIF($A$6:A596,A596))</f>
        <v/>
      </c>
    </row>
    <row r="597" customFormat="false" ht="15" hidden="false" customHeight="false" outlineLevel="0" collapsed="false">
      <c r="A597" s="27"/>
      <c r="B597" s="27"/>
      <c r="C597" s="27"/>
      <c r="D597" s="27"/>
      <c r="E597" s="27"/>
      <c r="F597" s="31"/>
      <c r="G597" s="27"/>
      <c r="H597" s="32" t="str">
        <f aca="false">IF(A597="","",A597&amp;"|"&amp;COUNTIF($A$6:A597,A597))</f>
        <v/>
      </c>
    </row>
    <row r="598" customFormat="false" ht="15" hidden="false" customHeight="false" outlineLevel="0" collapsed="false">
      <c r="A598" s="27"/>
      <c r="B598" s="27"/>
      <c r="C598" s="27"/>
      <c r="D598" s="27"/>
      <c r="E598" s="27"/>
      <c r="F598" s="31"/>
      <c r="G598" s="27"/>
      <c r="H598" s="32" t="str">
        <f aca="false">IF(A598="","",A598&amp;"|"&amp;COUNTIF($A$6:A598,A598))</f>
        <v/>
      </c>
    </row>
    <row r="599" customFormat="false" ht="15" hidden="false" customHeight="false" outlineLevel="0" collapsed="false">
      <c r="A599" s="27"/>
      <c r="B599" s="27"/>
      <c r="C599" s="27"/>
      <c r="D599" s="27"/>
      <c r="E599" s="27"/>
      <c r="F599" s="31"/>
      <c r="G599" s="27"/>
      <c r="H599" s="32" t="str">
        <f aca="false">IF(A599="","",A599&amp;"|"&amp;COUNTIF($A$6:A599,A599))</f>
        <v/>
      </c>
    </row>
    <row r="600" customFormat="false" ht="15" hidden="false" customHeight="false" outlineLevel="0" collapsed="false">
      <c r="A600" s="27"/>
      <c r="B600" s="27"/>
      <c r="C600" s="27"/>
      <c r="D600" s="27"/>
      <c r="E600" s="27"/>
      <c r="F600" s="31"/>
      <c r="G600" s="27"/>
      <c r="H600" s="32" t="str">
        <f aca="false">IF(A600="","",A600&amp;"|"&amp;COUNTIF($A$6:A600,A600))</f>
        <v/>
      </c>
    </row>
    <row r="601" customFormat="false" ht="15" hidden="false" customHeight="false" outlineLevel="0" collapsed="false">
      <c r="A601" s="27"/>
      <c r="B601" s="27"/>
      <c r="C601" s="27"/>
      <c r="D601" s="27"/>
      <c r="E601" s="27"/>
      <c r="F601" s="31"/>
      <c r="G601" s="27"/>
      <c r="H601" s="32" t="str">
        <f aca="false">IF(A601="","",A601&amp;"|"&amp;COUNTIF($A$6:A601,A601))</f>
        <v/>
      </c>
    </row>
    <row r="602" customFormat="false" ht="15" hidden="false" customHeight="false" outlineLevel="0" collapsed="false">
      <c r="A602" s="27"/>
      <c r="B602" s="27"/>
      <c r="C602" s="27"/>
      <c r="D602" s="27"/>
      <c r="E602" s="27"/>
      <c r="F602" s="31"/>
      <c r="G602" s="27"/>
      <c r="H602" s="32" t="str">
        <f aca="false">IF(A602="","",A602&amp;"|"&amp;COUNTIF($A$6:A602,A602))</f>
        <v/>
      </c>
    </row>
    <row r="603" customFormat="false" ht="15" hidden="false" customHeight="false" outlineLevel="0" collapsed="false">
      <c r="A603" s="27"/>
      <c r="B603" s="27"/>
      <c r="C603" s="27"/>
      <c r="D603" s="27"/>
      <c r="E603" s="27"/>
      <c r="F603" s="31"/>
      <c r="G603" s="27"/>
      <c r="H603" s="32" t="str">
        <f aca="false">IF(A603="","",A603&amp;"|"&amp;COUNTIF($A$6:A603,A603))</f>
        <v/>
      </c>
    </row>
    <row r="604" customFormat="false" ht="15" hidden="false" customHeight="false" outlineLevel="0" collapsed="false">
      <c r="A604" s="27"/>
      <c r="B604" s="27"/>
      <c r="C604" s="27"/>
      <c r="D604" s="27"/>
      <c r="E604" s="27"/>
      <c r="F604" s="31"/>
      <c r="G604" s="27"/>
      <c r="H604" s="32" t="str">
        <f aca="false">IF(A604="","",A604&amp;"|"&amp;COUNTIF($A$6:A604,A604))</f>
        <v/>
      </c>
    </row>
    <row r="605" customFormat="false" ht="15" hidden="false" customHeight="false" outlineLevel="0" collapsed="false">
      <c r="A605" s="27"/>
      <c r="B605" s="27"/>
      <c r="C605" s="27"/>
      <c r="D605" s="27"/>
      <c r="E605" s="27"/>
      <c r="F605" s="31"/>
      <c r="G605" s="27"/>
      <c r="H605" s="32" t="str">
        <f aca="false">IF(A605="","",A605&amp;"|"&amp;COUNTIF($A$6:A605,A605))</f>
        <v/>
      </c>
    </row>
    <row r="606" customFormat="false" ht="15" hidden="false" customHeight="false" outlineLevel="0" collapsed="false">
      <c r="A606" s="27"/>
      <c r="B606" s="27"/>
      <c r="C606" s="27"/>
      <c r="D606" s="27"/>
      <c r="E606" s="27"/>
      <c r="F606" s="31"/>
      <c r="G606" s="27"/>
      <c r="H606" s="32" t="str">
        <f aca="false">IF(A606="","",A606&amp;"|"&amp;COUNTIF($A$6:A606,A606))</f>
        <v/>
      </c>
    </row>
    <row r="607" customFormat="false" ht="15" hidden="false" customHeight="false" outlineLevel="0" collapsed="false">
      <c r="A607" s="27"/>
      <c r="B607" s="27"/>
      <c r="C607" s="27"/>
      <c r="D607" s="27"/>
      <c r="E607" s="27"/>
      <c r="F607" s="31"/>
      <c r="G607" s="27"/>
      <c r="H607" s="32" t="str">
        <f aca="false">IF(A607="","",A607&amp;"|"&amp;COUNTIF($A$6:A607,A607))</f>
        <v/>
      </c>
    </row>
    <row r="608" customFormat="false" ht="15" hidden="false" customHeight="false" outlineLevel="0" collapsed="false">
      <c r="A608" s="27"/>
      <c r="B608" s="27"/>
      <c r="C608" s="27"/>
      <c r="D608" s="27"/>
      <c r="E608" s="27"/>
      <c r="F608" s="31"/>
      <c r="G608" s="27"/>
      <c r="H608" s="32" t="str">
        <f aca="false">IF(A608="","",A608&amp;"|"&amp;COUNTIF($A$6:A608,A608))</f>
        <v/>
      </c>
    </row>
    <row r="609" customFormat="false" ht="15" hidden="false" customHeight="false" outlineLevel="0" collapsed="false">
      <c r="A609" s="27"/>
      <c r="B609" s="27"/>
      <c r="C609" s="27"/>
      <c r="D609" s="27"/>
      <c r="E609" s="27"/>
      <c r="F609" s="31"/>
      <c r="G609" s="27"/>
      <c r="H609" s="32" t="str">
        <f aca="false">IF(A609="","",A609&amp;"|"&amp;COUNTIF($A$6:A609,A609))</f>
        <v/>
      </c>
    </row>
    <row r="610" customFormat="false" ht="15" hidden="false" customHeight="false" outlineLevel="0" collapsed="false">
      <c r="A610" s="27"/>
      <c r="B610" s="27"/>
      <c r="C610" s="27"/>
      <c r="D610" s="27"/>
      <c r="E610" s="27"/>
      <c r="F610" s="31"/>
      <c r="G610" s="27"/>
      <c r="H610" s="32" t="str">
        <f aca="false">IF(A610="","",A610&amp;"|"&amp;COUNTIF($A$6:A610,A610))</f>
        <v/>
      </c>
    </row>
    <row r="611" customFormat="false" ht="15" hidden="false" customHeight="false" outlineLevel="0" collapsed="false">
      <c r="A611" s="27"/>
      <c r="B611" s="27"/>
      <c r="C611" s="27"/>
      <c r="D611" s="27"/>
      <c r="E611" s="27"/>
      <c r="F611" s="31"/>
      <c r="G611" s="27"/>
      <c r="H611" s="32" t="str">
        <f aca="false">IF(A611="","",A611&amp;"|"&amp;COUNTIF($A$6:A611,A611))</f>
        <v/>
      </c>
    </row>
    <row r="612" customFormat="false" ht="15" hidden="false" customHeight="false" outlineLevel="0" collapsed="false">
      <c r="A612" s="27"/>
      <c r="B612" s="27"/>
      <c r="C612" s="27"/>
      <c r="D612" s="27"/>
      <c r="E612" s="27"/>
      <c r="F612" s="31"/>
      <c r="G612" s="27"/>
      <c r="H612" s="32" t="str">
        <f aca="false">IF(A612="","",A612&amp;"|"&amp;COUNTIF($A$6:A612,A612))</f>
        <v/>
      </c>
    </row>
    <row r="613" customFormat="false" ht="15" hidden="false" customHeight="false" outlineLevel="0" collapsed="false">
      <c r="A613" s="27"/>
      <c r="B613" s="27"/>
      <c r="C613" s="27"/>
      <c r="D613" s="27"/>
      <c r="E613" s="27"/>
      <c r="F613" s="31"/>
      <c r="G613" s="27"/>
      <c r="H613" s="32" t="str">
        <f aca="false">IF(A613="","",A613&amp;"|"&amp;COUNTIF($A$6:A613,A613))</f>
        <v/>
      </c>
    </row>
    <row r="614" customFormat="false" ht="15" hidden="false" customHeight="false" outlineLevel="0" collapsed="false">
      <c r="A614" s="27"/>
      <c r="B614" s="27"/>
      <c r="C614" s="27"/>
      <c r="D614" s="27"/>
      <c r="E614" s="27"/>
      <c r="F614" s="31"/>
      <c r="G614" s="27"/>
      <c r="H614" s="32" t="str">
        <f aca="false">IF(A614="","",A614&amp;"|"&amp;COUNTIF($A$6:A614,A614))</f>
        <v/>
      </c>
    </row>
    <row r="615" customFormat="false" ht="15" hidden="false" customHeight="false" outlineLevel="0" collapsed="false">
      <c r="A615" s="27"/>
      <c r="B615" s="27"/>
      <c r="C615" s="27"/>
      <c r="D615" s="27"/>
      <c r="E615" s="27"/>
      <c r="F615" s="31"/>
      <c r="G615" s="27"/>
      <c r="H615" s="32" t="str">
        <f aca="false">IF(A615="","",A615&amp;"|"&amp;COUNTIF($A$6:A615,A615))</f>
        <v/>
      </c>
    </row>
    <row r="616" customFormat="false" ht="15" hidden="false" customHeight="false" outlineLevel="0" collapsed="false">
      <c r="A616" s="27"/>
      <c r="B616" s="27"/>
      <c r="C616" s="27"/>
      <c r="D616" s="27"/>
      <c r="E616" s="27"/>
      <c r="F616" s="31"/>
      <c r="G616" s="27"/>
      <c r="H616" s="32" t="str">
        <f aca="false">IF(A616="","",A616&amp;"|"&amp;COUNTIF($A$6:A616,A616))</f>
        <v/>
      </c>
    </row>
    <row r="617" customFormat="false" ht="15" hidden="false" customHeight="false" outlineLevel="0" collapsed="false">
      <c r="A617" s="27"/>
      <c r="B617" s="27"/>
      <c r="C617" s="27"/>
      <c r="D617" s="27"/>
      <c r="E617" s="27"/>
      <c r="F617" s="31"/>
      <c r="G617" s="27"/>
      <c r="H617" s="32" t="str">
        <f aca="false">IF(A617="","",A617&amp;"|"&amp;COUNTIF($A$6:A617,A617))</f>
        <v/>
      </c>
    </row>
    <row r="618" customFormat="false" ht="15" hidden="false" customHeight="false" outlineLevel="0" collapsed="false">
      <c r="A618" s="27"/>
      <c r="B618" s="27"/>
      <c r="C618" s="27"/>
      <c r="D618" s="27"/>
      <c r="E618" s="27"/>
      <c r="F618" s="31"/>
      <c r="G618" s="27"/>
      <c r="H618" s="32" t="str">
        <f aca="false">IF(A618="","",A618&amp;"|"&amp;COUNTIF($A$6:A618,A618))</f>
        <v/>
      </c>
    </row>
    <row r="619" customFormat="false" ht="15" hidden="false" customHeight="false" outlineLevel="0" collapsed="false">
      <c r="A619" s="27"/>
      <c r="B619" s="27"/>
      <c r="C619" s="27"/>
      <c r="D619" s="27"/>
      <c r="E619" s="27"/>
      <c r="F619" s="31"/>
      <c r="G619" s="27"/>
      <c r="H619" s="32" t="str">
        <f aca="false">IF(A619="","",A619&amp;"|"&amp;COUNTIF($A$6:A619,A619))</f>
        <v/>
      </c>
    </row>
    <row r="620" customFormat="false" ht="15" hidden="false" customHeight="false" outlineLevel="0" collapsed="false">
      <c r="A620" s="27"/>
      <c r="B620" s="27"/>
      <c r="C620" s="27"/>
      <c r="D620" s="27"/>
      <c r="E620" s="27"/>
      <c r="F620" s="31"/>
      <c r="G620" s="27"/>
      <c r="H620" s="32" t="str">
        <f aca="false">IF(A620="","",A620&amp;"|"&amp;COUNTIF($A$6:A620,A620))</f>
        <v/>
      </c>
    </row>
    <row r="621" customFormat="false" ht="15" hidden="false" customHeight="false" outlineLevel="0" collapsed="false">
      <c r="A621" s="27"/>
      <c r="B621" s="27"/>
      <c r="C621" s="27"/>
      <c r="D621" s="27"/>
      <c r="E621" s="27"/>
      <c r="F621" s="31"/>
      <c r="G621" s="27"/>
      <c r="H621" s="32" t="str">
        <f aca="false">IF(A621="","",A621&amp;"|"&amp;COUNTIF($A$6:A621,A621))</f>
        <v/>
      </c>
    </row>
    <row r="622" customFormat="false" ht="15" hidden="false" customHeight="false" outlineLevel="0" collapsed="false">
      <c r="A622" s="27"/>
      <c r="B622" s="27"/>
      <c r="C622" s="27"/>
      <c r="D622" s="27"/>
      <c r="E622" s="27"/>
      <c r="F622" s="31"/>
      <c r="G622" s="27"/>
      <c r="H622" s="32" t="str">
        <f aca="false">IF(A622="","",A622&amp;"|"&amp;COUNTIF($A$6:A622,A622))</f>
        <v/>
      </c>
    </row>
    <row r="623" customFormat="false" ht="15" hidden="false" customHeight="false" outlineLevel="0" collapsed="false">
      <c r="A623" s="27"/>
      <c r="B623" s="27"/>
      <c r="C623" s="27"/>
      <c r="D623" s="27"/>
      <c r="E623" s="27"/>
      <c r="F623" s="31"/>
      <c r="G623" s="27"/>
      <c r="H623" s="32" t="str">
        <f aca="false">IF(A623="","",A623&amp;"|"&amp;COUNTIF($A$6:A623,A623))</f>
        <v/>
      </c>
    </row>
    <row r="624" customFormat="false" ht="15" hidden="false" customHeight="false" outlineLevel="0" collapsed="false">
      <c r="A624" s="27"/>
      <c r="B624" s="27"/>
      <c r="C624" s="27"/>
      <c r="D624" s="27"/>
      <c r="E624" s="27"/>
      <c r="F624" s="31"/>
      <c r="G624" s="27"/>
      <c r="H624" s="32" t="str">
        <f aca="false">IF(A624="","",A624&amp;"|"&amp;COUNTIF($A$6:A624,A624))</f>
        <v/>
      </c>
    </row>
    <row r="625" customFormat="false" ht="15" hidden="false" customHeight="false" outlineLevel="0" collapsed="false">
      <c r="A625" s="27"/>
      <c r="B625" s="27"/>
      <c r="C625" s="27"/>
      <c r="D625" s="27"/>
      <c r="E625" s="27"/>
      <c r="F625" s="31"/>
      <c r="G625" s="27"/>
      <c r="H625" s="32" t="str">
        <f aca="false">IF(A625="","",A625&amp;"|"&amp;COUNTIF($A$6:A625,A625))</f>
        <v/>
      </c>
    </row>
    <row r="626" customFormat="false" ht="15" hidden="false" customHeight="false" outlineLevel="0" collapsed="false">
      <c r="A626" s="27"/>
      <c r="B626" s="27"/>
      <c r="C626" s="27"/>
      <c r="D626" s="27"/>
      <c r="E626" s="27"/>
      <c r="F626" s="31"/>
      <c r="G626" s="27"/>
      <c r="H626" s="32" t="str">
        <f aca="false">IF(A626="","",A626&amp;"|"&amp;COUNTIF($A$6:A626,A626))</f>
        <v/>
      </c>
    </row>
    <row r="627" customFormat="false" ht="15" hidden="false" customHeight="false" outlineLevel="0" collapsed="false">
      <c r="A627" s="27"/>
      <c r="B627" s="27"/>
      <c r="C627" s="27"/>
      <c r="D627" s="27"/>
      <c r="E627" s="27"/>
      <c r="F627" s="31"/>
      <c r="G627" s="27"/>
      <c r="H627" s="32" t="str">
        <f aca="false">IF(A627="","",A627&amp;"|"&amp;COUNTIF($A$6:A627,A627))</f>
        <v/>
      </c>
    </row>
    <row r="628" customFormat="false" ht="15" hidden="false" customHeight="false" outlineLevel="0" collapsed="false">
      <c r="A628" s="27"/>
      <c r="B628" s="27"/>
      <c r="C628" s="27"/>
      <c r="D628" s="27"/>
      <c r="E628" s="27"/>
      <c r="F628" s="31"/>
      <c r="G628" s="27"/>
      <c r="H628" s="32" t="str">
        <f aca="false">IF(A628="","",A628&amp;"|"&amp;COUNTIF($A$6:A628,A628))</f>
        <v/>
      </c>
    </row>
    <row r="629" customFormat="false" ht="15" hidden="false" customHeight="false" outlineLevel="0" collapsed="false">
      <c r="A629" s="27"/>
      <c r="B629" s="27"/>
      <c r="C629" s="27"/>
      <c r="D629" s="27"/>
      <c r="E629" s="27"/>
      <c r="F629" s="31"/>
      <c r="G629" s="27"/>
      <c r="H629" s="32" t="str">
        <f aca="false">IF(A629="","",A629&amp;"|"&amp;COUNTIF($A$6:A629,A629))</f>
        <v/>
      </c>
    </row>
    <row r="630" customFormat="false" ht="15" hidden="false" customHeight="false" outlineLevel="0" collapsed="false">
      <c r="A630" s="27"/>
      <c r="B630" s="27"/>
      <c r="C630" s="27"/>
      <c r="D630" s="27"/>
      <c r="E630" s="27"/>
      <c r="F630" s="31"/>
      <c r="G630" s="27"/>
      <c r="H630" s="32" t="str">
        <f aca="false">IF(A630="","",A630&amp;"|"&amp;COUNTIF($A$6:A630,A630))</f>
        <v/>
      </c>
    </row>
    <row r="631" customFormat="false" ht="15" hidden="false" customHeight="false" outlineLevel="0" collapsed="false">
      <c r="A631" s="27"/>
      <c r="B631" s="27"/>
      <c r="C631" s="27"/>
      <c r="D631" s="27"/>
      <c r="E631" s="27"/>
      <c r="F631" s="31"/>
      <c r="G631" s="27"/>
      <c r="H631" s="32" t="str">
        <f aca="false">IF(A631="","",A631&amp;"|"&amp;COUNTIF($A$6:A631,A631))</f>
        <v/>
      </c>
    </row>
    <row r="632" customFormat="false" ht="15" hidden="false" customHeight="false" outlineLevel="0" collapsed="false">
      <c r="A632" s="27"/>
      <c r="B632" s="27"/>
      <c r="C632" s="27"/>
      <c r="D632" s="27"/>
      <c r="E632" s="27"/>
      <c r="F632" s="31"/>
      <c r="G632" s="27"/>
      <c r="H632" s="32" t="str">
        <f aca="false">IF(A632="","",A632&amp;"|"&amp;COUNTIF($A$6:A632,A632))</f>
        <v/>
      </c>
    </row>
    <row r="633" customFormat="false" ht="15" hidden="false" customHeight="false" outlineLevel="0" collapsed="false">
      <c r="A633" s="27"/>
      <c r="B633" s="27"/>
      <c r="C633" s="27"/>
      <c r="D633" s="27"/>
      <c r="E633" s="27"/>
      <c r="F633" s="31"/>
      <c r="G633" s="27"/>
      <c r="H633" s="32" t="str">
        <f aca="false">IF(A633="","",A633&amp;"|"&amp;COUNTIF($A$6:A633,A633))</f>
        <v/>
      </c>
    </row>
    <row r="634" customFormat="false" ht="15" hidden="false" customHeight="false" outlineLevel="0" collapsed="false">
      <c r="A634" s="27"/>
      <c r="B634" s="27"/>
      <c r="C634" s="27"/>
      <c r="D634" s="27"/>
      <c r="E634" s="27"/>
      <c r="F634" s="31"/>
      <c r="G634" s="27"/>
      <c r="H634" s="32" t="str">
        <f aca="false">IF(A634="","",A634&amp;"|"&amp;COUNTIF($A$6:A634,A634))</f>
        <v/>
      </c>
    </row>
    <row r="635" customFormat="false" ht="15" hidden="false" customHeight="false" outlineLevel="0" collapsed="false">
      <c r="A635" s="27"/>
      <c r="B635" s="27"/>
      <c r="C635" s="27"/>
      <c r="D635" s="27"/>
      <c r="E635" s="27"/>
      <c r="F635" s="31"/>
      <c r="G635" s="27"/>
      <c r="H635" s="32" t="str">
        <f aca="false">IF(A635="","",A635&amp;"|"&amp;COUNTIF($A$6:A635,A635))</f>
        <v/>
      </c>
    </row>
    <row r="636" customFormat="false" ht="15" hidden="false" customHeight="false" outlineLevel="0" collapsed="false">
      <c r="A636" s="27"/>
      <c r="B636" s="27"/>
      <c r="C636" s="27"/>
      <c r="D636" s="27"/>
      <c r="E636" s="27"/>
      <c r="F636" s="31"/>
      <c r="G636" s="27"/>
      <c r="H636" s="32" t="str">
        <f aca="false">IF(A636="","",A636&amp;"|"&amp;COUNTIF($A$6:A636,A636))</f>
        <v/>
      </c>
    </row>
    <row r="637" customFormat="false" ht="15" hidden="false" customHeight="false" outlineLevel="0" collapsed="false">
      <c r="A637" s="27"/>
      <c r="B637" s="27"/>
      <c r="C637" s="27"/>
      <c r="D637" s="27"/>
      <c r="E637" s="27"/>
      <c r="F637" s="31"/>
      <c r="G637" s="27"/>
      <c r="H637" s="32" t="str">
        <f aca="false">IF(A637="","",A637&amp;"|"&amp;COUNTIF($A$6:A637,A637))</f>
        <v/>
      </c>
    </row>
    <row r="638" customFormat="false" ht="15" hidden="false" customHeight="false" outlineLevel="0" collapsed="false">
      <c r="A638" s="27"/>
      <c r="B638" s="27"/>
      <c r="C638" s="27"/>
      <c r="D638" s="27"/>
      <c r="E638" s="27"/>
      <c r="F638" s="31"/>
      <c r="G638" s="27"/>
      <c r="H638" s="32" t="str">
        <f aca="false">IF(A638="","",A638&amp;"|"&amp;COUNTIF($A$6:A638,A638))</f>
        <v/>
      </c>
    </row>
    <row r="639" customFormat="false" ht="15" hidden="false" customHeight="false" outlineLevel="0" collapsed="false">
      <c r="A639" s="27"/>
      <c r="B639" s="27"/>
      <c r="C639" s="27"/>
      <c r="D639" s="27"/>
      <c r="E639" s="27"/>
      <c r="F639" s="31"/>
      <c r="G639" s="27"/>
      <c r="H639" s="32" t="str">
        <f aca="false">IF(A639="","",A639&amp;"|"&amp;COUNTIF($A$6:A639,A639))</f>
        <v/>
      </c>
    </row>
    <row r="640" customFormat="false" ht="15" hidden="false" customHeight="false" outlineLevel="0" collapsed="false">
      <c r="A640" s="27"/>
      <c r="B640" s="27"/>
      <c r="C640" s="27"/>
      <c r="D640" s="27"/>
      <c r="E640" s="27"/>
      <c r="F640" s="31"/>
      <c r="G640" s="27"/>
      <c r="H640" s="32" t="str">
        <f aca="false">IF(A640="","",A640&amp;"|"&amp;COUNTIF($A$6:A640,A640))</f>
        <v/>
      </c>
    </row>
    <row r="641" customFormat="false" ht="15" hidden="false" customHeight="false" outlineLevel="0" collapsed="false">
      <c r="A641" s="27"/>
      <c r="B641" s="27"/>
      <c r="C641" s="27"/>
      <c r="D641" s="27"/>
      <c r="E641" s="27"/>
      <c r="F641" s="31"/>
      <c r="G641" s="27"/>
      <c r="H641" s="32" t="str">
        <f aca="false">IF(A641="","",A641&amp;"|"&amp;COUNTIF($A$6:A641,A641))</f>
        <v/>
      </c>
    </row>
    <row r="642" customFormat="false" ht="15" hidden="false" customHeight="false" outlineLevel="0" collapsed="false">
      <c r="A642" s="27"/>
      <c r="B642" s="27"/>
      <c r="C642" s="27"/>
      <c r="D642" s="27"/>
      <c r="E642" s="27"/>
      <c r="F642" s="31"/>
      <c r="G642" s="27"/>
      <c r="H642" s="32" t="str">
        <f aca="false">IF(A642="","",A642&amp;"|"&amp;COUNTIF($A$6:A642,A642))</f>
        <v/>
      </c>
    </row>
    <row r="643" customFormat="false" ht="15" hidden="false" customHeight="false" outlineLevel="0" collapsed="false">
      <c r="A643" s="27"/>
      <c r="B643" s="27"/>
      <c r="C643" s="27"/>
      <c r="D643" s="27"/>
      <c r="E643" s="27"/>
      <c r="F643" s="31"/>
      <c r="G643" s="27"/>
      <c r="H643" s="32" t="str">
        <f aca="false">IF(A643="","",A643&amp;"|"&amp;COUNTIF($A$6:A643,A643))</f>
        <v/>
      </c>
    </row>
    <row r="644" customFormat="false" ht="15" hidden="false" customHeight="false" outlineLevel="0" collapsed="false">
      <c r="A644" s="27"/>
      <c r="B644" s="27"/>
      <c r="C644" s="27"/>
      <c r="D644" s="27"/>
      <c r="E644" s="27"/>
      <c r="F644" s="31"/>
      <c r="G644" s="27"/>
      <c r="H644" s="32" t="str">
        <f aca="false">IF(A644="","",A644&amp;"|"&amp;COUNTIF($A$6:A644,A644))</f>
        <v/>
      </c>
    </row>
    <row r="645" customFormat="false" ht="15" hidden="false" customHeight="false" outlineLevel="0" collapsed="false">
      <c r="A645" s="27"/>
      <c r="B645" s="27"/>
      <c r="C645" s="27"/>
      <c r="D645" s="27"/>
      <c r="E645" s="27"/>
      <c r="F645" s="31"/>
      <c r="G645" s="27"/>
      <c r="H645" s="32" t="str">
        <f aca="false">IF(A645="","",A645&amp;"|"&amp;COUNTIF($A$6:A645,A645))</f>
        <v/>
      </c>
    </row>
    <row r="646" customFormat="false" ht="15" hidden="false" customHeight="false" outlineLevel="0" collapsed="false">
      <c r="A646" s="27"/>
      <c r="B646" s="27"/>
      <c r="C646" s="27"/>
      <c r="D646" s="27"/>
      <c r="E646" s="27"/>
      <c r="F646" s="31"/>
      <c r="G646" s="27"/>
      <c r="H646" s="32" t="str">
        <f aca="false">IF(A646="","",A646&amp;"|"&amp;COUNTIF($A$6:A646,A646))</f>
        <v/>
      </c>
    </row>
    <row r="647" customFormat="false" ht="15" hidden="false" customHeight="false" outlineLevel="0" collapsed="false">
      <c r="A647" s="27"/>
      <c r="B647" s="27"/>
      <c r="C647" s="27"/>
      <c r="D647" s="27"/>
      <c r="E647" s="27"/>
      <c r="F647" s="31"/>
      <c r="G647" s="27"/>
      <c r="H647" s="32" t="str">
        <f aca="false">IF(A647="","",A647&amp;"|"&amp;COUNTIF($A$6:A647,A647))</f>
        <v/>
      </c>
    </row>
    <row r="648" customFormat="false" ht="15" hidden="false" customHeight="false" outlineLevel="0" collapsed="false">
      <c r="A648" s="27"/>
      <c r="B648" s="27"/>
      <c r="C648" s="27"/>
      <c r="D648" s="27"/>
      <c r="E648" s="27"/>
      <c r="F648" s="31"/>
      <c r="G648" s="27"/>
      <c r="H648" s="32" t="str">
        <f aca="false">IF(A648="","",A648&amp;"|"&amp;COUNTIF($A$6:A648,A648))</f>
        <v/>
      </c>
    </row>
    <row r="649" customFormat="false" ht="15" hidden="false" customHeight="false" outlineLevel="0" collapsed="false">
      <c r="A649" s="27"/>
      <c r="B649" s="27"/>
      <c r="C649" s="27"/>
      <c r="D649" s="27"/>
      <c r="E649" s="27"/>
      <c r="F649" s="31"/>
      <c r="G649" s="27"/>
      <c r="H649" s="32" t="str">
        <f aca="false">IF(A649="","",A649&amp;"|"&amp;COUNTIF($A$6:A649,A649))</f>
        <v/>
      </c>
    </row>
    <row r="650" customFormat="false" ht="15" hidden="false" customHeight="false" outlineLevel="0" collapsed="false">
      <c r="A650" s="27"/>
      <c r="B650" s="27"/>
      <c r="C650" s="27"/>
      <c r="D650" s="27"/>
      <c r="E650" s="27"/>
      <c r="F650" s="31"/>
      <c r="G650" s="27"/>
      <c r="H650" s="32" t="str">
        <f aca="false">IF(A650="","",A650&amp;"|"&amp;COUNTIF($A$6:A650,A650))</f>
        <v/>
      </c>
    </row>
    <row r="651" customFormat="false" ht="15" hidden="false" customHeight="false" outlineLevel="0" collapsed="false">
      <c r="A651" s="27"/>
      <c r="B651" s="27"/>
      <c r="C651" s="27"/>
      <c r="D651" s="27"/>
      <c r="E651" s="27"/>
      <c r="F651" s="31"/>
      <c r="G651" s="27"/>
      <c r="H651" s="32" t="str">
        <f aca="false">IF(A651="","",A651&amp;"|"&amp;COUNTIF($A$6:A651,A651))</f>
        <v/>
      </c>
    </row>
    <row r="652" customFormat="false" ht="15" hidden="false" customHeight="false" outlineLevel="0" collapsed="false">
      <c r="A652" s="27"/>
      <c r="B652" s="27"/>
      <c r="C652" s="27"/>
      <c r="D652" s="27"/>
      <c r="E652" s="27"/>
      <c r="F652" s="31"/>
      <c r="G652" s="27"/>
      <c r="H652" s="32" t="str">
        <f aca="false">IF(A652="","",A652&amp;"|"&amp;COUNTIF($A$6:A652,A652))</f>
        <v/>
      </c>
    </row>
    <row r="653" customFormat="false" ht="15" hidden="false" customHeight="false" outlineLevel="0" collapsed="false">
      <c r="A653" s="27"/>
      <c r="B653" s="27"/>
      <c r="C653" s="27"/>
      <c r="D653" s="27"/>
      <c r="E653" s="27"/>
      <c r="F653" s="31"/>
      <c r="G653" s="27"/>
      <c r="H653" s="32" t="str">
        <f aca="false">IF(A653="","",A653&amp;"|"&amp;COUNTIF($A$6:A653,A653))</f>
        <v/>
      </c>
    </row>
    <row r="654" customFormat="false" ht="15" hidden="false" customHeight="false" outlineLevel="0" collapsed="false">
      <c r="A654" s="27"/>
      <c r="B654" s="27"/>
      <c r="C654" s="27"/>
      <c r="D654" s="27"/>
      <c r="E654" s="27"/>
      <c r="F654" s="31"/>
      <c r="G654" s="27"/>
      <c r="H654" s="32" t="str">
        <f aca="false">IF(A654="","",A654&amp;"|"&amp;COUNTIF($A$6:A654,A654))</f>
        <v/>
      </c>
    </row>
    <row r="655" customFormat="false" ht="15" hidden="false" customHeight="false" outlineLevel="0" collapsed="false">
      <c r="A655" s="27"/>
      <c r="B655" s="27"/>
      <c r="C655" s="27"/>
      <c r="D655" s="27"/>
      <c r="E655" s="27"/>
      <c r="F655" s="31"/>
      <c r="G655" s="27"/>
      <c r="H655" s="32" t="str">
        <f aca="false">IF(A655="","",A655&amp;"|"&amp;COUNTIF($A$6:A655,A655))</f>
        <v/>
      </c>
    </row>
    <row r="656" customFormat="false" ht="15" hidden="false" customHeight="false" outlineLevel="0" collapsed="false">
      <c r="A656" s="27"/>
      <c r="B656" s="27"/>
      <c r="C656" s="27"/>
      <c r="D656" s="27"/>
      <c r="E656" s="27"/>
      <c r="F656" s="31"/>
      <c r="G656" s="27"/>
      <c r="H656" s="32" t="str">
        <f aca="false">IF(A656="","",A656&amp;"|"&amp;COUNTIF($A$6:A656,A656))</f>
        <v/>
      </c>
    </row>
    <row r="657" customFormat="false" ht="15" hidden="false" customHeight="false" outlineLevel="0" collapsed="false">
      <c r="A657" s="27"/>
      <c r="B657" s="27"/>
      <c r="C657" s="27"/>
      <c r="D657" s="27"/>
      <c r="E657" s="27"/>
      <c r="F657" s="31"/>
      <c r="G657" s="27"/>
      <c r="H657" s="32" t="str">
        <f aca="false">IF(A657="","",A657&amp;"|"&amp;COUNTIF($A$6:A657,A657))</f>
        <v/>
      </c>
    </row>
    <row r="658" customFormat="false" ht="15" hidden="false" customHeight="false" outlineLevel="0" collapsed="false">
      <c r="A658" s="27"/>
      <c r="B658" s="27"/>
      <c r="C658" s="27"/>
      <c r="D658" s="27"/>
      <c r="E658" s="27"/>
      <c r="F658" s="31"/>
      <c r="G658" s="27"/>
      <c r="H658" s="32" t="str">
        <f aca="false">IF(A658="","",A658&amp;"|"&amp;COUNTIF($A$6:A658,A658))</f>
        <v/>
      </c>
    </row>
    <row r="659" customFormat="false" ht="15" hidden="false" customHeight="false" outlineLevel="0" collapsed="false">
      <c r="A659" s="27"/>
      <c r="B659" s="27"/>
      <c r="C659" s="27"/>
      <c r="D659" s="27"/>
      <c r="E659" s="27"/>
      <c r="F659" s="31"/>
      <c r="G659" s="27"/>
      <c r="H659" s="32" t="str">
        <f aca="false">IF(A659="","",A659&amp;"|"&amp;COUNTIF($A$6:A659,A659))</f>
        <v/>
      </c>
    </row>
    <row r="660" customFormat="false" ht="15" hidden="false" customHeight="false" outlineLevel="0" collapsed="false">
      <c r="A660" s="27"/>
      <c r="B660" s="27"/>
      <c r="C660" s="27"/>
      <c r="D660" s="27"/>
      <c r="E660" s="27"/>
      <c r="F660" s="31"/>
      <c r="G660" s="27"/>
      <c r="H660" s="32" t="str">
        <f aca="false">IF(A660="","",A660&amp;"|"&amp;COUNTIF($A$6:A660,A660))</f>
        <v/>
      </c>
    </row>
    <row r="661" customFormat="false" ht="15" hidden="false" customHeight="false" outlineLevel="0" collapsed="false">
      <c r="A661" s="27"/>
      <c r="B661" s="27"/>
      <c r="C661" s="27"/>
      <c r="D661" s="27"/>
      <c r="E661" s="27"/>
      <c r="F661" s="31"/>
      <c r="G661" s="27"/>
      <c r="H661" s="32" t="str">
        <f aca="false">IF(A661="","",A661&amp;"|"&amp;COUNTIF($A$6:A661,A661))</f>
        <v/>
      </c>
    </row>
    <row r="662" customFormat="false" ht="15" hidden="false" customHeight="false" outlineLevel="0" collapsed="false">
      <c r="A662" s="27"/>
      <c r="B662" s="27"/>
      <c r="C662" s="27"/>
      <c r="D662" s="27"/>
      <c r="E662" s="27"/>
      <c r="F662" s="31"/>
      <c r="G662" s="27"/>
      <c r="H662" s="32" t="str">
        <f aca="false">IF(A662="","",A662&amp;"|"&amp;COUNTIF($A$6:A662,A662))</f>
        <v/>
      </c>
    </row>
    <row r="663" customFormat="false" ht="15" hidden="false" customHeight="false" outlineLevel="0" collapsed="false">
      <c r="A663" s="27"/>
      <c r="B663" s="27"/>
      <c r="C663" s="27"/>
      <c r="D663" s="27"/>
      <c r="E663" s="27"/>
      <c r="F663" s="31"/>
      <c r="G663" s="27"/>
      <c r="H663" s="32" t="str">
        <f aca="false">IF(A663="","",A663&amp;"|"&amp;COUNTIF($A$6:A663,A663))</f>
        <v/>
      </c>
    </row>
    <row r="664" customFormat="false" ht="15" hidden="false" customHeight="false" outlineLevel="0" collapsed="false">
      <c r="A664" s="27"/>
      <c r="B664" s="27"/>
      <c r="C664" s="27"/>
      <c r="D664" s="27"/>
      <c r="E664" s="27"/>
      <c r="F664" s="31"/>
      <c r="G664" s="27"/>
      <c r="H664" s="32" t="str">
        <f aca="false">IF(A664="","",A664&amp;"|"&amp;COUNTIF($A$6:A664,A664))</f>
        <v/>
      </c>
    </row>
    <row r="665" customFormat="false" ht="15" hidden="false" customHeight="false" outlineLevel="0" collapsed="false">
      <c r="A665" s="27"/>
      <c r="B665" s="27"/>
      <c r="C665" s="27"/>
      <c r="D665" s="27"/>
      <c r="E665" s="27"/>
      <c r="F665" s="31"/>
      <c r="G665" s="27"/>
      <c r="H665" s="32" t="str">
        <f aca="false">IF(A665="","",A665&amp;"|"&amp;COUNTIF($A$6:A665,A665))</f>
        <v/>
      </c>
    </row>
    <row r="666" customFormat="false" ht="15" hidden="false" customHeight="false" outlineLevel="0" collapsed="false">
      <c r="A666" s="27"/>
      <c r="B666" s="27"/>
      <c r="C666" s="27"/>
      <c r="D666" s="27"/>
      <c r="E666" s="27"/>
      <c r="F666" s="31"/>
      <c r="G666" s="27"/>
      <c r="H666" s="32" t="str">
        <f aca="false">IF(A666="","",A666&amp;"|"&amp;COUNTIF($A$6:A666,A666))</f>
        <v/>
      </c>
    </row>
    <row r="667" customFormat="false" ht="15" hidden="false" customHeight="false" outlineLevel="0" collapsed="false">
      <c r="A667" s="27"/>
      <c r="B667" s="27"/>
      <c r="C667" s="27"/>
      <c r="D667" s="27"/>
      <c r="E667" s="27"/>
      <c r="F667" s="31"/>
      <c r="G667" s="27"/>
      <c r="H667" s="32" t="str">
        <f aca="false">IF(A667="","",A667&amp;"|"&amp;COUNTIF($A$6:A667,A667))</f>
        <v/>
      </c>
    </row>
    <row r="668" customFormat="false" ht="15" hidden="false" customHeight="false" outlineLevel="0" collapsed="false">
      <c r="A668" s="27"/>
      <c r="B668" s="27"/>
      <c r="C668" s="27"/>
      <c r="D668" s="27"/>
      <c r="E668" s="27"/>
      <c r="F668" s="31"/>
      <c r="G668" s="27"/>
      <c r="H668" s="32" t="str">
        <f aca="false">IF(A668="","",A668&amp;"|"&amp;COUNTIF($A$6:A668,A668))</f>
        <v/>
      </c>
    </row>
    <row r="669" customFormat="false" ht="15" hidden="false" customHeight="false" outlineLevel="0" collapsed="false">
      <c r="A669" s="27"/>
      <c r="B669" s="27"/>
      <c r="C669" s="27"/>
      <c r="D669" s="27"/>
      <c r="E669" s="27"/>
      <c r="F669" s="31"/>
      <c r="G669" s="27"/>
      <c r="H669" s="32" t="str">
        <f aca="false">IF(A669="","",A669&amp;"|"&amp;COUNTIF($A$6:A669,A669))</f>
        <v/>
      </c>
    </row>
    <row r="670" customFormat="false" ht="15" hidden="false" customHeight="false" outlineLevel="0" collapsed="false">
      <c r="A670" s="27"/>
      <c r="B670" s="27"/>
      <c r="C670" s="27"/>
      <c r="D670" s="27"/>
      <c r="E670" s="27"/>
      <c r="F670" s="31"/>
      <c r="G670" s="27"/>
      <c r="H670" s="32" t="str">
        <f aca="false">IF(A670="","",A670&amp;"|"&amp;COUNTIF($A$6:A670,A670))</f>
        <v/>
      </c>
    </row>
    <row r="671" customFormat="false" ht="15" hidden="false" customHeight="false" outlineLevel="0" collapsed="false">
      <c r="A671" s="27"/>
      <c r="B671" s="27"/>
      <c r="C671" s="27"/>
      <c r="D671" s="27"/>
      <c r="E671" s="27"/>
      <c r="F671" s="31"/>
      <c r="G671" s="27"/>
      <c r="H671" s="32" t="str">
        <f aca="false">IF(A671="","",A671&amp;"|"&amp;COUNTIF($A$6:A671,A671))</f>
        <v/>
      </c>
    </row>
    <row r="672" customFormat="false" ht="15" hidden="false" customHeight="false" outlineLevel="0" collapsed="false">
      <c r="A672" s="27"/>
      <c r="B672" s="27"/>
      <c r="C672" s="27"/>
      <c r="D672" s="27"/>
      <c r="E672" s="27"/>
      <c r="F672" s="31"/>
      <c r="G672" s="27"/>
      <c r="H672" s="32" t="str">
        <f aca="false">IF(A672="","",A672&amp;"|"&amp;COUNTIF($A$6:A672,A672))</f>
        <v/>
      </c>
    </row>
    <row r="673" customFormat="false" ht="15" hidden="false" customHeight="false" outlineLevel="0" collapsed="false">
      <c r="A673" s="27"/>
      <c r="B673" s="27"/>
      <c r="C673" s="27"/>
      <c r="D673" s="27"/>
      <c r="E673" s="27"/>
      <c r="F673" s="31"/>
      <c r="G673" s="27"/>
      <c r="H673" s="32" t="str">
        <f aca="false">IF(A673="","",A673&amp;"|"&amp;COUNTIF($A$6:A673,A673))</f>
        <v/>
      </c>
    </row>
    <row r="674" customFormat="false" ht="15" hidden="false" customHeight="false" outlineLevel="0" collapsed="false">
      <c r="A674" s="27"/>
      <c r="B674" s="27"/>
      <c r="C674" s="27"/>
      <c r="D674" s="27"/>
      <c r="E674" s="27"/>
      <c r="F674" s="31"/>
      <c r="G674" s="27"/>
      <c r="H674" s="32" t="str">
        <f aca="false">IF(A674="","",A674&amp;"|"&amp;COUNTIF($A$6:A674,A674))</f>
        <v/>
      </c>
    </row>
    <row r="675" customFormat="false" ht="15" hidden="false" customHeight="false" outlineLevel="0" collapsed="false">
      <c r="A675" s="27"/>
      <c r="B675" s="27"/>
      <c r="C675" s="27"/>
      <c r="D675" s="27"/>
      <c r="E675" s="27"/>
      <c r="F675" s="31"/>
      <c r="G675" s="27"/>
      <c r="H675" s="32" t="str">
        <f aca="false">IF(A675="","",A675&amp;"|"&amp;COUNTIF($A$6:A675,A675))</f>
        <v/>
      </c>
    </row>
    <row r="676" customFormat="false" ht="15" hidden="false" customHeight="false" outlineLevel="0" collapsed="false">
      <c r="A676" s="27"/>
      <c r="B676" s="27"/>
      <c r="C676" s="27"/>
      <c r="D676" s="27"/>
      <c r="E676" s="27"/>
      <c r="F676" s="31"/>
      <c r="G676" s="27"/>
      <c r="H676" s="32" t="str">
        <f aca="false">IF(A676="","",A676&amp;"|"&amp;COUNTIF($A$6:A676,A676))</f>
        <v/>
      </c>
    </row>
    <row r="677" customFormat="false" ht="15" hidden="false" customHeight="false" outlineLevel="0" collapsed="false">
      <c r="A677" s="27"/>
      <c r="B677" s="27"/>
      <c r="C677" s="27"/>
      <c r="D677" s="27"/>
      <c r="E677" s="27"/>
      <c r="F677" s="31"/>
      <c r="G677" s="27"/>
      <c r="H677" s="32" t="str">
        <f aca="false">IF(A677="","",A677&amp;"|"&amp;COUNTIF($A$6:A677,A677))</f>
        <v/>
      </c>
    </row>
    <row r="678" customFormat="false" ht="15" hidden="false" customHeight="false" outlineLevel="0" collapsed="false">
      <c r="A678" s="27"/>
      <c r="B678" s="27"/>
      <c r="C678" s="27"/>
      <c r="D678" s="27"/>
      <c r="E678" s="27"/>
      <c r="F678" s="31"/>
      <c r="G678" s="27"/>
      <c r="H678" s="32" t="str">
        <f aca="false">IF(A678="","",A678&amp;"|"&amp;COUNTIF($A$6:A678,A678))</f>
        <v/>
      </c>
    </row>
    <row r="679" customFormat="false" ht="15" hidden="false" customHeight="false" outlineLevel="0" collapsed="false">
      <c r="A679" s="27"/>
      <c r="B679" s="27"/>
      <c r="C679" s="27"/>
      <c r="D679" s="27"/>
      <c r="E679" s="27"/>
      <c r="F679" s="31"/>
      <c r="G679" s="27"/>
      <c r="H679" s="32" t="str">
        <f aca="false">IF(A679="","",A679&amp;"|"&amp;COUNTIF($A$6:A679,A679))</f>
        <v/>
      </c>
    </row>
    <row r="680" customFormat="false" ht="15" hidden="false" customHeight="false" outlineLevel="0" collapsed="false">
      <c r="A680" s="27"/>
      <c r="B680" s="27"/>
      <c r="C680" s="27"/>
      <c r="D680" s="27"/>
      <c r="E680" s="27"/>
      <c r="F680" s="31"/>
      <c r="G680" s="27"/>
      <c r="H680" s="32" t="str">
        <f aca="false">IF(A680="","",A680&amp;"|"&amp;COUNTIF($A$6:A680,A680))</f>
        <v/>
      </c>
    </row>
    <row r="681" customFormat="false" ht="15" hidden="false" customHeight="false" outlineLevel="0" collapsed="false">
      <c r="A681" s="27"/>
      <c r="B681" s="27"/>
      <c r="C681" s="27"/>
      <c r="D681" s="27"/>
      <c r="E681" s="27"/>
      <c r="F681" s="31"/>
      <c r="G681" s="27"/>
      <c r="H681" s="32" t="str">
        <f aca="false">IF(A681="","",A681&amp;"|"&amp;COUNTIF($A$6:A681,A681))</f>
        <v/>
      </c>
    </row>
    <row r="682" customFormat="false" ht="15" hidden="false" customHeight="false" outlineLevel="0" collapsed="false">
      <c r="A682" s="27"/>
      <c r="B682" s="27"/>
      <c r="C682" s="27"/>
      <c r="D682" s="27"/>
      <c r="E682" s="27"/>
      <c r="F682" s="31"/>
      <c r="G682" s="27"/>
      <c r="H682" s="32" t="str">
        <f aca="false">IF(A682="","",A682&amp;"|"&amp;COUNTIF($A$6:A682,A682))</f>
        <v/>
      </c>
    </row>
    <row r="683" customFormat="false" ht="15" hidden="false" customHeight="false" outlineLevel="0" collapsed="false">
      <c r="A683" s="27"/>
      <c r="B683" s="27"/>
      <c r="C683" s="27"/>
      <c r="D683" s="27"/>
      <c r="E683" s="27"/>
      <c r="F683" s="31"/>
      <c r="G683" s="27"/>
      <c r="H683" s="32" t="str">
        <f aca="false">IF(A683="","",A683&amp;"|"&amp;COUNTIF($A$6:A683,A683))</f>
        <v/>
      </c>
    </row>
    <row r="684" customFormat="false" ht="15" hidden="false" customHeight="false" outlineLevel="0" collapsed="false">
      <c r="A684" s="27"/>
      <c r="B684" s="27"/>
      <c r="C684" s="27"/>
      <c r="D684" s="27"/>
      <c r="E684" s="27"/>
      <c r="F684" s="31"/>
      <c r="G684" s="27"/>
      <c r="H684" s="32" t="str">
        <f aca="false">IF(A684="","",A684&amp;"|"&amp;COUNTIF($A$6:A684,A684))</f>
        <v/>
      </c>
    </row>
    <row r="685" customFormat="false" ht="15" hidden="false" customHeight="false" outlineLevel="0" collapsed="false">
      <c r="A685" s="27"/>
      <c r="B685" s="27"/>
      <c r="C685" s="27"/>
      <c r="D685" s="27"/>
      <c r="E685" s="27"/>
      <c r="F685" s="31"/>
      <c r="G685" s="27"/>
      <c r="H685" s="32" t="str">
        <f aca="false">IF(A685="","",A685&amp;"|"&amp;COUNTIF($A$6:A685,A685))</f>
        <v/>
      </c>
    </row>
    <row r="686" customFormat="false" ht="15" hidden="false" customHeight="false" outlineLevel="0" collapsed="false">
      <c r="A686" s="27"/>
      <c r="B686" s="27"/>
      <c r="C686" s="27"/>
      <c r="D686" s="27"/>
      <c r="E686" s="27"/>
      <c r="F686" s="31"/>
      <c r="G686" s="27"/>
      <c r="H686" s="32" t="str">
        <f aca="false">IF(A686="","",A686&amp;"|"&amp;COUNTIF($A$6:A686,A686))</f>
        <v/>
      </c>
    </row>
    <row r="687" customFormat="false" ht="15" hidden="false" customHeight="false" outlineLevel="0" collapsed="false">
      <c r="A687" s="27"/>
      <c r="B687" s="27"/>
      <c r="C687" s="27"/>
      <c r="D687" s="27"/>
      <c r="E687" s="27"/>
      <c r="F687" s="31"/>
      <c r="G687" s="27"/>
      <c r="H687" s="32" t="str">
        <f aca="false">IF(A687="","",A687&amp;"|"&amp;COUNTIF($A$6:A687,A687))</f>
        <v/>
      </c>
    </row>
    <row r="688" customFormat="false" ht="15" hidden="false" customHeight="false" outlineLevel="0" collapsed="false">
      <c r="A688" s="27"/>
      <c r="B688" s="27"/>
      <c r="C688" s="27"/>
      <c r="D688" s="27"/>
      <c r="E688" s="27"/>
      <c r="F688" s="31"/>
      <c r="G688" s="27"/>
      <c r="H688" s="32" t="str">
        <f aca="false">IF(A688="","",A688&amp;"|"&amp;COUNTIF($A$6:A688,A688))</f>
        <v/>
      </c>
    </row>
    <row r="689" customFormat="false" ht="15" hidden="false" customHeight="false" outlineLevel="0" collapsed="false">
      <c r="A689" s="27"/>
      <c r="B689" s="27"/>
      <c r="C689" s="27"/>
      <c r="D689" s="27"/>
      <c r="E689" s="27"/>
      <c r="F689" s="31"/>
      <c r="G689" s="27"/>
      <c r="H689" s="32" t="str">
        <f aca="false">IF(A689="","",A689&amp;"|"&amp;COUNTIF($A$6:A689,A689))</f>
        <v/>
      </c>
    </row>
    <row r="690" customFormat="false" ht="15" hidden="false" customHeight="false" outlineLevel="0" collapsed="false">
      <c r="A690" s="27"/>
      <c r="B690" s="27"/>
      <c r="C690" s="27"/>
      <c r="D690" s="27"/>
      <c r="E690" s="27"/>
      <c r="F690" s="31"/>
      <c r="G690" s="27"/>
      <c r="H690" s="32" t="str">
        <f aca="false">IF(A690="","",A690&amp;"|"&amp;COUNTIF($A$6:A690,A690))</f>
        <v/>
      </c>
    </row>
    <row r="691" customFormat="false" ht="15" hidden="false" customHeight="false" outlineLevel="0" collapsed="false">
      <c r="A691" s="27"/>
      <c r="B691" s="27"/>
      <c r="C691" s="27"/>
      <c r="D691" s="27"/>
      <c r="E691" s="27"/>
      <c r="F691" s="31"/>
      <c r="G691" s="27"/>
      <c r="H691" s="32" t="str">
        <f aca="false">IF(A691="","",A691&amp;"|"&amp;COUNTIF($A$6:A691,A691))</f>
        <v/>
      </c>
    </row>
    <row r="692" customFormat="false" ht="15" hidden="false" customHeight="false" outlineLevel="0" collapsed="false">
      <c r="A692" s="27"/>
      <c r="B692" s="27"/>
      <c r="C692" s="27"/>
      <c r="D692" s="27"/>
      <c r="E692" s="27"/>
      <c r="F692" s="31"/>
      <c r="G692" s="27"/>
      <c r="H692" s="32" t="str">
        <f aca="false">IF(A692="","",A692&amp;"|"&amp;COUNTIF($A$6:A692,A692))</f>
        <v/>
      </c>
    </row>
    <row r="693" customFormat="false" ht="15" hidden="false" customHeight="false" outlineLevel="0" collapsed="false">
      <c r="A693" s="27"/>
      <c r="B693" s="27"/>
      <c r="C693" s="27"/>
      <c r="D693" s="27"/>
      <c r="E693" s="27"/>
      <c r="F693" s="31"/>
      <c r="G693" s="27"/>
      <c r="H693" s="32" t="str">
        <f aca="false">IF(A693="","",A693&amp;"|"&amp;COUNTIF($A$6:A693,A693))</f>
        <v/>
      </c>
    </row>
    <row r="694" customFormat="false" ht="15" hidden="false" customHeight="false" outlineLevel="0" collapsed="false">
      <c r="A694" s="27"/>
      <c r="B694" s="27"/>
      <c r="C694" s="27"/>
      <c r="D694" s="27"/>
      <c r="E694" s="27"/>
      <c r="F694" s="31"/>
      <c r="G694" s="27"/>
      <c r="H694" s="32" t="str">
        <f aca="false">IF(A694="","",A694&amp;"|"&amp;COUNTIF($A$6:A694,A694))</f>
        <v/>
      </c>
    </row>
    <row r="695" customFormat="false" ht="15" hidden="false" customHeight="false" outlineLevel="0" collapsed="false">
      <c r="A695" s="27"/>
      <c r="B695" s="27"/>
      <c r="C695" s="27"/>
      <c r="D695" s="27"/>
      <c r="E695" s="27"/>
      <c r="F695" s="31"/>
      <c r="G695" s="27"/>
      <c r="H695" s="32" t="str">
        <f aca="false">IF(A695="","",A695&amp;"|"&amp;COUNTIF($A$6:A695,A695))</f>
        <v/>
      </c>
    </row>
    <row r="696" customFormat="false" ht="15" hidden="false" customHeight="false" outlineLevel="0" collapsed="false">
      <c r="A696" s="27"/>
      <c r="B696" s="27"/>
      <c r="C696" s="27"/>
      <c r="D696" s="27"/>
      <c r="E696" s="27"/>
      <c r="F696" s="31"/>
      <c r="G696" s="27"/>
      <c r="H696" s="32" t="str">
        <f aca="false">IF(A696="","",A696&amp;"|"&amp;COUNTIF($A$6:A696,A696))</f>
        <v/>
      </c>
    </row>
    <row r="697" customFormat="false" ht="15" hidden="false" customHeight="false" outlineLevel="0" collapsed="false">
      <c r="A697" s="27"/>
      <c r="B697" s="27"/>
      <c r="C697" s="27"/>
      <c r="D697" s="27"/>
      <c r="E697" s="27"/>
      <c r="F697" s="31"/>
      <c r="G697" s="27"/>
      <c r="H697" s="32" t="str">
        <f aca="false">IF(A697="","",A697&amp;"|"&amp;COUNTIF($A$6:A697,A697))</f>
        <v/>
      </c>
    </row>
    <row r="698" customFormat="false" ht="15" hidden="false" customHeight="false" outlineLevel="0" collapsed="false">
      <c r="A698" s="27"/>
      <c r="B698" s="27"/>
      <c r="C698" s="27"/>
      <c r="D698" s="27"/>
      <c r="E698" s="27"/>
      <c r="F698" s="31"/>
      <c r="G698" s="27"/>
      <c r="H698" s="32" t="str">
        <f aca="false">IF(A698="","",A698&amp;"|"&amp;COUNTIF($A$6:A698,A698))</f>
        <v/>
      </c>
    </row>
    <row r="699" customFormat="false" ht="15" hidden="false" customHeight="false" outlineLevel="0" collapsed="false">
      <c r="A699" s="27"/>
      <c r="B699" s="27"/>
      <c r="C699" s="27"/>
      <c r="D699" s="27"/>
      <c r="E699" s="27"/>
      <c r="F699" s="31"/>
      <c r="G699" s="27"/>
      <c r="H699" s="32" t="str">
        <f aca="false">IF(A699="","",A699&amp;"|"&amp;COUNTIF($A$6:A699,A699))</f>
        <v/>
      </c>
    </row>
    <row r="700" customFormat="false" ht="15" hidden="false" customHeight="false" outlineLevel="0" collapsed="false">
      <c r="A700" s="27"/>
      <c r="B700" s="27"/>
      <c r="C700" s="27"/>
      <c r="D700" s="27"/>
      <c r="E700" s="27"/>
      <c r="F700" s="31"/>
      <c r="G700" s="27"/>
      <c r="H700" s="32" t="str">
        <f aca="false">IF(A700="","",A700&amp;"|"&amp;COUNTIF($A$6:A700,A700))</f>
        <v/>
      </c>
    </row>
    <row r="701" customFormat="false" ht="15" hidden="false" customHeight="false" outlineLevel="0" collapsed="false">
      <c r="A701" s="27"/>
      <c r="B701" s="27"/>
      <c r="C701" s="27"/>
      <c r="D701" s="27"/>
      <c r="E701" s="27"/>
      <c r="F701" s="31"/>
      <c r="G701" s="27"/>
      <c r="H701" s="32" t="str">
        <f aca="false">IF(A701="","",A701&amp;"|"&amp;COUNTIF($A$6:A701,A701))</f>
        <v/>
      </c>
    </row>
    <row r="702" customFormat="false" ht="15" hidden="false" customHeight="false" outlineLevel="0" collapsed="false">
      <c r="A702" s="27"/>
      <c r="B702" s="27"/>
      <c r="C702" s="27"/>
      <c r="D702" s="27"/>
      <c r="E702" s="27"/>
      <c r="F702" s="31"/>
      <c r="G702" s="27"/>
      <c r="H702" s="32" t="str">
        <f aca="false">IF(A702="","",A702&amp;"|"&amp;COUNTIF($A$6:A702,A702))</f>
        <v/>
      </c>
    </row>
    <row r="703" customFormat="false" ht="15" hidden="false" customHeight="false" outlineLevel="0" collapsed="false">
      <c r="A703" s="27"/>
      <c r="B703" s="27"/>
      <c r="C703" s="27"/>
      <c r="D703" s="27"/>
      <c r="E703" s="27"/>
      <c r="F703" s="31"/>
      <c r="G703" s="27"/>
      <c r="H703" s="32" t="str">
        <f aca="false">IF(A703="","",A703&amp;"|"&amp;COUNTIF($A$6:A703,A703))</f>
        <v/>
      </c>
    </row>
    <row r="704" customFormat="false" ht="15" hidden="false" customHeight="false" outlineLevel="0" collapsed="false">
      <c r="A704" s="27"/>
      <c r="B704" s="27"/>
      <c r="C704" s="27"/>
      <c r="D704" s="27"/>
      <c r="E704" s="27"/>
      <c r="F704" s="31"/>
      <c r="G704" s="27"/>
      <c r="H704" s="32" t="str">
        <f aca="false">IF(A704="","",A704&amp;"|"&amp;COUNTIF($A$6:A704,A704))</f>
        <v/>
      </c>
    </row>
    <row r="705" customFormat="false" ht="15" hidden="false" customHeight="false" outlineLevel="0" collapsed="false">
      <c r="A705" s="27"/>
      <c r="B705" s="27"/>
      <c r="C705" s="27"/>
      <c r="D705" s="27"/>
      <c r="E705" s="27"/>
      <c r="F705" s="31"/>
      <c r="G705" s="27"/>
      <c r="H705" s="32" t="str">
        <f aca="false">IF(A705="","",A705&amp;"|"&amp;COUNTIF($A$6:A705,A705))</f>
        <v/>
      </c>
    </row>
  </sheetData>
  <autoFilter ref="A5:G705"/>
  <dataValidations count="3">
    <dataValidation allowBlank="true" errorStyle="stop" operator="between" showDropDown="false" showErrorMessage="false" showInputMessage="false" sqref="A6:A705" type="list">
      <formula1>Recetas!$A$6:$A$115</formula1>
      <formula2>0</formula2>
    </dataValidation>
    <dataValidation allowBlank="true" errorStyle="stop" operator="between" showDropDown="false" showErrorMessage="false" showInputMessage="false" sqref="D6:D705" type="list">
      <formula1>"Tela principal,Tela 2,Tela 3"</formula1>
      <formula2>0</formula2>
    </dataValidation>
    <dataValidation allowBlank="true" errorStyle="stop" operator="between" showDropDown="false" showErrorMessage="false" showInputMessage="false" sqref="E6:E705" type="list">
      <formula1>"Sublimada,Color de tela,Estampada"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15"/>
    <col collapsed="false" customWidth="true" hidden="false" outlineLevel="0" max="5" min="5" style="0" width="30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1" min="10" style="0" width="12"/>
    <col collapsed="false" customWidth="true" hidden="false" outlineLevel="0" max="12" min="12" style="0" width="50"/>
  </cols>
  <sheetData>
    <row r="1" customFormat="false" ht="17.35" hidden="false" customHeight="false" outlineLevel="0" collapsed="false">
      <c r="A1" s="1" t="s">
        <v>438</v>
      </c>
    </row>
    <row r="2" customFormat="false" ht="15" hidden="false" customHeight="false" outlineLevel="0" collapsed="false">
      <c r="A2" s="2" t="s">
        <v>439</v>
      </c>
    </row>
    <row r="5" customFormat="false" ht="45" hidden="false" customHeight="true" outlineLevel="0" collapsed="false">
      <c r="A5" s="6" t="s">
        <v>440</v>
      </c>
      <c r="B5" s="6" t="s">
        <v>441</v>
      </c>
      <c r="C5" s="6" t="s">
        <v>63</v>
      </c>
      <c r="D5" s="6" t="s">
        <v>8</v>
      </c>
      <c r="E5" s="6" t="s">
        <v>442</v>
      </c>
      <c r="F5" s="6" t="s">
        <v>443</v>
      </c>
      <c r="G5" s="6" t="s">
        <v>444</v>
      </c>
      <c r="H5" s="6" t="s">
        <v>445</v>
      </c>
      <c r="I5" s="6" t="s">
        <v>446</v>
      </c>
      <c r="J5" s="6" t="s">
        <v>447</v>
      </c>
      <c r="K5" s="6" t="s">
        <v>448</v>
      </c>
      <c r="L5" s="6" t="s">
        <v>415</v>
      </c>
    </row>
    <row r="6" customFormat="false" ht="15" hidden="false" customHeight="false" outlineLevel="0" collapsed="false">
      <c r="A6" s="27"/>
      <c r="B6" s="27" t="s">
        <v>449</v>
      </c>
      <c r="C6" s="27" t="s">
        <v>101</v>
      </c>
      <c r="D6" s="27" t="s">
        <v>244</v>
      </c>
      <c r="E6" s="27" t="s">
        <v>103</v>
      </c>
      <c r="F6" s="27" t="n">
        <v>48</v>
      </c>
      <c r="G6" s="27" t="n">
        <v>1.8</v>
      </c>
      <c r="H6" s="27"/>
      <c r="I6" s="27"/>
      <c r="J6" s="9" t="str">
        <f aca="false">IF(E6="","",IFERROR(IF(N(INDEX(Telas!$G$6:$G$105,MATCH(E6,Telas!$A$6:$A$105,0)))=0,"",INDEX(Telas!$G$6:$G$105,MATCH(E6,Telas!$A$6:$A$105,0))),""))</f>
        <v/>
      </c>
      <c r="K6" s="9" t="str">
        <f aca="false">IF(C6="","",IF(AND(ISNUMBER(H6),N(F6)&gt;0),H6/F6,IF(N(J6)=0,"",IF(AND(ISNUMBER(G6),N(F6)&gt;0),G6/F6/J6,IF(ISNUMBER(I6),I6/J6,"")))))</f>
        <v/>
      </c>
      <c r="L6" s="27" t="s">
        <v>450</v>
      </c>
    </row>
    <row r="7" customFormat="false" ht="15" hidden="false" customHeight="false" outlineLevel="0" collapsed="false">
      <c r="A7" s="27"/>
      <c r="B7" s="27" t="s">
        <v>449</v>
      </c>
      <c r="C7" s="27" t="s">
        <v>101</v>
      </c>
      <c r="D7" s="27" t="s">
        <v>72</v>
      </c>
      <c r="E7" s="27" t="s">
        <v>104</v>
      </c>
      <c r="F7" s="27" t="n">
        <v>48</v>
      </c>
      <c r="G7" s="27" t="n">
        <v>1.152</v>
      </c>
      <c r="H7" s="27"/>
      <c r="I7" s="27"/>
      <c r="J7" s="9" t="str">
        <f aca="false">IF(E7="","",IFERROR(IF(N(INDEX(Telas!$G$6:$G$105,MATCH(E7,Telas!$A$6:$A$105,0)))=0,"",INDEX(Telas!$G$6:$G$105,MATCH(E7,Telas!$A$6:$A$105,0))),""))</f>
        <v/>
      </c>
      <c r="K7" s="9" t="str">
        <f aca="false">IF(C7="","",IF(AND(ISNUMBER(H7),N(F7)&gt;0),H7/F7,IF(N(J7)=0,"",IF(AND(ISNUMBER(G7),N(F7)&gt;0),G7/F7/J7,IF(ISNUMBER(I7),I7/J7,"")))))</f>
        <v/>
      </c>
      <c r="L7" s="27" t="s">
        <v>450</v>
      </c>
    </row>
    <row r="8" customFormat="false" ht="15" hidden="false" customHeight="false" outlineLevel="0" collapsed="false">
      <c r="A8" s="27"/>
      <c r="B8" s="27" t="s">
        <v>451</v>
      </c>
      <c r="C8" s="27" t="s">
        <v>118</v>
      </c>
      <c r="D8" s="27" t="s">
        <v>244</v>
      </c>
      <c r="E8" s="27" t="s">
        <v>120</v>
      </c>
      <c r="F8" s="27" t="n">
        <v>20</v>
      </c>
      <c r="G8" s="27" t="n">
        <v>2.45</v>
      </c>
      <c r="H8" s="27"/>
      <c r="I8" s="27"/>
      <c r="J8" s="9" t="n">
        <f aca="false">IF(E8="","",IFERROR(IF(N(INDEX(Telas!$G$6:$G$105,MATCH(E8,Telas!$A$6:$A$105,0)))=0,"",INDEX(Telas!$G$6:$G$105,MATCH(E8,Telas!$A$6:$A$105,0))),""))</f>
        <v>0.197</v>
      </c>
      <c r="K8" s="9" t="n">
        <f aca="false">IF(C8="","",IF(AND(ISNUMBER(H8),N(F8)&gt;0),H8/F8,IF(N(J8)=0,"",IF(AND(ISNUMBER(G8),N(F8)&gt;0),G8/F8/J8,IF(ISNUMBER(I8),I8/J8,"")))))</f>
        <v>0.621827411167513</v>
      </c>
      <c r="L8" s="27" t="s">
        <v>450</v>
      </c>
    </row>
    <row r="9" customFormat="false" ht="15" hidden="false" customHeight="false" outlineLevel="0" collapsed="false">
      <c r="A9" s="27"/>
      <c r="B9" s="27" t="s">
        <v>452</v>
      </c>
      <c r="C9" s="27" t="s">
        <v>4</v>
      </c>
      <c r="D9" s="27" t="s">
        <v>244</v>
      </c>
      <c r="E9" s="27" t="s">
        <v>120</v>
      </c>
      <c r="F9" s="27" t="n">
        <v>20</v>
      </c>
      <c r="G9" s="27" t="n">
        <v>2.4</v>
      </c>
      <c r="H9" s="27"/>
      <c r="I9" s="27"/>
      <c r="J9" s="9" t="n">
        <f aca="false">IF(E9="","",IFERROR(IF(N(INDEX(Telas!$G$6:$G$105,MATCH(E9,Telas!$A$6:$A$105,0)))=0,"",INDEX(Telas!$G$6:$G$105,MATCH(E9,Telas!$A$6:$A$105,0))),""))</f>
        <v>0.197</v>
      </c>
      <c r="K9" s="9" t="n">
        <f aca="false">IF(C9="","",IF(AND(ISNUMBER(H9),N(F9)&gt;0),H9/F9,IF(N(J9)=0,"",IF(AND(ISNUMBER(G9),N(F9)&gt;0),G9/F9/J9,IF(ISNUMBER(I9),I9/J9,"")))))</f>
        <v>0.609137055837563</v>
      </c>
      <c r="L9" s="27" t="s">
        <v>450</v>
      </c>
    </row>
    <row r="10" customFormat="false" ht="15" hidden="false" customHeight="false" outlineLevel="0" collapsed="false">
      <c r="A10" s="27"/>
      <c r="B10" s="27" t="s">
        <v>452</v>
      </c>
      <c r="C10" s="27" t="s">
        <v>4</v>
      </c>
      <c r="D10" s="27" t="s">
        <v>72</v>
      </c>
      <c r="E10" s="27" t="s">
        <v>104</v>
      </c>
      <c r="F10" s="27" t="n">
        <v>20</v>
      </c>
      <c r="G10" s="27" t="n">
        <v>1.55</v>
      </c>
      <c r="H10" s="27"/>
      <c r="I10" s="27"/>
      <c r="J10" s="9" t="str">
        <f aca="false">IF(E10="","",IFERROR(IF(N(INDEX(Telas!$G$6:$G$105,MATCH(E10,Telas!$A$6:$A$105,0)))=0,"",INDEX(Telas!$G$6:$G$105,MATCH(E10,Telas!$A$6:$A$105,0))),""))</f>
        <v/>
      </c>
      <c r="K10" s="9" t="str">
        <f aca="false">IF(C10="","",IF(AND(ISNUMBER(H10),N(F10)&gt;0),H10/F10,IF(N(J10)=0,"",IF(AND(ISNUMBER(G10),N(F10)&gt;0),G10/F10/J10,IF(ISNUMBER(I10),I10/J10,"")))))</f>
        <v/>
      </c>
      <c r="L10" s="27" t="s">
        <v>450</v>
      </c>
    </row>
    <row r="11" customFormat="false" ht="15" hidden="false" customHeight="false" outlineLevel="0" collapsed="false">
      <c r="A11" s="27"/>
      <c r="B11" s="27" t="s">
        <v>453</v>
      </c>
      <c r="C11" s="27" t="s">
        <v>149</v>
      </c>
      <c r="D11" s="27" t="s">
        <v>244</v>
      </c>
      <c r="E11" s="27" t="s">
        <v>150</v>
      </c>
      <c r="F11" s="27" t="n">
        <v>17</v>
      </c>
      <c r="G11" s="27" t="n">
        <v>3.4493</v>
      </c>
      <c r="H11" s="27"/>
      <c r="I11" s="27"/>
      <c r="J11" s="9" t="str">
        <f aca="false">IF(E11="","",IFERROR(IF(N(INDEX(Telas!$G$6:$G$105,MATCH(E11,Telas!$A$6:$A$105,0)))=0,"",INDEX(Telas!$G$6:$G$105,MATCH(E11,Telas!$A$6:$A$105,0))),""))</f>
        <v/>
      </c>
      <c r="K11" s="9" t="str">
        <f aca="false">IF(C11="","",IF(AND(ISNUMBER(H11),N(F11)&gt;0),H11/F11,IF(N(J11)=0,"",IF(AND(ISNUMBER(G11),N(F11)&gt;0),G11/F11/J11,IF(ISNUMBER(I11),I11/J11,"")))))</f>
        <v/>
      </c>
      <c r="L11" s="27" t="s">
        <v>450</v>
      </c>
    </row>
    <row r="12" customFormat="false" ht="15" hidden="false" customHeight="false" outlineLevel="0" collapsed="false">
      <c r="A12" s="27"/>
      <c r="B12" s="27" t="s">
        <v>453</v>
      </c>
      <c r="C12" s="27" t="s">
        <v>178</v>
      </c>
      <c r="D12" s="27" t="s">
        <v>244</v>
      </c>
      <c r="E12" s="27" t="s">
        <v>150</v>
      </c>
      <c r="F12" s="27" t="n">
        <v>17</v>
      </c>
      <c r="G12" s="27" t="n">
        <v>2.5993</v>
      </c>
      <c r="H12" s="27"/>
      <c r="I12" s="27"/>
      <c r="J12" s="9" t="str">
        <f aca="false">IF(E12="","",IFERROR(IF(N(INDEX(Telas!$G$6:$G$105,MATCH(E12,Telas!$A$6:$A$105,0)))=0,"",INDEX(Telas!$G$6:$G$105,MATCH(E12,Telas!$A$6:$A$105,0))),""))</f>
        <v/>
      </c>
      <c r="K12" s="9" t="str">
        <f aca="false">IF(C12="","",IF(AND(ISNUMBER(H12),N(F12)&gt;0),H12/F12,IF(N(J12)=0,"",IF(AND(ISNUMBER(G12),N(F12)&gt;0),G12/F12/J12,IF(ISNUMBER(I12),I12/J12,"")))))</f>
        <v/>
      </c>
      <c r="L12" s="27" t="s">
        <v>450</v>
      </c>
    </row>
    <row r="13" customFormat="false" ht="15" hidden="false" customHeight="false" outlineLevel="0" collapsed="false">
      <c r="A13" s="27"/>
      <c r="B13" s="27" t="s">
        <v>452</v>
      </c>
      <c r="C13" s="27" t="s">
        <v>194</v>
      </c>
      <c r="D13" s="27" t="s">
        <v>244</v>
      </c>
      <c r="E13" s="27" t="s">
        <v>103</v>
      </c>
      <c r="F13" s="27"/>
      <c r="G13" s="27"/>
      <c r="H13" s="27"/>
      <c r="I13" s="27" t="n">
        <v>0.175</v>
      </c>
      <c r="J13" s="9" t="str">
        <f aca="false">IF(E13="","",IFERROR(IF(N(INDEX(Telas!$G$6:$G$105,MATCH(E13,Telas!$A$6:$A$105,0)))=0,"",INDEX(Telas!$G$6:$G$105,MATCH(E13,Telas!$A$6:$A$105,0))),""))</f>
        <v/>
      </c>
      <c r="K13" s="9" t="str">
        <f aca="false">IF(C13="","",IF(AND(ISNUMBER(H13),N(F13)&gt;0),H13/F13,IF(N(J13)=0,"",IF(AND(ISNUMBER(G13),N(F13)&gt;0),G13/F13/J13,IF(ISNUMBER(I13),I13/J13,"")))))</f>
        <v/>
      </c>
      <c r="L13" s="27" t="s">
        <v>450</v>
      </c>
    </row>
    <row r="14" customFormat="false" ht="15" hidden="false" customHeight="false" outlineLevel="0" collapsed="false">
      <c r="A14" s="27"/>
      <c r="B14" s="27" t="s">
        <v>454</v>
      </c>
      <c r="C14" s="27" t="s">
        <v>194</v>
      </c>
      <c r="D14" s="27" t="s">
        <v>244</v>
      </c>
      <c r="E14" s="27" t="s">
        <v>103</v>
      </c>
      <c r="F14" s="27"/>
      <c r="G14" s="27"/>
      <c r="H14" s="27"/>
      <c r="I14" s="27" t="n">
        <v>0.138</v>
      </c>
      <c r="J14" s="9" t="str">
        <f aca="false">IF(E14="","",IFERROR(IF(N(INDEX(Telas!$G$6:$G$105,MATCH(E14,Telas!$A$6:$A$105,0)))=0,"",INDEX(Telas!$G$6:$G$105,MATCH(E14,Telas!$A$6:$A$105,0))),""))</f>
        <v/>
      </c>
      <c r="K14" s="9" t="str">
        <f aca="false">IF(C14="","",IF(AND(ISNUMBER(H14),N(F14)&gt;0),H14/F14,IF(N(J14)=0,"",IF(AND(ISNUMBER(G14),N(F14)&gt;0),G14/F14/J14,IF(ISNUMBER(I14),I14/J14,"")))))</f>
        <v/>
      </c>
      <c r="L14" s="27" t="s">
        <v>450</v>
      </c>
    </row>
    <row r="15" customFormat="false" ht="15" hidden="false" customHeight="false" outlineLevel="0" collapsed="false">
      <c r="A15" s="27"/>
      <c r="B15" s="27" t="s">
        <v>455</v>
      </c>
      <c r="C15" s="27" t="s">
        <v>198</v>
      </c>
      <c r="D15" s="27" t="s">
        <v>244</v>
      </c>
      <c r="E15" s="27" t="s">
        <v>202</v>
      </c>
      <c r="F15" s="27" t="n">
        <v>19</v>
      </c>
      <c r="G15" s="27" t="n">
        <v>3.4998</v>
      </c>
      <c r="H15" s="27"/>
      <c r="I15" s="27"/>
      <c r="J15" s="9" t="str">
        <f aca="false">IF(E15="","",IFERROR(IF(N(INDEX(Telas!$G$6:$G$105,MATCH(E15,Telas!$A$6:$A$105,0)))=0,"",INDEX(Telas!$G$6:$G$105,MATCH(E15,Telas!$A$6:$A$105,0))),""))</f>
        <v/>
      </c>
      <c r="K15" s="9" t="str">
        <f aca="false">IF(C15="","",IF(AND(ISNUMBER(H15),N(F15)&gt;0),H15/F15,IF(N(J15)=0,"",IF(AND(ISNUMBER(G15),N(F15)&gt;0),G15/F15/J15,IF(ISNUMBER(I15),I15/J15,"")))))</f>
        <v/>
      </c>
      <c r="L15" s="27" t="s">
        <v>450</v>
      </c>
    </row>
    <row r="16" customFormat="false" ht="15" hidden="false" customHeight="false" outlineLevel="0" collapsed="false">
      <c r="A16" s="27"/>
      <c r="B16" s="27" t="s">
        <v>456</v>
      </c>
      <c r="C16" s="27" t="s">
        <v>204</v>
      </c>
      <c r="D16" s="27" t="s">
        <v>244</v>
      </c>
      <c r="E16" s="27" t="s">
        <v>208</v>
      </c>
      <c r="F16" s="27" t="n">
        <v>25</v>
      </c>
      <c r="G16" s="27" t="n">
        <v>2.05</v>
      </c>
      <c r="H16" s="27"/>
      <c r="I16" s="27"/>
      <c r="J16" s="9" t="n">
        <f aca="false">IF(E16="","",IFERROR(IF(N(INDEX(Telas!$G$6:$G$105,MATCH(E16,Telas!$A$6:$A$105,0)))=0,"",INDEX(Telas!$G$6:$G$105,MATCH(E16,Telas!$A$6:$A$105,0))),""))</f>
        <v>0.198</v>
      </c>
      <c r="K16" s="9" t="n">
        <f aca="false">IF(C16="","",IF(AND(ISNUMBER(H16),N(F16)&gt;0),H16/F16,IF(N(J16)=0,"",IF(AND(ISNUMBER(G16),N(F16)&gt;0),G16/F16/J16,IF(ISNUMBER(I16),I16/J16,"")))))</f>
        <v>0.414141414141414</v>
      </c>
      <c r="L16" s="27" t="s">
        <v>450</v>
      </c>
    </row>
    <row r="17" customFormat="false" ht="15" hidden="false" customHeight="false" outlineLevel="0" collapsed="false">
      <c r="A17" s="27"/>
      <c r="B17" s="27" t="s">
        <v>457</v>
      </c>
      <c r="C17" s="27" t="s">
        <v>210</v>
      </c>
      <c r="D17" s="27" t="s">
        <v>244</v>
      </c>
      <c r="E17" s="27" t="s">
        <v>214</v>
      </c>
      <c r="F17" s="27" t="n">
        <v>5</v>
      </c>
      <c r="G17" s="27" t="n">
        <v>0.37</v>
      </c>
      <c r="H17" s="27"/>
      <c r="I17" s="27"/>
      <c r="J17" s="9" t="str">
        <f aca="false">IF(E17="","",IFERROR(IF(N(INDEX(Telas!$G$6:$G$105,MATCH(E17,Telas!$A$6:$A$105,0)))=0,"",INDEX(Telas!$G$6:$G$105,MATCH(E17,Telas!$A$6:$A$105,0))),""))</f>
        <v/>
      </c>
      <c r="K17" s="9" t="str">
        <f aca="false">IF(C17="","",IF(AND(ISNUMBER(H17),N(F17)&gt;0),H17/F17,IF(N(J17)=0,"",IF(AND(ISNUMBER(G17),N(F17)&gt;0),G17/F17/J17,IF(ISNUMBER(I17),I17/J17,"")))))</f>
        <v/>
      </c>
      <c r="L17" s="27" t="s">
        <v>450</v>
      </c>
    </row>
    <row r="18" customFormat="false" ht="15" hidden="false" customHeight="false" outlineLevel="0" collapsed="false">
      <c r="A18" s="27"/>
      <c r="B18" s="27"/>
      <c r="C18" s="27"/>
      <c r="D18" s="27"/>
      <c r="E18" s="27"/>
      <c r="F18" s="27"/>
      <c r="G18" s="27"/>
      <c r="H18" s="27"/>
      <c r="I18" s="27"/>
      <c r="J18" s="9" t="str">
        <f aca="false">IF(E18="","",IFERROR(IF(N(INDEX(Telas!$G$6:$G$105,MATCH(E18,Telas!$A$6:$A$105,0)))=0,"",INDEX(Telas!$G$6:$G$105,MATCH(E18,Telas!$A$6:$A$105,0))),""))</f>
        <v/>
      </c>
      <c r="K18" s="9" t="str">
        <f aca="false">IF(C18="","",IF(AND(ISNUMBER(H18),N(F18)&gt;0),H18/F18,IF(N(J18)=0,"",IF(AND(ISNUMBER(G18),N(F18)&gt;0),G18/F18/J18,IF(ISNUMBER(I18),I18/J18,"")))))</f>
        <v/>
      </c>
      <c r="L18" s="27"/>
    </row>
    <row r="19" customFormat="false" ht="15" hidden="false" customHeight="false" outlineLevel="0" collapsed="false">
      <c r="A19" s="27"/>
      <c r="B19" s="27"/>
      <c r="C19" s="27"/>
      <c r="D19" s="27"/>
      <c r="E19" s="27"/>
      <c r="F19" s="27"/>
      <c r="G19" s="27"/>
      <c r="H19" s="27"/>
      <c r="I19" s="27"/>
      <c r="J19" s="9" t="str">
        <f aca="false">IF(E19="","",IFERROR(IF(N(INDEX(Telas!$G$6:$G$105,MATCH(E19,Telas!$A$6:$A$105,0)))=0,"",INDEX(Telas!$G$6:$G$105,MATCH(E19,Telas!$A$6:$A$105,0))),""))</f>
        <v/>
      </c>
      <c r="K19" s="9" t="str">
        <f aca="false">IF(C19="","",IF(AND(ISNUMBER(H19),N(F19)&gt;0),H19/F19,IF(N(J19)=0,"",IF(AND(ISNUMBER(G19),N(F19)&gt;0),G19/F19/J19,IF(ISNUMBER(I19),I19/J19,"")))))</f>
        <v/>
      </c>
      <c r="L19" s="27"/>
    </row>
    <row r="20" customFormat="false" ht="15" hidden="false" customHeight="false" outlineLevel="0" collapsed="false">
      <c r="A20" s="27"/>
      <c r="B20" s="27"/>
      <c r="C20" s="27"/>
      <c r="D20" s="27"/>
      <c r="E20" s="27"/>
      <c r="F20" s="27"/>
      <c r="G20" s="27"/>
      <c r="H20" s="27"/>
      <c r="I20" s="27"/>
      <c r="J20" s="9" t="str">
        <f aca="false">IF(E20="","",IFERROR(IF(N(INDEX(Telas!$G$6:$G$105,MATCH(E20,Telas!$A$6:$A$105,0)))=0,"",INDEX(Telas!$G$6:$G$105,MATCH(E20,Telas!$A$6:$A$105,0))),""))</f>
        <v/>
      </c>
      <c r="K20" s="9" t="str">
        <f aca="false">IF(C20="","",IF(AND(ISNUMBER(H20),N(F20)&gt;0),H20/F20,IF(N(J20)=0,"",IF(AND(ISNUMBER(G20),N(F20)&gt;0),G20/F20/J20,IF(ISNUMBER(I20),I20/J20,"")))))</f>
        <v/>
      </c>
      <c r="L20" s="27"/>
    </row>
    <row r="21" customFormat="false" ht="15" hidden="false" customHeight="false" outlineLevel="0" collapsed="false">
      <c r="A21" s="27"/>
      <c r="B21" s="27"/>
      <c r="C21" s="27"/>
      <c r="D21" s="27"/>
      <c r="E21" s="27"/>
      <c r="F21" s="27"/>
      <c r="G21" s="27"/>
      <c r="H21" s="27"/>
      <c r="I21" s="27"/>
      <c r="J21" s="9" t="str">
        <f aca="false">IF(E21="","",IFERROR(IF(N(INDEX(Telas!$G$6:$G$105,MATCH(E21,Telas!$A$6:$A$105,0)))=0,"",INDEX(Telas!$G$6:$G$105,MATCH(E21,Telas!$A$6:$A$105,0))),""))</f>
        <v/>
      </c>
      <c r="K21" s="9" t="str">
        <f aca="false">IF(C21="","",IF(AND(ISNUMBER(H21),N(F21)&gt;0),H21/F21,IF(N(J21)=0,"",IF(AND(ISNUMBER(G21),N(F21)&gt;0),G21/F21/J21,IF(ISNUMBER(I21),I21/J21,"")))))</f>
        <v/>
      </c>
      <c r="L21" s="27"/>
    </row>
    <row r="22" customFormat="false" ht="15" hidden="false" customHeight="false" outlineLevel="0" collapsed="false">
      <c r="A22" s="27"/>
      <c r="B22" s="27"/>
      <c r="C22" s="27"/>
      <c r="D22" s="27"/>
      <c r="E22" s="27"/>
      <c r="F22" s="27"/>
      <c r="G22" s="27"/>
      <c r="H22" s="27"/>
      <c r="I22" s="27"/>
      <c r="J22" s="9" t="str">
        <f aca="false">IF(E22="","",IFERROR(IF(N(INDEX(Telas!$G$6:$G$105,MATCH(E22,Telas!$A$6:$A$105,0)))=0,"",INDEX(Telas!$G$6:$G$105,MATCH(E22,Telas!$A$6:$A$105,0))),""))</f>
        <v/>
      </c>
      <c r="K22" s="9" t="str">
        <f aca="false">IF(C22="","",IF(AND(ISNUMBER(H22),N(F22)&gt;0),H22/F22,IF(N(J22)=0,"",IF(AND(ISNUMBER(G22),N(F22)&gt;0),G22/F22/J22,IF(ISNUMBER(I22),I22/J22,"")))))</f>
        <v/>
      </c>
      <c r="L22" s="27"/>
    </row>
    <row r="23" customFormat="false" ht="15" hidden="false" customHeight="false" outlineLevel="0" collapsed="false">
      <c r="A23" s="27"/>
      <c r="B23" s="27"/>
      <c r="C23" s="27"/>
      <c r="D23" s="27"/>
      <c r="E23" s="27"/>
      <c r="F23" s="27"/>
      <c r="G23" s="27"/>
      <c r="H23" s="27"/>
      <c r="I23" s="27"/>
      <c r="J23" s="9" t="str">
        <f aca="false">IF(E23="","",IFERROR(IF(N(INDEX(Telas!$G$6:$G$105,MATCH(E23,Telas!$A$6:$A$105,0)))=0,"",INDEX(Telas!$G$6:$G$105,MATCH(E23,Telas!$A$6:$A$105,0))),""))</f>
        <v/>
      </c>
      <c r="K23" s="9" t="str">
        <f aca="false">IF(C23="","",IF(AND(ISNUMBER(H23),N(F23)&gt;0),H23/F23,IF(N(J23)=0,"",IF(AND(ISNUMBER(G23),N(F23)&gt;0),G23/F23/J23,IF(ISNUMBER(I23),I23/J23,"")))))</f>
        <v/>
      </c>
      <c r="L23" s="27"/>
    </row>
    <row r="24" customFormat="false" ht="15" hidden="false" customHeight="false" outlineLevel="0" collapsed="false">
      <c r="A24" s="27"/>
      <c r="B24" s="27"/>
      <c r="C24" s="27"/>
      <c r="D24" s="27"/>
      <c r="E24" s="27"/>
      <c r="F24" s="27"/>
      <c r="G24" s="27"/>
      <c r="H24" s="27"/>
      <c r="I24" s="27"/>
      <c r="J24" s="9" t="str">
        <f aca="false">IF(E24="","",IFERROR(IF(N(INDEX(Telas!$G$6:$G$105,MATCH(E24,Telas!$A$6:$A$105,0)))=0,"",INDEX(Telas!$G$6:$G$105,MATCH(E24,Telas!$A$6:$A$105,0))),""))</f>
        <v/>
      </c>
      <c r="K24" s="9" t="str">
        <f aca="false">IF(C24="","",IF(AND(ISNUMBER(H24),N(F24)&gt;0),H24/F24,IF(N(J24)=0,"",IF(AND(ISNUMBER(G24),N(F24)&gt;0),G24/F24/J24,IF(ISNUMBER(I24),I24/J24,"")))))</f>
        <v/>
      </c>
      <c r="L24" s="27"/>
    </row>
    <row r="25" customFormat="false" ht="15" hidden="false" customHeight="false" outlineLevel="0" collapsed="false">
      <c r="A25" s="27"/>
      <c r="B25" s="27"/>
      <c r="C25" s="27"/>
      <c r="D25" s="27"/>
      <c r="E25" s="27"/>
      <c r="F25" s="27"/>
      <c r="G25" s="27"/>
      <c r="H25" s="27"/>
      <c r="I25" s="27"/>
      <c r="J25" s="9" t="str">
        <f aca="false">IF(E25="","",IFERROR(IF(N(INDEX(Telas!$G$6:$G$105,MATCH(E25,Telas!$A$6:$A$105,0)))=0,"",INDEX(Telas!$G$6:$G$105,MATCH(E25,Telas!$A$6:$A$105,0))),""))</f>
        <v/>
      </c>
      <c r="K25" s="9" t="str">
        <f aca="false">IF(C25="","",IF(AND(ISNUMBER(H25),N(F25)&gt;0),H25/F25,IF(N(J25)=0,"",IF(AND(ISNUMBER(G25),N(F25)&gt;0),G25/F25/J25,IF(ISNUMBER(I25),I25/J25,"")))))</f>
        <v/>
      </c>
      <c r="L25" s="27"/>
    </row>
    <row r="26" customFormat="false" ht="15" hidden="false" customHeight="false" outlineLevel="0" collapsed="false">
      <c r="A26" s="27"/>
      <c r="B26" s="27"/>
      <c r="C26" s="27"/>
      <c r="D26" s="27"/>
      <c r="E26" s="27"/>
      <c r="F26" s="27"/>
      <c r="G26" s="27"/>
      <c r="H26" s="27"/>
      <c r="I26" s="27"/>
      <c r="J26" s="9" t="str">
        <f aca="false">IF(E26="","",IFERROR(IF(N(INDEX(Telas!$G$6:$G$105,MATCH(E26,Telas!$A$6:$A$105,0)))=0,"",INDEX(Telas!$G$6:$G$105,MATCH(E26,Telas!$A$6:$A$105,0))),""))</f>
        <v/>
      </c>
      <c r="K26" s="9" t="str">
        <f aca="false">IF(C26="","",IF(AND(ISNUMBER(H26),N(F26)&gt;0),H26/F26,IF(N(J26)=0,"",IF(AND(ISNUMBER(G26),N(F26)&gt;0),G26/F26/J26,IF(ISNUMBER(I26),I26/J26,"")))))</f>
        <v/>
      </c>
      <c r="L26" s="27"/>
    </row>
    <row r="27" customFormat="false" ht="15" hidden="false" customHeight="false" outlineLevel="0" collapsed="false">
      <c r="A27" s="27"/>
      <c r="B27" s="27"/>
      <c r="C27" s="27"/>
      <c r="D27" s="27"/>
      <c r="E27" s="27"/>
      <c r="F27" s="27"/>
      <c r="G27" s="27"/>
      <c r="H27" s="27"/>
      <c r="I27" s="27"/>
      <c r="J27" s="9" t="str">
        <f aca="false">IF(E27="","",IFERROR(IF(N(INDEX(Telas!$G$6:$G$105,MATCH(E27,Telas!$A$6:$A$105,0)))=0,"",INDEX(Telas!$G$6:$G$105,MATCH(E27,Telas!$A$6:$A$105,0))),""))</f>
        <v/>
      </c>
      <c r="K27" s="9" t="str">
        <f aca="false">IF(C27="","",IF(AND(ISNUMBER(H27),N(F27)&gt;0),H27/F27,IF(N(J27)=0,"",IF(AND(ISNUMBER(G27),N(F27)&gt;0),G27/F27/J27,IF(ISNUMBER(I27),I27/J27,"")))))</f>
        <v/>
      </c>
      <c r="L27" s="27"/>
    </row>
    <row r="28" customFormat="false" ht="15" hidden="false" customHeight="false" outlineLevel="0" collapsed="false">
      <c r="A28" s="27"/>
      <c r="B28" s="27"/>
      <c r="C28" s="27"/>
      <c r="D28" s="27"/>
      <c r="E28" s="27"/>
      <c r="F28" s="27"/>
      <c r="G28" s="27"/>
      <c r="H28" s="27"/>
      <c r="I28" s="27"/>
      <c r="J28" s="9" t="str">
        <f aca="false">IF(E28="","",IFERROR(IF(N(INDEX(Telas!$G$6:$G$105,MATCH(E28,Telas!$A$6:$A$105,0)))=0,"",INDEX(Telas!$G$6:$G$105,MATCH(E28,Telas!$A$6:$A$105,0))),""))</f>
        <v/>
      </c>
      <c r="K28" s="9" t="str">
        <f aca="false">IF(C28="","",IF(AND(ISNUMBER(H28),N(F28)&gt;0),H28/F28,IF(N(J28)=0,"",IF(AND(ISNUMBER(G28),N(F28)&gt;0),G28/F28/J28,IF(ISNUMBER(I28),I28/J28,"")))))</f>
        <v/>
      </c>
      <c r="L28" s="27"/>
    </row>
    <row r="29" customFormat="false" ht="15" hidden="false" customHeight="false" outlineLevel="0" collapsed="false">
      <c r="A29" s="27"/>
      <c r="B29" s="27"/>
      <c r="C29" s="27"/>
      <c r="D29" s="27"/>
      <c r="E29" s="27"/>
      <c r="F29" s="27"/>
      <c r="G29" s="27"/>
      <c r="H29" s="27"/>
      <c r="I29" s="27"/>
      <c r="J29" s="9" t="str">
        <f aca="false">IF(E29="","",IFERROR(IF(N(INDEX(Telas!$G$6:$G$105,MATCH(E29,Telas!$A$6:$A$105,0)))=0,"",INDEX(Telas!$G$6:$G$105,MATCH(E29,Telas!$A$6:$A$105,0))),""))</f>
        <v/>
      </c>
      <c r="K29" s="9" t="str">
        <f aca="false">IF(C29="","",IF(AND(ISNUMBER(H29),N(F29)&gt;0),H29/F29,IF(N(J29)=0,"",IF(AND(ISNUMBER(G29),N(F29)&gt;0),G29/F29/J29,IF(ISNUMBER(I29),I29/J29,"")))))</f>
        <v/>
      </c>
      <c r="L29" s="27"/>
    </row>
    <row r="30" customFormat="false" ht="15" hidden="false" customHeight="false" outlineLevel="0" collapsed="false">
      <c r="A30" s="27"/>
      <c r="B30" s="27"/>
      <c r="C30" s="27"/>
      <c r="D30" s="27"/>
      <c r="E30" s="27"/>
      <c r="F30" s="27"/>
      <c r="G30" s="27"/>
      <c r="H30" s="27"/>
      <c r="I30" s="27"/>
      <c r="J30" s="9" t="str">
        <f aca="false">IF(E30="","",IFERROR(IF(N(INDEX(Telas!$G$6:$G$105,MATCH(E30,Telas!$A$6:$A$105,0)))=0,"",INDEX(Telas!$G$6:$G$105,MATCH(E30,Telas!$A$6:$A$105,0))),""))</f>
        <v/>
      </c>
      <c r="K30" s="9" t="str">
        <f aca="false">IF(C30="","",IF(AND(ISNUMBER(H30),N(F30)&gt;0),H30/F30,IF(N(J30)=0,"",IF(AND(ISNUMBER(G30),N(F30)&gt;0),G30/F30/J30,IF(ISNUMBER(I30),I30/J30,"")))))</f>
        <v/>
      </c>
      <c r="L30" s="27"/>
    </row>
    <row r="31" customFormat="false" ht="15" hidden="false" customHeight="false" outlineLevel="0" collapsed="false">
      <c r="A31" s="27"/>
      <c r="B31" s="27"/>
      <c r="C31" s="27"/>
      <c r="D31" s="27"/>
      <c r="E31" s="27"/>
      <c r="F31" s="27"/>
      <c r="G31" s="27"/>
      <c r="H31" s="27"/>
      <c r="I31" s="27"/>
      <c r="J31" s="9" t="str">
        <f aca="false">IF(E31="","",IFERROR(IF(N(INDEX(Telas!$G$6:$G$105,MATCH(E31,Telas!$A$6:$A$105,0)))=0,"",INDEX(Telas!$G$6:$G$105,MATCH(E31,Telas!$A$6:$A$105,0))),""))</f>
        <v/>
      </c>
      <c r="K31" s="9" t="str">
        <f aca="false">IF(C31="","",IF(AND(ISNUMBER(H31),N(F31)&gt;0),H31/F31,IF(N(J31)=0,"",IF(AND(ISNUMBER(G31),N(F31)&gt;0),G31/F31/J31,IF(ISNUMBER(I31),I31/J31,"")))))</f>
        <v/>
      </c>
      <c r="L31" s="27"/>
    </row>
    <row r="32" customFormat="false" ht="15" hidden="false" customHeight="false" outlineLevel="0" collapsed="false">
      <c r="A32" s="27"/>
      <c r="B32" s="27"/>
      <c r="C32" s="27"/>
      <c r="D32" s="27"/>
      <c r="E32" s="27"/>
      <c r="F32" s="27"/>
      <c r="G32" s="27"/>
      <c r="H32" s="27"/>
      <c r="I32" s="27"/>
      <c r="J32" s="9" t="str">
        <f aca="false">IF(E32="","",IFERROR(IF(N(INDEX(Telas!$G$6:$G$105,MATCH(E32,Telas!$A$6:$A$105,0)))=0,"",INDEX(Telas!$G$6:$G$105,MATCH(E32,Telas!$A$6:$A$105,0))),""))</f>
        <v/>
      </c>
      <c r="K32" s="9" t="str">
        <f aca="false">IF(C32="","",IF(AND(ISNUMBER(H32),N(F32)&gt;0),H32/F32,IF(N(J32)=0,"",IF(AND(ISNUMBER(G32),N(F32)&gt;0),G32/F32/J32,IF(ISNUMBER(I32),I32/J32,"")))))</f>
        <v/>
      </c>
      <c r="L32" s="27"/>
    </row>
    <row r="33" customFormat="false" ht="15" hidden="false" customHeight="false" outlineLevel="0" collapsed="false">
      <c r="A33" s="27"/>
      <c r="B33" s="27"/>
      <c r="C33" s="27"/>
      <c r="D33" s="27"/>
      <c r="E33" s="27"/>
      <c r="F33" s="27"/>
      <c r="G33" s="27"/>
      <c r="H33" s="27"/>
      <c r="I33" s="27"/>
      <c r="J33" s="9" t="str">
        <f aca="false">IF(E33="","",IFERROR(IF(N(INDEX(Telas!$G$6:$G$105,MATCH(E33,Telas!$A$6:$A$105,0)))=0,"",INDEX(Telas!$G$6:$G$105,MATCH(E33,Telas!$A$6:$A$105,0))),""))</f>
        <v/>
      </c>
      <c r="K33" s="9" t="str">
        <f aca="false">IF(C33="","",IF(AND(ISNUMBER(H33),N(F33)&gt;0),H33/F33,IF(N(J33)=0,"",IF(AND(ISNUMBER(G33),N(F33)&gt;0),G33/F33/J33,IF(ISNUMBER(I33),I33/J33,"")))))</f>
        <v/>
      </c>
      <c r="L33" s="27"/>
    </row>
    <row r="34" customFormat="false" ht="15" hidden="false" customHeight="false" outlineLevel="0" collapsed="false">
      <c r="A34" s="27"/>
      <c r="B34" s="27"/>
      <c r="C34" s="27"/>
      <c r="D34" s="27"/>
      <c r="E34" s="27"/>
      <c r="F34" s="27"/>
      <c r="G34" s="27"/>
      <c r="H34" s="27"/>
      <c r="I34" s="27"/>
      <c r="J34" s="9" t="str">
        <f aca="false">IF(E34="","",IFERROR(IF(N(INDEX(Telas!$G$6:$G$105,MATCH(E34,Telas!$A$6:$A$105,0)))=0,"",INDEX(Telas!$G$6:$G$105,MATCH(E34,Telas!$A$6:$A$105,0))),""))</f>
        <v/>
      </c>
      <c r="K34" s="9" t="str">
        <f aca="false">IF(C34="","",IF(AND(ISNUMBER(H34),N(F34)&gt;0),H34/F34,IF(N(J34)=0,"",IF(AND(ISNUMBER(G34),N(F34)&gt;0),G34/F34/J34,IF(ISNUMBER(I34),I34/J34,"")))))</f>
        <v/>
      </c>
      <c r="L34" s="27"/>
    </row>
    <row r="35" customFormat="false" ht="15" hidden="false" customHeight="false" outlineLevel="0" collapsed="false">
      <c r="A35" s="27"/>
      <c r="B35" s="27"/>
      <c r="C35" s="27"/>
      <c r="D35" s="27"/>
      <c r="E35" s="27"/>
      <c r="F35" s="27"/>
      <c r="G35" s="27"/>
      <c r="H35" s="27"/>
      <c r="I35" s="27"/>
      <c r="J35" s="9" t="str">
        <f aca="false">IF(E35="","",IFERROR(IF(N(INDEX(Telas!$G$6:$G$105,MATCH(E35,Telas!$A$6:$A$105,0)))=0,"",INDEX(Telas!$G$6:$G$105,MATCH(E35,Telas!$A$6:$A$105,0))),""))</f>
        <v/>
      </c>
      <c r="K35" s="9" t="str">
        <f aca="false">IF(C35="","",IF(AND(ISNUMBER(H35),N(F35)&gt;0),H35/F35,IF(N(J35)=0,"",IF(AND(ISNUMBER(G35),N(F35)&gt;0),G35/F35/J35,IF(ISNUMBER(I35),I35/J35,"")))))</f>
        <v/>
      </c>
      <c r="L35" s="27"/>
    </row>
    <row r="36" customFormat="false" ht="15" hidden="false" customHeight="false" outlineLevel="0" collapsed="false">
      <c r="A36" s="27"/>
      <c r="B36" s="27"/>
      <c r="C36" s="27"/>
      <c r="D36" s="27"/>
      <c r="E36" s="27"/>
      <c r="F36" s="27"/>
      <c r="G36" s="27"/>
      <c r="H36" s="27"/>
      <c r="I36" s="27"/>
      <c r="J36" s="9" t="str">
        <f aca="false">IF(E36="","",IFERROR(IF(N(INDEX(Telas!$G$6:$G$105,MATCH(E36,Telas!$A$6:$A$105,0)))=0,"",INDEX(Telas!$G$6:$G$105,MATCH(E36,Telas!$A$6:$A$105,0))),""))</f>
        <v/>
      </c>
      <c r="K36" s="9" t="str">
        <f aca="false">IF(C36="","",IF(AND(ISNUMBER(H36),N(F36)&gt;0),H36/F36,IF(N(J36)=0,"",IF(AND(ISNUMBER(G36),N(F36)&gt;0),G36/F36/J36,IF(ISNUMBER(I36),I36/J36,"")))))</f>
        <v/>
      </c>
      <c r="L36" s="27"/>
    </row>
    <row r="37" customFormat="false" ht="15" hidden="false" customHeight="false" outlineLevel="0" collapsed="false">
      <c r="A37" s="27"/>
      <c r="B37" s="27"/>
      <c r="C37" s="27"/>
      <c r="D37" s="27"/>
      <c r="E37" s="27"/>
      <c r="F37" s="27"/>
      <c r="G37" s="27"/>
      <c r="H37" s="27"/>
      <c r="I37" s="27"/>
      <c r="J37" s="9" t="str">
        <f aca="false">IF(E37="","",IFERROR(IF(N(INDEX(Telas!$G$6:$G$105,MATCH(E37,Telas!$A$6:$A$105,0)))=0,"",INDEX(Telas!$G$6:$G$105,MATCH(E37,Telas!$A$6:$A$105,0))),""))</f>
        <v/>
      </c>
      <c r="K37" s="9" t="str">
        <f aca="false">IF(C37="","",IF(AND(ISNUMBER(H37),N(F37)&gt;0),H37/F37,IF(N(J37)=0,"",IF(AND(ISNUMBER(G37),N(F37)&gt;0),G37/F37/J37,IF(ISNUMBER(I37),I37/J37,"")))))</f>
        <v/>
      </c>
      <c r="L37" s="27"/>
    </row>
    <row r="38" customFormat="false" ht="15" hidden="false" customHeight="false" outlineLevel="0" collapsed="false">
      <c r="A38" s="27"/>
      <c r="B38" s="27"/>
      <c r="C38" s="27"/>
      <c r="D38" s="27"/>
      <c r="E38" s="27"/>
      <c r="F38" s="27"/>
      <c r="G38" s="27"/>
      <c r="H38" s="27"/>
      <c r="I38" s="27"/>
      <c r="J38" s="9" t="str">
        <f aca="false">IF(E38="","",IFERROR(IF(N(INDEX(Telas!$G$6:$G$105,MATCH(E38,Telas!$A$6:$A$105,0)))=0,"",INDEX(Telas!$G$6:$G$105,MATCH(E38,Telas!$A$6:$A$105,0))),""))</f>
        <v/>
      </c>
      <c r="K38" s="9" t="str">
        <f aca="false">IF(C38="","",IF(AND(ISNUMBER(H38),N(F38)&gt;0),H38/F38,IF(N(J38)=0,"",IF(AND(ISNUMBER(G38),N(F38)&gt;0),G38/F38/J38,IF(ISNUMBER(I38),I38/J38,"")))))</f>
        <v/>
      </c>
      <c r="L38" s="27"/>
    </row>
    <row r="39" customFormat="false" ht="15" hidden="false" customHeight="false" outlineLevel="0" collapsed="false">
      <c r="A39" s="27"/>
      <c r="B39" s="27"/>
      <c r="C39" s="27"/>
      <c r="D39" s="27"/>
      <c r="E39" s="27"/>
      <c r="F39" s="27"/>
      <c r="G39" s="27"/>
      <c r="H39" s="27"/>
      <c r="I39" s="27"/>
      <c r="J39" s="9" t="str">
        <f aca="false">IF(E39="","",IFERROR(IF(N(INDEX(Telas!$G$6:$G$105,MATCH(E39,Telas!$A$6:$A$105,0)))=0,"",INDEX(Telas!$G$6:$G$105,MATCH(E39,Telas!$A$6:$A$105,0))),""))</f>
        <v/>
      </c>
      <c r="K39" s="9" t="str">
        <f aca="false">IF(C39="","",IF(AND(ISNUMBER(H39),N(F39)&gt;0),H39/F39,IF(N(J39)=0,"",IF(AND(ISNUMBER(G39),N(F39)&gt;0),G39/F39/J39,IF(ISNUMBER(I39),I39/J39,"")))))</f>
        <v/>
      </c>
      <c r="L39" s="27"/>
    </row>
    <row r="40" customFormat="false" ht="15" hidden="false" customHeight="false" outlineLevel="0" collapsed="false">
      <c r="A40" s="27"/>
      <c r="B40" s="27"/>
      <c r="C40" s="27"/>
      <c r="D40" s="27"/>
      <c r="E40" s="27"/>
      <c r="F40" s="27"/>
      <c r="G40" s="27"/>
      <c r="H40" s="27"/>
      <c r="I40" s="27"/>
      <c r="J40" s="9" t="str">
        <f aca="false">IF(E40="","",IFERROR(IF(N(INDEX(Telas!$G$6:$G$105,MATCH(E40,Telas!$A$6:$A$105,0)))=0,"",INDEX(Telas!$G$6:$G$105,MATCH(E40,Telas!$A$6:$A$105,0))),""))</f>
        <v/>
      </c>
      <c r="K40" s="9" t="str">
        <f aca="false">IF(C40="","",IF(AND(ISNUMBER(H40),N(F40)&gt;0),H40/F40,IF(N(J40)=0,"",IF(AND(ISNUMBER(G40),N(F40)&gt;0),G40/F40/J40,IF(ISNUMBER(I40),I40/J40,"")))))</f>
        <v/>
      </c>
      <c r="L40" s="27"/>
    </row>
    <row r="41" customFormat="false" ht="15" hidden="false" customHeight="false" outlineLevel="0" collapsed="false">
      <c r="A41" s="27"/>
      <c r="B41" s="27"/>
      <c r="C41" s="27"/>
      <c r="D41" s="27"/>
      <c r="E41" s="27"/>
      <c r="F41" s="27"/>
      <c r="G41" s="27"/>
      <c r="H41" s="27"/>
      <c r="I41" s="27"/>
      <c r="J41" s="9" t="str">
        <f aca="false">IF(E41="","",IFERROR(IF(N(INDEX(Telas!$G$6:$G$105,MATCH(E41,Telas!$A$6:$A$105,0)))=0,"",INDEX(Telas!$G$6:$G$105,MATCH(E41,Telas!$A$6:$A$105,0))),""))</f>
        <v/>
      </c>
      <c r="K41" s="9" t="str">
        <f aca="false">IF(C41="","",IF(AND(ISNUMBER(H41),N(F41)&gt;0),H41/F41,IF(N(J41)=0,"",IF(AND(ISNUMBER(G41),N(F41)&gt;0),G41/F41/J41,IF(ISNUMBER(I41),I41/J41,"")))))</f>
        <v/>
      </c>
      <c r="L41" s="27"/>
    </row>
    <row r="42" customFormat="false" ht="15" hidden="false" customHeight="false" outlineLevel="0" collapsed="false">
      <c r="A42" s="27"/>
      <c r="B42" s="27"/>
      <c r="C42" s="27"/>
      <c r="D42" s="27"/>
      <c r="E42" s="27"/>
      <c r="F42" s="27"/>
      <c r="G42" s="27"/>
      <c r="H42" s="27"/>
      <c r="I42" s="27"/>
      <c r="J42" s="9" t="str">
        <f aca="false">IF(E42="","",IFERROR(IF(N(INDEX(Telas!$G$6:$G$105,MATCH(E42,Telas!$A$6:$A$105,0)))=0,"",INDEX(Telas!$G$6:$G$105,MATCH(E42,Telas!$A$6:$A$105,0))),""))</f>
        <v/>
      </c>
      <c r="K42" s="9" t="str">
        <f aca="false">IF(C42="","",IF(AND(ISNUMBER(H42),N(F42)&gt;0),H42/F42,IF(N(J42)=0,"",IF(AND(ISNUMBER(G42),N(F42)&gt;0),G42/F42/J42,IF(ISNUMBER(I42),I42/J42,"")))))</f>
        <v/>
      </c>
      <c r="L42" s="27"/>
    </row>
    <row r="43" customFormat="false" ht="15" hidden="false" customHeight="false" outlineLevel="0" collapsed="false">
      <c r="A43" s="27"/>
      <c r="B43" s="27"/>
      <c r="C43" s="27"/>
      <c r="D43" s="27"/>
      <c r="E43" s="27"/>
      <c r="F43" s="27"/>
      <c r="G43" s="27"/>
      <c r="H43" s="27"/>
      <c r="I43" s="27"/>
      <c r="J43" s="9" t="str">
        <f aca="false">IF(E43="","",IFERROR(IF(N(INDEX(Telas!$G$6:$G$105,MATCH(E43,Telas!$A$6:$A$105,0)))=0,"",INDEX(Telas!$G$6:$G$105,MATCH(E43,Telas!$A$6:$A$105,0))),""))</f>
        <v/>
      </c>
      <c r="K43" s="9" t="str">
        <f aca="false">IF(C43="","",IF(AND(ISNUMBER(H43),N(F43)&gt;0),H43/F43,IF(N(J43)=0,"",IF(AND(ISNUMBER(G43),N(F43)&gt;0),G43/F43/J43,IF(ISNUMBER(I43),I43/J43,"")))))</f>
        <v/>
      </c>
      <c r="L43" s="27"/>
    </row>
    <row r="44" customFormat="false" ht="15" hidden="false" customHeight="false" outlineLevel="0" collapsed="false">
      <c r="A44" s="27"/>
      <c r="B44" s="27"/>
      <c r="C44" s="27"/>
      <c r="D44" s="27"/>
      <c r="E44" s="27"/>
      <c r="F44" s="27"/>
      <c r="G44" s="27"/>
      <c r="H44" s="27"/>
      <c r="I44" s="27"/>
      <c r="J44" s="9" t="str">
        <f aca="false">IF(E44="","",IFERROR(IF(N(INDEX(Telas!$G$6:$G$105,MATCH(E44,Telas!$A$6:$A$105,0)))=0,"",INDEX(Telas!$G$6:$G$105,MATCH(E44,Telas!$A$6:$A$105,0))),""))</f>
        <v/>
      </c>
      <c r="K44" s="9" t="str">
        <f aca="false">IF(C44="","",IF(AND(ISNUMBER(H44),N(F44)&gt;0),H44/F44,IF(N(J44)=0,"",IF(AND(ISNUMBER(G44),N(F44)&gt;0),G44/F44/J44,IF(ISNUMBER(I44),I44/J44,"")))))</f>
        <v/>
      </c>
      <c r="L44" s="27"/>
    </row>
    <row r="45" customFormat="false" ht="15" hidden="false" customHeight="false" outlineLevel="0" collapsed="false">
      <c r="A45" s="27"/>
      <c r="B45" s="27"/>
      <c r="C45" s="27"/>
      <c r="D45" s="27"/>
      <c r="E45" s="27"/>
      <c r="F45" s="27"/>
      <c r="G45" s="27"/>
      <c r="H45" s="27"/>
      <c r="I45" s="27"/>
      <c r="J45" s="9" t="str">
        <f aca="false">IF(E45="","",IFERROR(IF(N(INDEX(Telas!$G$6:$G$105,MATCH(E45,Telas!$A$6:$A$105,0)))=0,"",INDEX(Telas!$G$6:$G$105,MATCH(E45,Telas!$A$6:$A$105,0))),""))</f>
        <v/>
      </c>
      <c r="K45" s="9" t="str">
        <f aca="false">IF(C45="","",IF(AND(ISNUMBER(H45),N(F45)&gt;0),H45/F45,IF(N(J45)=0,"",IF(AND(ISNUMBER(G45),N(F45)&gt;0),G45/F45/J45,IF(ISNUMBER(I45),I45/J45,"")))))</f>
        <v/>
      </c>
      <c r="L45" s="27"/>
    </row>
    <row r="46" customFormat="false" ht="15" hidden="false" customHeight="false" outlineLevel="0" collapsed="false">
      <c r="A46" s="27"/>
      <c r="B46" s="27"/>
      <c r="C46" s="27"/>
      <c r="D46" s="27"/>
      <c r="E46" s="27"/>
      <c r="F46" s="27"/>
      <c r="G46" s="27"/>
      <c r="H46" s="27"/>
      <c r="I46" s="27"/>
      <c r="J46" s="9" t="str">
        <f aca="false">IF(E46="","",IFERROR(IF(N(INDEX(Telas!$G$6:$G$105,MATCH(E46,Telas!$A$6:$A$105,0)))=0,"",INDEX(Telas!$G$6:$G$105,MATCH(E46,Telas!$A$6:$A$105,0))),""))</f>
        <v/>
      </c>
      <c r="K46" s="9" t="str">
        <f aca="false">IF(C46="","",IF(AND(ISNUMBER(H46),N(F46)&gt;0),H46/F46,IF(N(J46)=0,"",IF(AND(ISNUMBER(G46),N(F46)&gt;0),G46/F46/J46,IF(ISNUMBER(I46),I46/J46,"")))))</f>
        <v/>
      </c>
      <c r="L46" s="27"/>
    </row>
    <row r="47" customFormat="false" ht="15" hidden="false" customHeight="false" outlineLevel="0" collapsed="false">
      <c r="A47" s="27"/>
      <c r="B47" s="27"/>
      <c r="C47" s="27"/>
      <c r="D47" s="27"/>
      <c r="E47" s="27"/>
      <c r="F47" s="27"/>
      <c r="G47" s="27"/>
      <c r="H47" s="27"/>
      <c r="I47" s="27"/>
      <c r="J47" s="9" t="str">
        <f aca="false">IF(E47="","",IFERROR(IF(N(INDEX(Telas!$G$6:$G$105,MATCH(E47,Telas!$A$6:$A$105,0)))=0,"",INDEX(Telas!$G$6:$G$105,MATCH(E47,Telas!$A$6:$A$105,0))),""))</f>
        <v/>
      </c>
      <c r="K47" s="9" t="str">
        <f aca="false">IF(C47="","",IF(AND(ISNUMBER(H47),N(F47)&gt;0),H47/F47,IF(N(J47)=0,"",IF(AND(ISNUMBER(G47),N(F47)&gt;0),G47/F47/J47,IF(ISNUMBER(I47),I47/J47,"")))))</f>
        <v/>
      </c>
      <c r="L47" s="27"/>
    </row>
    <row r="48" customFormat="false" ht="15" hidden="false" customHeight="false" outlineLevel="0" collapsed="false">
      <c r="A48" s="27"/>
      <c r="B48" s="27"/>
      <c r="C48" s="27"/>
      <c r="D48" s="27"/>
      <c r="E48" s="27"/>
      <c r="F48" s="27"/>
      <c r="G48" s="27"/>
      <c r="H48" s="27"/>
      <c r="I48" s="27"/>
      <c r="J48" s="9" t="str">
        <f aca="false">IF(E48="","",IFERROR(IF(N(INDEX(Telas!$G$6:$G$105,MATCH(E48,Telas!$A$6:$A$105,0)))=0,"",INDEX(Telas!$G$6:$G$105,MATCH(E48,Telas!$A$6:$A$105,0))),""))</f>
        <v/>
      </c>
      <c r="K48" s="9" t="str">
        <f aca="false">IF(C48="","",IF(AND(ISNUMBER(H48),N(F48)&gt;0),H48/F48,IF(N(J48)=0,"",IF(AND(ISNUMBER(G48),N(F48)&gt;0),G48/F48/J48,IF(ISNUMBER(I48),I48/J48,"")))))</f>
        <v/>
      </c>
      <c r="L48" s="27"/>
    </row>
    <row r="49" customFormat="false" ht="15" hidden="false" customHeight="false" outlineLevel="0" collapsed="false">
      <c r="A49" s="27"/>
      <c r="B49" s="27"/>
      <c r="C49" s="27"/>
      <c r="D49" s="27"/>
      <c r="E49" s="27"/>
      <c r="F49" s="27"/>
      <c r="G49" s="27"/>
      <c r="H49" s="27"/>
      <c r="I49" s="27"/>
      <c r="J49" s="9" t="str">
        <f aca="false">IF(E49="","",IFERROR(IF(N(INDEX(Telas!$G$6:$G$105,MATCH(E49,Telas!$A$6:$A$105,0)))=0,"",INDEX(Telas!$G$6:$G$105,MATCH(E49,Telas!$A$6:$A$105,0))),""))</f>
        <v/>
      </c>
      <c r="K49" s="9" t="str">
        <f aca="false">IF(C49="","",IF(AND(ISNUMBER(H49),N(F49)&gt;0),H49/F49,IF(N(J49)=0,"",IF(AND(ISNUMBER(G49),N(F49)&gt;0),G49/F49/J49,IF(ISNUMBER(I49),I49/J49,"")))))</f>
        <v/>
      </c>
      <c r="L49" s="27"/>
    </row>
    <row r="50" customFormat="false" ht="15" hidden="false" customHeight="false" outlineLevel="0" collapsed="false">
      <c r="A50" s="27"/>
      <c r="B50" s="27"/>
      <c r="C50" s="27"/>
      <c r="D50" s="27"/>
      <c r="E50" s="27"/>
      <c r="F50" s="27"/>
      <c r="G50" s="27"/>
      <c r="H50" s="27"/>
      <c r="I50" s="27"/>
      <c r="J50" s="9" t="str">
        <f aca="false">IF(E50="","",IFERROR(IF(N(INDEX(Telas!$G$6:$G$105,MATCH(E50,Telas!$A$6:$A$105,0)))=0,"",INDEX(Telas!$G$6:$G$105,MATCH(E50,Telas!$A$6:$A$105,0))),""))</f>
        <v/>
      </c>
      <c r="K50" s="9" t="str">
        <f aca="false">IF(C50="","",IF(AND(ISNUMBER(H50),N(F50)&gt;0),H50/F50,IF(N(J50)=0,"",IF(AND(ISNUMBER(G50),N(F50)&gt;0),G50/F50/J50,IF(ISNUMBER(I50),I50/J50,"")))))</f>
        <v/>
      </c>
      <c r="L50" s="27"/>
    </row>
    <row r="51" customFormat="false" ht="15" hidden="false" customHeight="false" outlineLevel="0" collapsed="false">
      <c r="A51" s="27"/>
      <c r="B51" s="27"/>
      <c r="C51" s="27"/>
      <c r="D51" s="27"/>
      <c r="E51" s="27"/>
      <c r="F51" s="27"/>
      <c r="G51" s="27"/>
      <c r="H51" s="27"/>
      <c r="I51" s="27"/>
      <c r="J51" s="9" t="str">
        <f aca="false">IF(E51="","",IFERROR(IF(N(INDEX(Telas!$G$6:$G$105,MATCH(E51,Telas!$A$6:$A$105,0)))=0,"",INDEX(Telas!$G$6:$G$105,MATCH(E51,Telas!$A$6:$A$105,0))),""))</f>
        <v/>
      </c>
      <c r="K51" s="9" t="str">
        <f aca="false">IF(C51="","",IF(AND(ISNUMBER(H51),N(F51)&gt;0),H51/F51,IF(N(J51)=0,"",IF(AND(ISNUMBER(G51),N(F51)&gt;0),G51/F51/J51,IF(ISNUMBER(I51),I51/J51,"")))))</f>
        <v/>
      </c>
      <c r="L51" s="27"/>
    </row>
    <row r="52" customFormat="false" ht="15" hidden="false" customHeight="false" outlineLevel="0" collapsed="false">
      <c r="A52" s="27"/>
      <c r="B52" s="27"/>
      <c r="C52" s="27"/>
      <c r="D52" s="27"/>
      <c r="E52" s="27"/>
      <c r="F52" s="27"/>
      <c r="G52" s="27"/>
      <c r="H52" s="27"/>
      <c r="I52" s="27"/>
      <c r="J52" s="9" t="str">
        <f aca="false">IF(E52="","",IFERROR(IF(N(INDEX(Telas!$G$6:$G$105,MATCH(E52,Telas!$A$6:$A$105,0)))=0,"",INDEX(Telas!$G$6:$G$105,MATCH(E52,Telas!$A$6:$A$105,0))),""))</f>
        <v/>
      </c>
      <c r="K52" s="9" t="str">
        <f aca="false">IF(C52="","",IF(AND(ISNUMBER(H52),N(F52)&gt;0),H52/F52,IF(N(J52)=0,"",IF(AND(ISNUMBER(G52),N(F52)&gt;0),G52/F52/J52,IF(ISNUMBER(I52),I52/J52,"")))))</f>
        <v/>
      </c>
      <c r="L52" s="27"/>
    </row>
    <row r="53" customFormat="false" ht="15" hidden="false" customHeight="false" outlineLevel="0" collapsed="false">
      <c r="A53" s="27"/>
      <c r="B53" s="27"/>
      <c r="C53" s="27"/>
      <c r="D53" s="27"/>
      <c r="E53" s="27"/>
      <c r="F53" s="27"/>
      <c r="G53" s="27"/>
      <c r="H53" s="27"/>
      <c r="I53" s="27"/>
      <c r="J53" s="9" t="str">
        <f aca="false">IF(E53="","",IFERROR(IF(N(INDEX(Telas!$G$6:$G$105,MATCH(E53,Telas!$A$6:$A$105,0)))=0,"",INDEX(Telas!$G$6:$G$105,MATCH(E53,Telas!$A$6:$A$105,0))),""))</f>
        <v/>
      </c>
      <c r="K53" s="9" t="str">
        <f aca="false">IF(C53="","",IF(AND(ISNUMBER(H53),N(F53)&gt;0),H53/F53,IF(N(J53)=0,"",IF(AND(ISNUMBER(G53),N(F53)&gt;0),G53/F53/J53,IF(ISNUMBER(I53),I53/J53,"")))))</f>
        <v/>
      </c>
      <c r="L53" s="27"/>
    </row>
    <row r="54" customFormat="false" ht="15" hidden="false" customHeight="false" outlineLevel="0" collapsed="false">
      <c r="A54" s="27"/>
      <c r="B54" s="27"/>
      <c r="C54" s="27"/>
      <c r="D54" s="27"/>
      <c r="E54" s="27"/>
      <c r="F54" s="27"/>
      <c r="G54" s="27"/>
      <c r="H54" s="27"/>
      <c r="I54" s="27"/>
      <c r="J54" s="9" t="str">
        <f aca="false">IF(E54="","",IFERROR(IF(N(INDEX(Telas!$G$6:$G$105,MATCH(E54,Telas!$A$6:$A$105,0)))=0,"",INDEX(Telas!$G$6:$G$105,MATCH(E54,Telas!$A$6:$A$105,0))),""))</f>
        <v/>
      </c>
      <c r="K54" s="9" t="str">
        <f aca="false">IF(C54="","",IF(AND(ISNUMBER(H54),N(F54)&gt;0),H54/F54,IF(N(J54)=0,"",IF(AND(ISNUMBER(G54),N(F54)&gt;0),G54/F54/J54,IF(ISNUMBER(I54),I54/J54,"")))))</f>
        <v/>
      </c>
      <c r="L54" s="27"/>
    </row>
    <row r="55" customFormat="false" ht="15" hidden="false" customHeight="false" outlineLevel="0" collapsed="false">
      <c r="A55" s="27"/>
      <c r="B55" s="27"/>
      <c r="C55" s="27"/>
      <c r="D55" s="27"/>
      <c r="E55" s="27"/>
      <c r="F55" s="27"/>
      <c r="G55" s="27"/>
      <c r="H55" s="27"/>
      <c r="I55" s="27"/>
      <c r="J55" s="9" t="str">
        <f aca="false">IF(E55="","",IFERROR(IF(N(INDEX(Telas!$G$6:$G$105,MATCH(E55,Telas!$A$6:$A$105,0)))=0,"",INDEX(Telas!$G$6:$G$105,MATCH(E55,Telas!$A$6:$A$105,0))),""))</f>
        <v/>
      </c>
      <c r="K55" s="9" t="str">
        <f aca="false">IF(C55="","",IF(AND(ISNUMBER(H55),N(F55)&gt;0),H55/F55,IF(N(J55)=0,"",IF(AND(ISNUMBER(G55),N(F55)&gt;0),G55/F55/J55,IF(ISNUMBER(I55),I55/J55,"")))))</f>
        <v/>
      </c>
      <c r="L55" s="27"/>
    </row>
    <row r="56" customFormat="false" ht="15" hidden="false" customHeight="false" outlineLevel="0" collapsed="false">
      <c r="A56" s="27"/>
      <c r="B56" s="27"/>
      <c r="C56" s="27"/>
      <c r="D56" s="27"/>
      <c r="E56" s="27"/>
      <c r="F56" s="27"/>
      <c r="G56" s="27"/>
      <c r="H56" s="27"/>
      <c r="I56" s="27"/>
      <c r="J56" s="9" t="str">
        <f aca="false">IF(E56="","",IFERROR(IF(N(INDEX(Telas!$G$6:$G$105,MATCH(E56,Telas!$A$6:$A$105,0)))=0,"",INDEX(Telas!$G$6:$G$105,MATCH(E56,Telas!$A$6:$A$105,0))),""))</f>
        <v/>
      </c>
      <c r="K56" s="9" t="str">
        <f aca="false">IF(C56="","",IF(AND(ISNUMBER(H56),N(F56)&gt;0),H56/F56,IF(N(J56)=0,"",IF(AND(ISNUMBER(G56),N(F56)&gt;0),G56/F56/J56,IF(ISNUMBER(I56),I56/J56,"")))))</f>
        <v/>
      </c>
      <c r="L56" s="27"/>
    </row>
    <row r="57" customFormat="false" ht="15" hidden="false" customHeight="false" outlineLevel="0" collapsed="false">
      <c r="A57" s="27"/>
      <c r="B57" s="27"/>
      <c r="C57" s="27"/>
      <c r="D57" s="27"/>
      <c r="E57" s="27"/>
      <c r="F57" s="27"/>
      <c r="G57" s="27"/>
      <c r="H57" s="27"/>
      <c r="I57" s="27"/>
      <c r="J57" s="9" t="str">
        <f aca="false">IF(E57="","",IFERROR(IF(N(INDEX(Telas!$G$6:$G$105,MATCH(E57,Telas!$A$6:$A$105,0)))=0,"",INDEX(Telas!$G$6:$G$105,MATCH(E57,Telas!$A$6:$A$105,0))),""))</f>
        <v/>
      </c>
      <c r="K57" s="9" t="str">
        <f aca="false">IF(C57="","",IF(AND(ISNUMBER(H57),N(F57)&gt;0),H57/F57,IF(N(J57)=0,"",IF(AND(ISNUMBER(G57),N(F57)&gt;0),G57/F57/J57,IF(ISNUMBER(I57),I57/J57,"")))))</f>
        <v/>
      </c>
      <c r="L57" s="27"/>
    </row>
    <row r="58" customFormat="false" ht="15" hidden="false" customHeight="false" outlineLevel="0" collapsed="false">
      <c r="A58" s="27"/>
      <c r="B58" s="27"/>
      <c r="C58" s="27"/>
      <c r="D58" s="27"/>
      <c r="E58" s="27"/>
      <c r="F58" s="27"/>
      <c r="G58" s="27"/>
      <c r="H58" s="27"/>
      <c r="I58" s="27"/>
      <c r="J58" s="9" t="str">
        <f aca="false">IF(E58="","",IFERROR(IF(N(INDEX(Telas!$G$6:$G$105,MATCH(E58,Telas!$A$6:$A$105,0)))=0,"",INDEX(Telas!$G$6:$G$105,MATCH(E58,Telas!$A$6:$A$105,0))),""))</f>
        <v/>
      </c>
      <c r="K58" s="9" t="str">
        <f aca="false">IF(C58="","",IF(AND(ISNUMBER(H58),N(F58)&gt;0),H58/F58,IF(N(J58)=0,"",IF(AND(ISNUMBER(G58),N(F58)&gt;0),G58/F58/J58,IF(ISNUMBER(I58),I58/J58,"")))))</f>
        <v/>
      </c>
      <c r="L58" s="27"/>
    </row>
    <row r="59" customFormat="false" ht="15" hidden="false" customHeight="false" outlineLevel="0" collapsed="false">
      <c r="A59" s="27"/>
      <c r="B59" s="27"/>
      <c r="C59" s="27"/>
      <c r="D59" s="27"/>
      <c r="E59" s="27"/>
      <c r="F59" s="27"/>
      <c r="G59" s="27"/>
      <c r="H59" s="27"/>
      <c r="I59" s="27"/>
      <c r="J59" s="9" t="str">
        <f aca="false">IF(E59="","",IFERROR(IF(N(INDEX(Telas!$G$6:$G$105,MATCH(E59,Telas!$A$6:$A$105,0)))=0,"",INDEX(Telas!$G$6:$G$105,MATCH(E59,Telas!$A$6:$A$105,0))),""))</f>
        <v/>
      </c>
      <c r="K59" s="9" t="str">
        <f aca="false">IF(C59="","",IF(AND(ISNUMBER(H59),N(F59)&gt;0),H59/F59,IF(N(J59)=0,"",IF(AND(ISNUMBER(G59),N(F59)&gt;0),G59/F59/J59,IF(ISNUMBER(I59),I59/J59,"")))))</f>
        <v/>
      </c>
      <c r="L59" s="27"/>
    </row>
    <row r="60" customFormat="false" ht="15" hidden="false" customHeight="false" outlineLevel="0" collapsed="false">
      <c r="A60" s="27"/>
      <c r="B60" s="27"/>
      <c r="C60" s="27"/>
      <c r="D60" s="27"/>
      <c r="E60" s="27"/>
      <c r="F60" s="27"/>
      <c r="G60" s="27"/>
      <c r="H60" s="27"/>
      <c r="I60" s="27"/>
      <c r="J60" s="9" t="str">
        <f aca="false">IF(E60="","",IFERROR(IF(N(INDEX(Telas!$G$6:$G$105,MATCH(E60,Telas!$A$6:$A$105,0)))=0,"",INDEX(Telas!$G$6:$G$105,MATCH(E60,Telas!$A$6:$A$105,0))),""))</f>
        <v/>
      </c>
      <c r="K60" s="9" t="str">
        <f aca="false">IF(C60="","",IF(AND(ISNUMBER(H60),N(F60)&gt;0),H60/F60,IF(N(J60)=0,"",IF(AND(ISNUMBER(G60),N(F60)&gt;0),G60/F60/J60,IF(ISNUMBER(I60),I60/J60,"")))))</f>
        <v/>
      </c>
      <c r="L60" s="27"/>
    </row>
    <row r="61" customFormat="false" ht="15" hidden="false" customHeight="false" outlineLevel="0" collapsed="false">
      <c r="A61" s="27"/>
      <c r="B61" s="27"/>
      <c r="C61" s="27"/>
      <c r="D61" s="27"/>
      <c r="E61" s="27"/>
      <c r="F61" s="27"/>
      <c r="G61" s="27"/>
      <c r="H61" s="27"/>
      <c r="I61" s="27"/>
      <c r="J61" s="9" t="str">
        <f aca="false">IF(E61="","",IFERROR(IF(N(INDEX(Telas!$G$6:$G$105,MATCH(E61,Telas!$A$6:$A$105,0)))=0,"",INDEX(Telas!$G$6:$G$105,MATCH(E61,Telas!$A$6:$A$105,0))),""))</f>
        <v/>
      </c>
      <c r="K61" s="9" t="str">
        <f aca="false">IF(C61="","",IF(AND(ISNUMBER(H61),N(F61)&gt;0),H61/F61,IF(N(J61)=0,"",IF(AND(ISNUMBER(G61),N(F61)&gt;0),G61/F61/J61,IF(ISNUMBER(I61),I61/J61,"")))))</f>
        <v/>
      </c>
      <c r="L61" s="27"/>
    </row>
    <row r="62" customFormat="false" ht="15" hidden="false" customHeight="false" outlineLevel="0" collapsed="false">
      <c r="A62" s="27"/>
      <c r="B62" s="27"/>
      <c r="C62" s="27"/>
      <c r="D62" s="27"/>
      <c r="E62" s="27"/>
      <c r="F62" s="27"/>
      <c r="G62" s="27"/>
      <c r="H62" s="27"/>
      <c r="I62" s="27"/>
      <c r="J62" s="9" t="str">
        <f aca="false">IF(E62="","",IFERROR(IF(N(INDEX(Telas!$G$6:$G$105,MATCH(E62,Telas!$A$6:$A$105,0)))=0,"",INDEX(Telas!$G$6:$G$105,MATCH(E62,Telas!$A$6:$A$105,0))),""))</f>
        <v/>
      </c>
      <c r="K62" s="9" t="str">
        <f aca="false">IF(C62="","",IF(AND(ISNUMBER(H62),N(F62)&gt;0),H62/F62,IF(N(J62)=0,"",IF(AND(ISNUMBER(G62),N(F62)&gt;0),G62/F62/J62,IF(ISNUMBER(I62),I62/J62,"")))))</f>
        <v/>
      </c>
      <c r="L62" s="27"/>
    </row>
    <row r="63" customFormat="false" ht="15" hidden="false" customHeight="false" outlineLevel="0" collapsed="false">
      <c r="A63" s="27"/>
      <c r="B63" s="27"/>
      <c r="C63" s="27"/>
      <c r="D63" s="27"/>
      <c r="E63" s="27"/>
      <c r="F63" s="27"/>
      <c r="G63" s="27"/>
      <c r="H63" s="27"/>
      <c r="I63" s="27"/>
      <c r="J63" s="9" t="str">
        <f aca="false">IF(E63="","",IFERROR(IF(N(INDEX(Telas!$G$6:$G$105,MATCH(E63,Telas!$A$6:$A$105,0)))=0,"",INDEX(Telas!$G$6:$G$105,MATCH(E63,Telas!$A$6:$A$105,0))),""))</f>
        <v/>
      </c>
      <c r="K63" s="9" t="str">
        <f aca="false">IF(C63="","",IF(AND(ISNUMBER(H63),N(F63)&gt;0),H63/F63,IF(N(J63)=0,"",IF(AND(ISNUMBER(G63),N(F63)&gt;0),G63/F63/J63,IF(ISNUMBER(I63),I63/J63,"")))))</f>
        <v/>
      </c>
      <c r="L63" s="27"/>
    </row>
    <row r="64" customFormat="false" ht="15" hidden="false" customHeight="false" outlineLevel="0" collapsed="false">
      <c r="A64" s="27"/>
      <c r="B64" s="27"/>
      <c r="C64" s="27"/>
      <c r="D64" s="27"/>
      <c r="E64" s="27"/>
      <c r="F64" s="27"/>
      <c r="G64" s="27"/>
      <c r="H64" s="27"/>
      <c r="I64" s="27"/>
      <c r="J64" s="9" t="str">
        <f aca="false">IF(E64="","",IFERROR(IF(N(INDEX(Telas!$G$6:$G$105,MATCH(E64,Telas!$A$6:$A$105,0)))=0,"",INDEX(Telas!$G$6:$G$105,MATCH(E64,Telas!$A$6:$A$105,0))),""))</f>
        <v/>
      </c>
      <c r="K64" s="9" t="str">
        <f aca="false">IF(C64="","",IF(AND(ISNUMBER(H64),N(F64)&gt;0),H64/F64,IF(N(J64)=0,"",IF(AND(ISNUMBER(G64),N(F64)&gt;0),G64/F64/J64,IF(ISNUMBER(I64),I64/J64,"")))))</f>
        <v/>
      </c>
      <c r="L64" s="27"/>
    </row>
    <row r="65" customFormat="false" ht="15" hidden="false" customHeight="false" outlineLevel="0" collapsed="false">
      <c r="A65" s="27"/>
      <c r="B65" s="27"/>
      <c r="C65" s="27"/>
      <c r="D65" s="27"/>
      <c r="E65" s="27"/>
      <c r="F65" s="27"/>
      <c r="G65" s="27"/>
      <c r="H65" s="27"/>
      <c r="I65" s="27"/>
      <c r="J65" s="9" t="str">
        <f aca="false">IF(E65="","",IFERROR(IF(N(INDEX(Telas!$G$6:$G$105,MATCH(E65,Telas!$A$6:$A$105,0)))=0,"",INDEX(Telas!$G$6:$G$105,MATCH(E65,Telas!$A$6:$A$105,0))),""))</f>
        <v/>
      </c>
      <c r="K65" s="9" t="str">
        <f aca="false">IF(C65="","",IF(AND(ISNUMBER(H65),N(F65)&gt;0),H65/F65,IF(N(J65)=0,"",IF(AND(ISNUMBER(G65),N(F65)&gt;0),G65/F65/J65,IF(ISNUMBER(I65),I65/J65,"")))))</f>
        <v/>
      </c>
      <c r="L65" s="27"/>
    </row>
    <row r="66" customFormat="false" ht="15" hidden="false" customHeight="false" outlineLevel="0" collapsed="false">
      <c r="A66" s="27"/>
      <c r="B66" s="27"/>
      <c r="C66" s="27"/>
      <c r="D66" s="27"/>
      <c r="E66" s="27"/>
      <c r="F66" s="27"/>
      <c r="G66" s="27"/>
      <c r="H66" s="27"/>
      <c r="I66" s="27"/>
      <c r="J66" s="9" t="str">
        <f aca="false">IF(E66="","",IFERROR(IF(N(INDEX(Telas!$G$6:$G$105,MATCH(E66,Telas!$A$6:$A$105,0)))=0,"",INDEX(Telas!$G$6:$G$105,MATCH(E66,Telas!$A$6:$A$105,0))),""))</f>
        <v/>
      </c>
      <c r="K66" s="9" t="str">
        <f aca="false">IF(C66="","",IF(AND(ISNUMBER(H66),N(F66)&gt;0),H66/F66,IF(N(J66)=0,"",IF(AND(ISNUMBER(G66),N(F66)&gt;0),G66/F66/J66,IF(ISNUMBER(I66),I66/J66,"")))))</f>
        <v/>
      </c>
      <c r="L66" s="27"/>
    </row>
    <row r="67" customFormat="false" ht="15" hidden="false" customHeight="false" outlineLevel="0" collapsed="false">
      <c r="A67" s="27"/>
      <c r="B67" s="27"/>
      <c r="C67" s="27"/>
      <c r="D67" s="27"/>
      <c r="E67" s="27"/>
      <c r="F67" s="27"/>
      <c r="G67" s="27"/>
      <c r="H67" s="27"/>
      <c r="I67" s="27"/>
      <c r="J67" s="9" t="str">
        <f aca="false">IF(E67="","",IFERROR(IF(N(INDEX(Telas!$G$6:$G$105,MATCH(E67,Telas!$A$6:$A$105,0)))=0,"",INDEX(Telas!$G$6:$G$105,MATCH(E67,Telas!$A$6:$A$105,0))),""))</f>
        <v/>
      </c>
      <c r="K67" s="9" t="str">
        <f aca="false">IF(C67="","",IF(AND(ISNUMBER(H67),N(F67)&gt;0),H67/F67,IF(N(J67)=0,"",IF(AND(ISNUMBER(G67),N(F67)&gt;0),G67/F67/J67,IF(ISNUMBER(I67),I67/J67,"")))))</f>
        <v/>
      </c>
      <c r="L67" s="27"/>
    </row>
    <row r="68" customFormat="false" ht="15" hidden="false" customHeight="false" outlineLevel="0" collapsed="false">
      <c r="A68" s="27"/>
      <c r="B68" s="27"/>
      <c r="C68" s="27"/>
      <c r="D68" s="27"/>
      <c r="E68" s="27"/>
      <c r="F68" s="27"/>
      <c r="G68" s="27"/>
      <c r="H68" s="27"/>
      <c r="I68" s="27"/>
      <c r="J68" s="9" t="str">
        <f aca="false">IF(E68="","",IFERROR(IF(N(INDEX(Telas!$G$6:$G$105,MATCH(E68,Telas!$A$6:$A$105,0)))=0,"",INDEX(Telas!$G$6:$G$105,MATCH(E68,Telas!$A$6:$A$105,0))),""))</f>
        <v/>
      </c>
      <c r="K68" s="9" t="str">
        <f aca="false">IF(C68="","",IF(AND(ISNUMBER(H68),N(F68)&gt;0),H68/F68,IF(N(J68)=0,"",IF(AND(ISNUMBER(G68),N(F68)&gt;0),G68/F68/J68,IF(ISNUMBER(I68),I68/J68,"")))))</f>
        <v/>
      </c>
      <c r="L68" s="27"/>
    </row>
    <row r="69" customFormat="false" ht="15" hidden="false" customHeight="false" outlineLevel="0" collapsed="false">
      <c r="A69" s="27"/>
      <c r="B69" s="27"/>
      <c r="C69" s="27"/>
      <c r="D69" s="27"/>
      <c r="E69" s="27"/>
      <c r="F69" s="27"/>
      <c r="G69" s="27"/>
      <c r="H69" s="27"/>
      <c r="I69" s="27"/>
      <c r="J69" s="9" t="str">
        <f aca="false">IF(E69="","",IFERROR(IF(N(INDEX(Telas!$G$6:$G$105,MATCH(E69,Telas!$A$6:$A$105,0)))=0,"",INDEX(Telas!$G$6:$G$105,MATCH(E69,Telas!$A$6:$A$105,0))),""))</f>
        <v/>
      </c>
      <c r="K69" s="9" t="str">
        <f aca="false">IF(C69="","",IF(AND(ISNUMBER(H69),N(F69)&gt;0),H69/F69,IF(N(J69)=0,"",IF(AND(ISNUMBER(G69),N(F69)&gt;0),G69/F69/J69,IF(ISNUMBER(I69),I69/J69,"")))))</f>
        <v/>
      </c>
      <c r="L69" s="27"/>
    </row>
    <row r="70" customFormat="false" ht="15" hidden="false" customHeight="false" outlineLevel="0" collapsed="false">
      <c r="A70" s="27"/>
      <c r="B70" s="27"/>
      <c r="C70" s="27"/>
      <c r="D70" s="27"/>
      <c r="E70" s="27"/>
      <c r="F70" s="27"/>
      <c r="G70" s="27"/>
      <c r="H70" s="27"/>
      <c r="I70" s="27"/>
      <c r="J70" s="9" t="str">
        <f aca="false">IF(E70="","",IFERROR(IF(N(INDEX(Telas!$G$6:$G$105,MATCH(E70,Telas!$A$6:$A$105,0)))=0,"",INDEX(Telas!$G$6:$G$105,MATCH(E70,Telas!$A$6:$A$105,0))),""))</f>
        <v/>
      </c>
      <c r="K70" s="9" t="str">
        <f aca="false">IF(C70="","",IF(AND(ISNUMBER(H70),N(F70)&gt;0),H70/F70,IF(N(J70)=0,"",IF(AND(ISNUMBER(G70),N(F70)&gt;0),G70/F70/J70,IF(ISNUMBER(I70),I70/J70,"")))))</f>
        <v/>
      </c>
      <c r="L70" s="27"/>
    </row>
    <row r="71" customFormat="false" ht="15" hidden="false" customHeight="false" outlineLevel="0" collapsed="false">
      <c r="A71" s="27"/>
      <c r="B71" s="27"/>
      <c r="C71" s="27"/>
      <c r="D71" s="27"/>
      <c r="E71" s="27"/>
      <c r="F71" s="27"/>
      <c r="G71" s="27"/>
      <c r="H71" s="27"/>
      <c r="I71" s="27"/>
      <c r="J71" s="9" t="str">
        <f aca="false">IF(E71="","",IFERROR(IF(N(INDEX(Telas!$G$6:$G$105,MATCH(E71,Telas!$A$6:$A$105,0)))=0,"",INDEX(Telas!$G$6:$G$105,MATCH(E71,Telas!$A$6:$A$105,0))),""))</f>
        <v/>
      </c>
      <c r="K71" s="9" t="str">
        <f aca="false">IF(C71="","",IF(AND(ISNUMBER(H71),N(F71)&gt;0),H71/F71,IF(N(J71)=0,"",IF(AND(ISNUMBER(G71),N(F71)&gt;0),G71/F71/J71,IF(ISNUMBER(I71),I71/J71,"")))))</f>
        <v/>
      </c>
      <c r="L71" s="27"/>
    </row>
    <row r="72" customFormat="false" ht="15" hidden="false" customHeight="false" outlineLevel="0" collapsed="false">
      <c r="A72" s="27"/>
      <c r="B72" s="27"/>
      <c r="C72" s="27"/>
      <c r="D72" s="27"/>
      <c r="E72" s="27"/>
      <c r="F72" s="27"/>
      <c r="G72" s="27"/>
      <c r="H72" s="27"/>
      <c r="I72" s="27"/>
      <c r="J72" s="9" t="str">
        <f aca="false">IF(E72="","",IFERROR(IF(N(INDEX(Telas!$G$6:$G$105,MATCH(E72,Telas!$A$6:$A$105,0)))=0,"",INDEX(Telas!$G$6:$G$105,MATCH(E72,Telas!$A$6:$A$105,0))),""))</f>
        <v/>
      </c>
      <c r="K72" s="9" t="str">
        <f aca="false">IF(C72="","",IF(AND(ISNUMBER(H72),N(F72)&gt;0),H72/F72,IF(N(J72)=0,"",IF(AND(ISNUMBER(G72),N(F72)&gt;0),G72/F72/J72,IF(ISNUMBER(I72),I72/J72,"")))))</f>
        <v/>
      </c>
      <c r="L72" s="27"/>
    </row>
    <row r="73" customFormat="false" ht="15" hidden="false" customHeight="false" outlineLevel="0" collapsed="false">
      <c r="A73" s="27"/>
      <c r="B73" s="27"/>
      <c r="C73" s="27"/>
      <c r="D73" s="27"/>
      <c r="E73" s="27"/>
      <c r="F73" s="27"/>
      <c r="G73" s="27"/>
      <c r="H73" s="27"/>
      <c r="I73" s="27"/>
      <c r="J73" s="9" t="str">
        <f aca="false">IF(E73="","",IFERROR(IF(N(INDEX(Telas!$G$6:$G$105,MATCH(E73,Telas!$A$6:$A$105,0)))=0,"",INDEX(Telas!$G$6:$G$105,MATCH(E73,Telas!$A$6:$A$105,0))),""))</f>
        <v/>
      </c>
      <c r="K73" s="9" t="str">
        <f aca="false">IF(C73="","",IF(AND(ISNUMBER(H73),N(F73)&gt;0),H73/F73,IF(N(J73)=0,"",IF(AND(ISNUMBER(G73),N(F73)&gt;0),G73/F73/J73,IF(ISNUMBER(I73),I73/J73,"")))))</f>
        <v/>
      </c>
      <c r="L73" s="27"/>
    </row>
    <row r="74" customFormat="false" ht="15" hidden="false" customHeight="false" outlineLevel="0" collapsed="false">
      <c r="A74" s="27"/>
      <c r="B74" s="27"/>
      <c r="C74" s="27"/>
      <c r="D74" s="27"/>
      <c r="E74" s="27"/>
      <c r="F74" s="27"/>
      <c r="G74" s="27"/>
      <c r="H74" s="27"/>
      <c r="I74" s="27"/>
      <c r="J74" s="9" t="str">
        <f aca="false">IF(E74="","",IFERROR(IF(N(INDEX(Telas!$G$6:$G$105,MATCH(E74,Telas!$A$6:$A$105,0)))=0,"",INDEX(Telas!$G$6:$G$105,MATCH(E74,Telas!$A$6:$A$105,0))),""))</f>
        <v/>
      </c>
      <c r="K74" s="9" t="str">
        <f aca="false">IF(C74="","",IF(AND(ISNUMBER(H74),N(F74)&gt;0),H74/F74,IF(N(J74)=0,"",IF(AND(ISNUMBER(G74),N(F74)&gt;0),G74/F74/J74,IF(ISNUMBER(I74),I74/J74,"")))))</f>
        <v/>
      </c>
      <c r="L74" s="27"/>
    </row>
    <row r="75" customFormat="false" ht="15" hidden="false" customHeight="false" outlineLevel="0" collapsed="false">
      <c r="A75" s="27"/>
      <c r="B75" s="27"/>
      <c r="C75" s="27"/>
      <c r="D75" s="27"/>
      <c r="E75" s="27"/>
      <c r="F75" s="27"/>
      <c r="G75" s="27"/>
      <c r="H75" s="27"/>
      <c r="I75" s="27"/>
      <c r="J75" s="9" t="str">
        <f aca="false">IF(E75="","",IFERROR(IF(N(INDEX(Telas!$G$6:$G$105,MATCH(E75,Telas!$A$6:$A$105,0)))=0,"",INDEX(Telas!$G$6:$G$105,MATCH(E75,Telas!$A$6:$A$105,0))),""))</f>
        <v/>
      </c>
      <c r="K75" s="9" t="str">
        <f aca="false">IF(C75="","",IF(AND(ISNUMBER(H75),N(F75)&gt;0),H75/F75,IF(N(J75)=0,"",IF(AND(ISNUMBER(G75),N(F75)&gt;0),G75/F75/J75,IF(ISNUMBER(I75),I75/J75,"")))))</f>
        <v/>
      </c>
      <c r="L75" s="27"/>
    </row>
    <row r="76" customFormat="false" ht="15" hidden="false" customHeight="false" outlineLevel="0" collapsed="false">
      <c r="A76" s="27"/>
      <c r="B76" s="27"/>
      <c r="C76" s="27"/>
      <c r="D76" s="27"/>
      <c r="E76" s="27"/>
      <c r="F76" s="27"/>
      <c r="G76" s="27"/>
      <c r="H76" s="27"/>
      <c r="I76" s="27"/>
      <c r="J76" s="9" t="str">
        <f aca="false">IF(E76="","",IFERROR(IF(N(INDEX(Telas!$G$6:$G$105,MATCH(E76,Telas!$A$6:$A$105,0)))=0,"",INDEX(Telas!$G$6:$G$105,MATCH(E76,Telas!$A$6:$A$105,0))),""))</f>
        <v/>
      </c>
      <c r="K76" s="9" t="str">
        <f aca="false">IF(C76="","",IF(AND(ISNUMBER(H76),N(F76)&gt;0),H76/F76,IF(N(J76)=0,"",IF(AND(ISNUMBER(G76),N(F76)&gt;0),G76/F76/J76,IF(ISNUMBER(I76),I76/J76,"")))))</f>
        <v/>
      </c>
      <c r="L76" s="27"/>
    </row>
    <row r="77" customFormat="false" ht="15" hidden="false" customHeight="false" outlineLevel="0" collapsed="false">
      <c r="A77" s="27"/>
      <c r="B77" s="27"/>
      <c r="C77" s="27"/>
      <c r="D77" s="27"/>
      <c r="E77" s="27"/>
      <c r="F77" s="27"/>
      <c r="G77" s="27"/>
      <c r="H77" s="27"/>
      <c r="I77" s="27"/>
      <c r="J77" s="9" t="str">
        <f aca="false">IF(E77="","",IFERROR(IF(N(INDEX(Telas!$G$6:$G$105,MATCH(E77,Telas!$A$6:$A$105,0)))=0,"",INDEX(Telas!$G$6:$G$105,MATCH(E77,Telas!$A$6:$A$105,0))),""))</f>
        <v/>
      </c>
      <c r="K77" s="9" t="str">
        <f aca="false">IF(C77="","",IF(AND(ISNUMBER(H77),N(F77)&gt;0),H77/F77,IF(N(J77)=0,"",IF(AND(ISNUMBER(G77),N(F77)&gt;0),G77/F77/J77,IF(ISNUMBER(I77),I77/J77,"")))))</f>
        <v/>
      </c>
      <c r="L77" s="27"/>
    </row>
    <row r="78" customFormat="false" ht="15" hidden="false" customHeight="false" outlineLevel="0" collapsed="false">
      <c r="A78" s="27"/>
      <c r="B78" s="27"/>
      <c r="C78" s="27"/>
      <c r="D78" s="27"/>
      <c r="E78" s="27"/>
      <c r="F78" s="27"/>
      <c r="G78" s="27"/>
      <c r="H78" s="27"/>
      <c r="I78" s="27"/>
      <c r="J78" s="9" t="str">
        <f aca="false">IF(E78="","",IFERROR(IF(N(INDEX(Telas!$G$6:$G$105,MATCH(E78,Telas!$A$6:$A$105,0)))=0,"",INDEX(Telas!$G$6:$G$105,MATCH(E78,Telas!$A$6:$A$105,0))),""))</f>
        <v/>
      </c>
      <c r="K78" s="9" t="str">
        <f aca="false">IF(C78="","",IF(AND(ISNUMBER(H78),N(F78)&gt;0),H78/F78,IF(N(J78)=0,"",IF(AND(ISNUMBER(G78),N(F78)&gt;0),G78/F78/J78,IF(ISNUMBER(I78),I78/J78,"")))))</f>
        <v/>
      </c>
      <c r="L78" s="27"/>
    </row>
    <row r="79" customFormat="false" ht="15" hidden="false" customHeight="false" outlineLevel="0" collapsed="false">
      <c r="A79" s="27"/>
      <c r="B79" s="27"/>
      <c r="C79" s="27"/>
      <c r="D79" s="27"/>
      <c r="E79" s="27"/>
      <c r="F79" s="27"/>
      <c r="G79" s="27"/>
      <c r="H79" s="27"/>
      <c r="I79" s="27"/>
      <c r="J79" s="9" t="str">
        <f aca="false">IF(E79="","",IFERROR(IF(N(INDEX(Telas!$G$6:$G$105,MATCH(E79,Telas!$A$6:$A$105,0)))=0,"",INDEX(Telas!$G$6:$G$105,MATCH(E79,Telas!$A$6:$A$105,0))),""))</f>
        <v/>
      </c>
      <c r="K79" s="9" t="str">
        <f aca="false">IF(C79="","",IF(AND(ISNUMBER(H79),N(F79)&gt;0),H79/F79,IF(N(J79)=0,"",IF(AND(ISNUMBER(G79),N(F79)&gt;0),G79/F79/J79,IF(ISNUMBER(I79),I79/J79,"")))))</f>
        <v/>
      </c>
      <c r="L79" s="27"/>
    </row>
    <row r="80" customFormat="false" ht="15" hidden="false" customHeight="false" outlineLevel="0" collapsed="false">
      <c r="A80" s="27"/>
      <c r="B80" s="27"/>
      <c r="C80" s="27"/>
      <c r="D80" s="27"/>
      <c r="E80" s="27"/>
      <c r="F80" s="27"/>
      <c r="G80" s="27"/>
      <c r="H80" s="27"/>
      <c r="I80" s="27"/>
      <c r="J80" s="9" t="str">
        <f aca="false">IF(E80="","",IFERROR(IF(N(INDEX(Telas!$G$6:$G$105,MATCH(E80,Telas!$A$6:$A$105,0)))=0,"",INDEX(Telas!$G$6:$G$105,MATCH(E80,Telas!$A$6:$A$105,0))),""))</f>
        <v/>
      </c>
      <c r="K80" s="9" t="str">
        <f aca="false">IF(C80="","",IF(AND(ISNUMBER(H80),N(F80)&gt;0),H80/F80,IF(N(J80)=0,"",IF(AND(ISNUMBER(G80),N(F80)&gt;0),G80/F80/J80,IF(ISNUMBER(I80),I80/J80,"")))))</f>
        <v/>
      </c>
      <c r="L80" s="27"/>
    </row>
    <row r="81" customFormat="false" ht="15" hidden="false" customHeight="false" outlineLevel="0" collapsed="false">
      <c r="A81" s="27"/>
      <c r="B81" s="27"/>
      <c r="C81" s="27"/>
      <c r="D81" s="27"/>
      <c r="E81" s="27"/>
      <c r="F81" s="27"/>
      <c r="G81" s="27"/>
      <c r="H81" s="27"/>
      <c r="I81" s="27"/>
      <c r="J81" s="9" t="str">
        <f aca="false">IF(E81="","",IFERROR(IF(N(INDEX(Telas!$G$6:$G$105,MATCH(E81,Telas!$A$6:$A$105,0)))=0,"",INDEX(Telas!$G$6:$G$105,MATCH(E81,Telas!$A$6:$A$105,0))),""))</f>
        <v/>
      </c>
      <c r="K81" s="9" t="str">
        <f aca="false">IF(C81="","",IF(AND(ISNUMBER(H81),N(F81)&gt;0),H81/F81,IF(N(J81)=0,"",IF(AND(ISNUMBER(G81),N(F81)&gt;0),G81/F81/J81,IF(ISNUMBER(I81),I81/J81,"")))))</f>
        <v/>
      </c>
      <c r="L81" s="27"/>
    </row>
    <row r="82" customFormat="false" ht="15" hidden="false" customHeight="false" outlineLevel="0" collapsed="false">
      <c r="A82" s="27"/>
      <c r="B82" s="27"/>
      <c r="C82" s="27"/>
      <c r="D82" s="27"/>
      <c r="E82" s="27"/>
      <c r="F82" s="27"/>
      <c r="G82" s="27"/>
      <c r="H82" s="27"/>
      <c r="I82" s="27"/>
      <c r="J82" s="9" t="str">
        <f aca="false">IF(E82="","",IFERROR(IF(N(INDEX(Telas!$G$6:$G$105,MATCH(E82,Telas!$A$6:$A$105,0)))=0,"",INDEX(Telas!$G$6:$G$105,MATCH(E82,Telas!$A$6:$A$105,0))),""))</f>
        <v/>
      </c>
      <c r="K82" s="9" t="str">
        <f aca="false">IF(C82="","",IF(AND(ISNUMBER(H82),N(F82)&gt;0),H82/F82,IF(N(J82)=0,"",IF(AND(ISNUMBER(G82),N(F82)&gt;0),G82/F82/J82,IF(ISNUMBER(I82),I82/J82,"")))))</f>
        <v/>
      </c>
      <c r="L82" s="27"/>
    </row>
    <row r="83" customFormat="false" ht="15" hidden="false" customHeight="false" outlineLevel="0" collapsed="false">
      <c r="A83" s="27"/>
      <c r="B83" s="27"/>
      <c r="C83" s="27"/>
      <c r="D83" s="27"/>
      <c r="E83" s="27"/>
      <c r="F83" s="27"/>
      <c r="G83" s="27"/>
      <c r="H83" s="27"/>
      <c r="I83" s="27"/>
      <c r="J83" s="9" t="str">
        <f aca="false">IF(E83="","",IFERROR(IF(N(INDEX(Telas!$G$6:$G$105,MATCH(E83,Telas!$A$6:$A$105,0)))=0,"",INDEX(Telas!$G$6:$G$105,MATCH(E83,Telas!$A$6:$A$105,0))),""))</f>
        <v/>
      </c>
      <c r="K83" s="9" t="str">
        <f aca="false">IF(C83="","",IF(AND(ISNUMBER(H83),N(F83)&gt;0),H83/F83,IF(N(J83)=0,"",IF(AND(ISNUMBER(G83),N(F83)&gt;0),G83/F83/J83,IF(ISNUMBER(I83),I83/J83,"")))))</f>
        <v/>
      </c>
      <c r="L83" s="27"/>
    </row>
    <row r="84" customFormat="false" ht="15" hidden="false" customHeight="false" outlineLevel="0" collapsed="false">
      <c r="A84" s="27"/>
      <c r="B84" s="27"/>
      <c r="C84" s="27"/>
      <c r="D84" s="27"/>
      <c r="E84" s="27"/>
      <c r="F84" s="27"/>
      <c r="G84" s="27"/>
      <c r="H84" s="27"/>
      <c r="I84" s="27"/>
      <c r="J84" s="9" t="str">
        <f aca="false">IF(E84="","",IFERROR(IF(N(INDEX(Telas!$G$6:$G$105,MATCH(E84,Telas!$A$6:$A$105,0)))=0,"",INDEX(Telas!$G$6:$G$105,MATCH(E84,Telas!$A$6:$A$105,0))),""))</f>
        <v/>
      </c>
      <c r="K84" s="9" t="str">
        <f aca="false">IF(C84="","",IF(AND(ISNUMBER(H84),N(F84)&gt;0),H84/F84,IF(N(J84)=0,"",IF(AND(ISNUMBER(G84),N(F84)&gt;0),G84/F84/J84,IF(ISNUMBER(I84),I84/J84,"")))))</f>
        <v/>
      </c>
      <c r="L84" s="27"/>
    </row>
    <row r="85" customFormat="false" ht="15" hidden="false" customHeight="false" outlineLevel="0" collapsed="false">
      <c r="A85" s="27"/>
      <c r="B85" s="27"/>
      <c r="C85" s="27"/>
      <c r="D85" s="27"/>
      <c r="E85" s="27"/>
      <c r="F85" s="27"/>
      <c r="G85" s="27"/>
      <c r="H85" s="27"/>
      <c r="I85" s="27"/>
      <c r="J85" s="9" t="str">
        <f aca="false">IF(E85="","",IFERROR(IF(N(INDEX(Telas!$G$6:$G$105,MATCH(E85,Telas!$A$6:$A$105,0)))=0,"",INDEX(Telas!$G$6:$G$105,MATCH(E85,Telas!$A$6:$A$105,0))),""))</f>
        <v/>
      </c>
      <c r="K85" s="9" t="str">
        <f aca="false">IF(C85="","",IF(AND(ISNUMBER(H85),N(F85)&gt;0),H85/F85,IF(N(J85)=0,"",IF(AND(ISNUMBER(G85),N(F85)&gt;0),G85/F85/J85,IF(ISNUMBER(I85),I85/J85,"")))))</f>
        <v/>
      </c>
      <c r="L85" s="27"/>
    </row>
    <row r="86" customFormat="false" ht="15" hidden="false" customHeight="false" outlineLevel="0" collapsed="false">
      <c r="A86" s="27"/>
      <c r="B86" s="27"/>
      <c r="C86" s="27"/>
      <c r="D86" s="27"/>
      <c r="E86" s="27"/>
      <c r="F86" s="27"/>
      <c r="G86" s="27"/>
      <c r="H86" s="27"/>
      <c r="I86" s="27"/>
      <c r="J86" s="9" t="str">
        <f aca="false">IF(E86="","",IFERROR(IF(N(INDEX(Telas!$G$6:$G$105,MATCH(E86,Telas!$A$6:$A$105,0)))=0,"",INDEX(Telas!$G$6:$G$105,MATCH(E86,Telas!$A$6:$A$105,0))),""))</f>
        <v/>
      </c>
      <c r="K86" s="9" t="str">
        <f aca="false">IF(C86="","",IF(AND(ISNUMBER(H86),N(F86)&gt;0),H86/F86,IF(N(J86)=0,"",IF(AND(ISNUMBER(G86),N(F86)&gt;0),G86/F86/J86,IF(ISNUMBER(I86),I86/J86,"")))))</f>
        <v/>
      </c>
      <c r="L86" s="27"/>
    </row>
    <row r="87" customFormat="false" ht="15" hidden="false" customHeight="false" outlineLevel="0" collapsed="false">
      <c r="A87" s="27"/>
      <c r="B87" s="27"/>
      <c r="C87" s="27"/>
      <c r="D87" s="27"/>
      <c r="E87" s="27"/>
      <c r="F87" s="27"/>
      <c r="G87" s="27"/>
      <c r="H87" s="27"/>
      <c r="I87" s="27"/>
      <c r="J87" s="9" t="str">
        <f aca="false">IF(E87="","",IFERROR(IF(N(INDEX(Telas!$G$6:$G$105,MATCH(E87,Telas!$A$6:$A$105,0)))=0,"",INDEX(Telas!$G$6:$G$105,MATCH(E87,Telas!$A$6:$A$105,0))),""))</f>
        <v/>
      </c>
      <c r="K87" s="9" t="str">
        <f aca="false">IF(C87="","",IF(AND(ISNUMBER(H87),N(F87)&gt;0),H87/F87,IF(N(J87)=0,"",IF(AND(ISNUMBER(G87),N(F87)&gt;0),G87/F87/J87,IF(ISNUMBER(I87),I87/J87,"")))))</f>
        <v/>
      </c>
      <c r="L87" s="27"/>
    </row>
    <row r="88" customFormat="false" ht="15" hidden="false" customHeight="false" outlineLevel="0" collapsed="false">
      <c r="A88" s="27"/>
      <c r="B88" s="27"/>
      <c r="C88" s="27"/>
      <c r="D88" s="27"/>
      <c r="E88" s="27"/>
      <c r="F88" s="27"/>
      <c r="G88" s="27"/>
      <c r="H88" s="27"/>
      <c r="I88" s="27"/>
      <c r="J88" s="9" t="str">
        <f aca="false">IF(E88="","",IFERROR(IF(N(INDEX(Telas!$G$6:$G$105,MATCH(E88,Telas!$A$6:$A$105,0)))=0,"",INDEX(Telas!$G$6:$G$105,MATCH(E88,Telas!$A$6:$A$105,0))),""))</f>
        <v/>
      </c>
      <c r="K88" s="9" t="str">
        <f aca="false">IF(C88="","",IF(AND(ISNUMBER(H88),N(F88)&gt;0),H88/F88,IF(N(J88)=0,"",IF(AND(ISNUMBER(G88),N(F88)&gt;0),G88/F88/J88,IF(ISNUMBER(I88),I88/J88,"")))))</f>
        <v/>
      </c>
      <c r="L88" s="27"/>
    </row>
    <row r="89" customFormat="false" ht="15" hidden="false" customHeight="false" outlineLevel="0" collapsed="false">
      <c r="A89" s="27"/>
      <c r="B89" s="27"/>
      <c r="C89" s="27"/>
      <c r="D89" s="27"/>
      <c r="E89" s="27"/>
      <c r="F89" s="27"/>
      <c r="G89" s="27"/>
      <c r="H89" s="27"/>
      <c r="I89" s="27"/>
      <c r="J89" s="9" t="str">
        <f aca="false">IF(E89="","",IFERROR(IF(N(INDEX(Telas!$G$6:$G$105,MATCH(E89,Telas!$A$6:$A$105,0)))=0,"",INDEX(Telas!$G$6:$G$105,MATCH(E89,Telas!$A$6:$A$105,0))),""))</f>
        <v/>
      </c>
      <c r="K89" s="9" t="str">
        <f aca="false">IF(C89="","",IF(AND(ISNUMBER(H89),N(F89)&gt;0),H89/F89,IF(N(J89)=0,"",IF(AND(ISNUMBER(G89),N(F89)&gt;0),G89/F89/J89,IF(ISNUMBER(I89),I89/J89,"")))))</f>
        <v/>
      </c>
      <c r="L89" s="27"/>
    </row>
    <row r="90" customFormat="false" ht="15" hidden="false" customHeight="false" outlineLevel="0" collapsed="false">
      <c r="A90" s="27"/>
      <c r="B90" s="27"/>
      <c r="C90" s="27"/>
      <c r="D90" s="27"/>
      <c r="E90" s="27"/>
      <c r="F90" s="27"/>
      <c r="G90" s="27"/>
      <c r="H90" s="27"/>
      <c r="I90" s="27"/>
      <c r="J90" s="9" t="str">
        <f aca="false">IF(E90="","",IFERROR(IF(N(INDEX(Telas!$G$6:$G$105,MATCH(E90,Telas!$A$6:$A$105,0)))=0,"",INDEX(Telas!$G$6:$G$105,MATCH(E90,Telas!$A$6:$A$105,0))),""))</f>
        <v/>
      </c>
      <c r="K90" s="9" t="str">
        <f aca="false">IF(C90="","",IF(AND(ISNUMBER(H90),N(F90)&gt;0),H90/F90,IF(N(J90)=0,"",IF(AND(ISNUMBER(G90),N(F90)&gt;0),G90/F90/J90,IF(ISNUMBER(I90),I90/J90,"")))))</f>
        <v/>
      </c>
      <c r="L90" s="27"/>
    </row>
    <row r="91" customFormat="false" ht="15" hidden="false" customHeight="false" outlineLevel="0" collapsed="false">
      <c r="A91" s="27"/>
      <c r="B91" s="27"/>
      <c r="C91" s="27"/>
      <c r="D91" s="27"/>
      <c r="E91" s="27"/>
      <c r="F91" s="27"/>
      <c r="G91" s="27"/>
      <c r="H91" s="27"/>
      <c r="I91" s="27"/>
      <c r="J91" s="9" t="str">
        <f aca="false">IF(E91="","",IFERROR(IF(N(INDEX(Telas!$G$6:$G$105,MATCH(E91,Telas!$A$6:$A$105,0)))=0,"",INDEX(Telas!$G$6:$G$105,MATCH(E91,Telas!$A$6:$A$105,0))),""))</f>
        <v/>
      </c>
      <c r="K91" s="9" t="str">
        <f aca="false">IF(C91="","",IF(AND(ISNUMBER(H91),N(F91)&gt;0),H91/F91,IF(N(J91)=0,"",IF(AND(ISNUMBER(G91),N(F91)&gt;0),G91/F91/J91,IF(ISNUMBER(I91),I91/J91,"")))))</f>
        <v/>
      </c>
      <c r="L91" s="27"/>
    </row>
    <row r="92" customFormat="false" ht="15" hidden="false" customHeight="false" outlineLevel="0" collapsed="false">
      <c r="A92" s="27"/>
      <c r="B92" s="27"/>
      <c r="C92" s="27"/>
      <c r="D92" s="27"/>
      <c r="E92" s="27"/>
      <c r="F92" s="27"/>
      <c r="G92" s="27"/>
      <c r="H92" s="27"/>
      <c r="I92" s="27"/>
      <c r="J92" s="9" t="str">
        <f aca="false">IF(E92="","",IFERROR(IF(N(INDEX(Telas!$G$6:$G$105,MATCH(E92,Telas!$A$6:$A$105,0)))=0,"",INDEX(Telas!$G$6:$G$105,MATCH(E92,Telas!$A$6:$A$105,0))),""))</f>
        <v/>
      </c>
      <c r="K92" s="9" t="str">
        <f aca="false">IF(C92="","",IF(AND(ISNUMBER(H92),N(F92)&gt;0),H92/F92,IF(N(J92)=0,"",IF(AND(ISNUMBER(G92),N(F92)&gt;0),G92/F92/J92,IF(ISNUMBER(I92),I92/J92,"")))))</f>
        <v/>
      </c>
      <c r="L92" s="27"/>
    </row>
    <row r="93" customFormat="false" ht="15" hidden="false" customHeight="false" outlineLevel="0" collapsed="false">
      <c r="A93" s="27"/>
      <c r="B93" s="27"/>
      <c r="C93" s="27"/>
      <c r="D93" s="27"/>
      <c r="E93" s="27"/>
      <c r="F93" s="27"/>
      <c r="G93" s="27"/>
      <c r="H93" s="27"/>
      <c r="I93" s="27"/>
      <c r="J93" s="9" t="str">
        <f aca="false">IF(E93="","",IFERROR(IF(N(INDEX(Telas!$G$6:$G$105,MATCH(E93,Telas!$A$6:$A$105,0)))=0,"",INDEX(Telas!$G$6:$G$105,MATCH(E93,Telas!$A$6:$A$105,0))),""))</f>
        <v/>
      </c>
      <c r="K93" s="9" t="str">
        <f aca="false">IF(C93="","",IF(AND(ISNUMBER(H93),N(F93)&gt;0),H93/F93,IF(N(J93)=0,"",IF(AND(ISNUMBER(G93),N(F93)&gt;0),G93/F93/J93,IF(ISNUMBER(I93),I93/J93,"")))))</f>
        <v/>
      </c>
      <c r="L93" s="27"/>
    </row>
    <row r="94" customFormat="false" ht="15" hidden="false" customHeight="false" outlineLevel="0" collapsed="false">
      <c r="A94" s="27"/>
      <c r="B94" s="27"/>
      <c r="C94" s="27"/>
      <c r="D94" s="27"/>
      <c r="E94" s="27"/>
      <c r="F94" s="27"/>
      <c r="G94" s="27"/>
      <c r="H94" s="27"/>
      <c r="I94" s="27"/>
      <c r="J94" s="9" t="str">
        <f aca="false">IF(E94="","",IFERROR(IF(N(INDEX(Telas!$G$6:$G$105,MATCH(E94,Telas!$A$6:$A$105,0)))=0,"",INDEX(Telas!$G$6:$G$105,MATCH(E94,Telas!$A$6:$A$105,0))),""))</f>
        <v/>
      </c>
      <c r="K94" s="9" t="str">
        <f aca="false">IF(C94="","",IF(AND(ISNUMBER(H94),N(F94)&gt;0),H94/F94,IF(N(J94)=0,"",IF(AND(ISNUMBER(G94),N(F94)&gt;0),G94/F94/J94,IF(ISNUMBER(I94),I94/J94,"")))))</f>
        <v/>
      </c>
      <c r="L94" s="27"/>
    </row>
    <row r="95" customFormat="false" ht="15" hidden="false" customHeight="false" outlineLevel="0" collapsed="false">
      <c r="A95" s="27"/>
      <c r="B95" s="27"/>
      <c r="C95" s="27"/>
      <c r="D95" s="27"/>
      <c r="E95" s="27"/>
      <c r="F95" s="27"/>
      <c r="G95" s="27"/>
      <c r="H95" s="27"/>
      <c r="I95" s="27"/>
      <c r="J95" s="9" t="str">
        <f aca="false">IF(E95="","",IFERROR(IF(N(INDEX(Telas!$G$6:$G$105,MATCH(E95,Telas!$A$6:$A$105,0)))=0,"",INDEX(Telas!$G$6:$G$105,MATCH(E95,Telas!$A$6:$A$105,0))),""))</f>
        <v/>
      </c>
      <c r="K95" s="9" t="str">
        <f aca="false">IF(C95="","",IF(AND(ISNUMBER(H95),N(F95)&gt;0),H95/F95,IF(N(J95)=0,"",IF(AND(ISNUMBER(G95),N(F95)&gt;0),G95/F95/J95,IF(ISNUMBER(I95),I95/J95,"")))))</f>
        <v/>
      </c>
      <c r="L95" s="27"/>
    </row>
    <row r="96" customFormat="false" ht="15" hidden="false" customHeight="false" outlineLevel="0" collapsed="false">
      <c r="A96" s="27"/>
      <c r="B96" s="27"/>
      <c r="C96" s="27"/>
      <c r="D96" s="27"/>
      <c r="E96" s="27"/>
      <c r="F96" s="27"/>
      <c r="G96" s="27"/>
      <c r="H96" s="27"/>
      <c r="I96" s="27"/>
      <c r="J96" s="9" t="str">
        <f aca="false">IF(E96="","",IFERROR(IF(N(INDEX(Telas!$G$6:$G$105,MATCH(E96,Telas!$A$6:$A$105,0)))=0,"",INDEX(Telas!$G$6:$G$105,MATCH(E96,Telas!$A$6:$A$105,0))),""))</f>
        <v/>
      </c>
      <c r="K96" s="9" t="str">
        <f aca="false">IF(C96="","",IF(AND(ISNUMBER(H96),N(F96)&gt;0),H96/F96,IF(N(J96)=0,"",IF(AND(ISNUMBER(G96),N(F96)&gt;0),G96/F96/J96,IF(ISNUMBER(I96),I96/J96,"")))))</f>
        <v/>
      </c>
      <c r="L96" s="27"/>
    </row>
    <row r="97" customFormat="false" ht="15" hidden="false" customHeight="false" outlineLevel="0" collapsed="false">
      <c r="A97" s="27"/>
      <c r="B97" s="27"/>
      <c r="C97" s="27"/>
      <c r="D97" s="27"/>
      <c r="E97" s="27"/>
      <c r="F97" s="27"/>
      <c r="G97" s="27"/>
      <c r="H97" s="27"/>
      <c r="I97" s="27"/>
      <c r="J97" s="9" t="str">
        <f aca="false">IF(E97="","",IFERROR(IF(N(INDEX(Telas!$G$6:$G$105,MATCH(E97,Telas!$A$6:$A$105,0)))=0,"",INDEX(Telas!$G$6:$G$105,MATCH(E97,Telas!$A$6:$A$105,0))),""))</f>
        <v/>
      </c>
      <c r="K97" s="9" t="str">
        <f aca="false">IF(C97="","",IF(AND(ISNUMBER(H97),N(F97)&gt;0),H97/F97,IF(N(J97)=0,"",IF(AND(ISNUMBER(G97),N(F97)&gt;0),G97/F97/J97,IF(ISNUMBER(I97),I97/J97,"")))))</f>
        <v/>
      </c>
      <c r="L97" s="27"/>
    </row>
    <row r="98" customFormat="false" ht="15" hidden="false" customHeight="false" outlineLevel="0" collapsed="false">
      <c r="A98" s="27"/>
      <c r="B98" s="27"/>
      <c r="C98" s="27"/>
      <c r="D98" s="27"/>
      <c r="E98" s="27"/>
      <c r="F98" s="27"/>
      <c r="G98" s="27"/>
      <c r="H98" s="27"/>
      <c r="I98" s="27"/>
      <c r="J98" s="9" t="str">
        <f aca="false">IF(E98="","",IFERROR(IF(N(INDEX(Telas!$G$6:$G$105,MATCH(E98,Telas!$A$6:$A$105,0)))=0,"",INDEX(Telas!$G$6:$G$105,MATCH(E98,Telas!$A$6:$A$105,0))),""))</f>
        <v/>
      </c>
      <c r="K98" s="9" t="str">
        <f aca="false">IF(C98="","",IF(AND(ISNUMBER(H98),N(F98)&gt;0),H98/F98,IF(N(J98)=0,"",IF(AND(ISNUMBER(G98),N(F98)&gt;0),G98/F98/J98,IF(ISNUMBER(I98),I98/J98,"")))))</f>
        <v/>
      </c>
      <c r="L98" s="27"/>
    </row>
    <row r="99" customFormat="false" ht="15" hidden="false" customHeight="false" outlineLevel="0" collapsed="false">
      <c r="A99" s="27"/>
      <c r="B99" s="27"/>
      <c r="C99" s="27"/>
      <c r="D99" s="27"/>
      <c r="E99" s="27"/>
      <c r="F99" s="27"/>
      <c r="G99" s="27"/>
      <c r="H99" s="27"/>
      <c r="I99" s="27"/>
      <c r="J99" s="9" t="str">
        <f aca="false">IF(E99="","",IFERROR(IF(N(INDEX(Telas!$G$6:$G$105,MATCH(E99,Telas!$A$6:$A$105,0)))=0,"",INDEX(Telas!$G$6:$G$105,MATCH(E99,Telas!$A$6:$A$105,0))),""))</f>
        <v/>
      </c>
      <c r="K99" s="9" t="str">
        <f aca="false">IF(C99="","",IF(AND(ISNUMBER(H99),N(F99)&gt;0),H99/F99,IF(N(J99)=0,"",IF(AND(ISNUMBER(G99),N(F99)&gt;0),G99/F99/J99,IF(ISNUMBER(I99),I99/J99,"")))))</f>
        <v/>
      </c>
      <c r="L99" s="27"/>
    </row>
    <row r="100" customFormat="false" ht="15" hidden="false" customHeight="false" outlineLevel="0" collapsed="false">
      <c r="A100" s="27"/>
      <c r="B100" s="27"/>
      <c r="C100" s="27"/>
      <c r="D100" s="27"/>
      <c r="E100" s="27"/>
      <c r="F100" s="27"/>
      <c r="G100" s="27"/>
      <c r="H100" s="27"/>
      <c r="I100" s="27"/>
      <c r="J100" s="9" t="str">
        <f aca="false">IF(E100="","",IFERROR(IF(N(INDEX(Telas!$G$6:$G$105,MATCH(E100,Telas!$A$6:$A$105,0)))=0,"",INDEX(Telas!$G$6:$G$105,MATCH(E100,Telas!$A$6:$A$105,0))),""))</f>
        <v/>
      </c>
      <c r="K100" s="9" t="str">
        <f aca="false">IF(C100="","",IF(AND(ISNUMBER(H100),N(F100)&gt;0),H100/F100,IF(N(J100)=0,"",IF(AND(ISNUMBER(G100),N(F100)&gt;0),G100/F100/J100,IF(ISNUMBER(I100),I100/J100,"")))))</f>
        <v/>
      </c>
      <c r="L100" s="27"/>
    </row>
    <row r="101" customFormat="false" ht="15" hidden="false" customHeight="false" outlineLevel="0" collapsed="false">
      <c r="A101" s="27"/>
      <c r="B101" s="27"/>
      <c r="C101" s="27"/>
      <c r="D101" s="27"/>
      <c r="E101" s="27"/>
      <c r="F101" s="27"/>
      <c r="G101" s="27"/>
      <c r="H101" s="27"/>
      <c r="I101" s="27"/>
      <c r="J101" s="9" t="str">
        <f aca="false">IF(E101="","",IFERROR(IF(N(INDEX(Telas!$G$6:$G$105,MATCH(E101,Telas!$A$6:$A$105,0)))=0,"",INDEX(Telas!$G$6:$G$105,MATCH(E101,Telas!$A$6:$A$105,0))),""))</f>
        <v/>
      </c>
      <c r="K101" s="9" t="str">
        <f aca="false">IF(C101="","",IF(AND(ISNUMBER(H101),N(F101)&gt;0),H101/F101,IF(N(J101)=0,"",IF(AND(ISNUMBER(G101),N(F101)&gt;0),G101/F101/J101,IF(ISNUMBER(I101),I101/J101,"")))))</f>
        <v/>
      </c>
      <c r="L101" s="27"/>
    </row>
    <row r="102" customFormat="false" ht="15" hidden="false" customHeight="false" outlineLevel="0" collapsed="false">
      <c r="A102" s="27"/>
      <c r="B102" s="27"/>
      <c r="C102" s="27"/>
      <c r="D102" s="27"/>
      <c r="E102" s="27"/>
      <c r="F102" s="27"/>
      <c r="G102" s="27"/>
      <c r="H102" s="27"/>
      <c r="I102" s="27"/>
      <c r="J102" s="9" t="str">
        <f aca="false">IF(E102="","",IFERROR(IF(N(INDEX(Telas!$G$6:$G$105,MATCH(E102,Telas!$A$6:$A$105,0)))=0,"",INDEX(Telas!$G$6:$G$105,MATCH(E102,Telas!$A$6:$A$105,0))),""))</f>
        <v/>
      </c>
      <c r="K102" s="9" t="str">
        <f aca="false">IF(C102="","",IF(AND(ISNUMBER(H102),N(F102)&gt;0),H102/F102,IF(N(J102)=0,"",IF(AND(ISNUMBER(G102),N(F102)&gt;0),G102/F102/J102,IF(ISNUMBER(I102),I102/J102,"")))))</f>
        <v/>
      </c>
      <c r="L102" s="27"/>
    </row>
    <row r="103" customFormat="false" ht="15" hidden="false" customHeight="false" outlineLevel="0" collapsed="false">
      <c r="A103" s="27"/>
      <c r="B103" s="27"/>
      <c r="C103" s="27"/>
      <c r="D103" s="27"/>
      <c r="E103" s="27"/>
      <c r="F103" s="27"/>
      <c r="G103" s="27"/>
      <c r="H103" s="27"/>
      <c r="I103" s="27"/>
      <c r="J103" s="9" t="str">
        <f aca="false">IF(E103="","",IFERROR(IF(N(INDEX(Telas!$G$6:$G$105,MATCH(E103,Telas!$A$6:$A$105,0)))=0,"",INDEX(Telas!$G$6:$G$105,MATCH(E103,Telas!$A$6:$A$105,0))),""))</f>
        <v/>
      </c>
      <c r="K103" s="9" t="str">
        <f aca="false">IF(C103="","",IF(AND(ISNUMBER(H103),N(F103)&gt;0),H103/F103,IF(N(J103)=0,"",IF(AND(ISNUMBER(G103),N(F103)&gt;0),G103/F103/J103,IF(ISNUMBER(I103),I103/J103,"")))))</f>
        <v/>
      </c>
      <c r="L103" s="27"/>
    </row>
    <row r="104" customFormat="false" ht="15" hidden="false" customHeight="false" outlineLevel="0" collapsed="false">
      <c r="A104" s="27"/>
      <c r="B104" s="27"/>
      <c r="C104" s="27"/>
      <c r="D104" s="27"/>
      <c r="E104" s="27"/>
      <c r="F104" s="27"/>
      <c r="G104" s="27"/>
      <c r="H104" s="27"/>
      <c r="I104" s="27"/>
      <c r="J104" s="9" t="str">
        <f aca="false">IF(E104="","",IFERROR(IF(N(INDEX(Telas!$G$6:$G$105,MATCH(E104,Telas!$A$6:$A$105,0)))=0,"",INDEX(Telas!$G$6:$G$105,MATCH(E104,Telas!$A$6:$A$105,0))),""))</f>
        <v/>
      </c>
      <c r="K104" s="9" t="str">
        <f aca="false">IF(C104="","",IF(AND(ISNUMBER(H104),N(F104)&gt;0),H104/F104,IF(N(J104)=0,"",IF(AND(ISNUMBER(G104),N(F104)&gt;0),G104/F104/J104,IF(ISNUMBER(I104),I104/J104,"")))))</f>
        <v/>
      </c>
      <c r="L104" s="27"/>
    </row>
    <row r="105" customFormat="false" ht="15" hidden="false" customHeight="false" outlineLevel="0" collapsed="false">
      <c r="A105" s="27"/>
      <c r="B105" s="27"/>
      <c r="C105" s="27"/>
      <c r="D105" s="27"/>
      <c r="E105" s="27"/>
      <c r="F105" s="27"/>
      <c r="G105" s="27"/>
      <c r="H105" s="27"/>
      <c r="I105" s="27"/>
      <c r="J105" s="9" t="str">
        <f aca="false">IF(E105="","",IFERROR(IF(N(INDEX(Telas!$G$6:$G$105,MATCH(E105,Telas!$A$6:$A$105,0)))=0,"",INDEX(Telas!$G$6:$G$105,MATCH(E105,Telas!$A$6:$A$105,0))),""))</f>
        <v/>
      </c>
      <c r="K105" s="9" t="str">
        <f aca="false">IF(C105="","",IF(AND(ISNUMBER(H105),N(F105)&gt;0),H105/F105,IF(N(J105)=0,"",IF(AND(ISNUMBER(G105),N(F105)&gt;0),G105/F105/J105,IF(ISNUMBER(I105),I105/J105,"")))))</f>
        <v/>
      </c>
      <c r="L105" s="27"/>
    </row>
    <row r="106" customFormat="false" ht="15" hidden="false" customHeight="false" outlineLevel="0" collapsed="false">
      <c r="A106" s="27"/>
      <c r="B106" s="27"/>
      <c r="C106" s="27"/>
      <c r="D106" s="27"/>
      <c r="E106" s="27"/>
      <c r="F106" s="27"/>
      <c r="G106" s="27"/>
      <c r="H106" s="27"/>
      <c r="I106" s="27"/>
      <c r="J106" s="9" t="str">
        <f aca="false">IF(E106="","",IFERROR(IF(N(INDEX(Telas!$G$6:$G$105,MATCH(E106,Telas!$A$6:$A$105,0)))=0,"",INDEX(Telas!$G$6:$G$105,MATCH(E106,Telas!$A$6:$A$105,0))),""))</f>
        <v/>
      </c>
      <c r="K106" s="9" t="str">
        <f aca="false">IF(C106="","",IF(AND(ISNUMBER(H106),N(F106)&gt;0),H106/F106,IF(N(J106)=0,"",IF(AND(ISNUMBER(G106),N(F106)&gt;0),G106/F106/J106,IF(ISNUMBER(I106),I106/J106,"")))))</f>
        <v/>
      </c>
      <c r="L106" s="27"/>
    </row>
    <row r="107" customFormat="false" ht="15" hidden="false" customHeight="false" outlineLevel="0" collapsed="false">
      <c r="A107" s="27"/>
      <c r="B107" s="27"/>
      <c r="C107" s="27"/>
      <c r="D107" s="27"/>
      <c r="E107" s="27"/>
      <c r="F107" s="27"/>
      <c r="G107" s="27"/>
      <c r="H107" s="27"/>
      <c r="I107" s="27"/>
      <c r="J107" s="9" t="str">
        <f aca="false">IF(E107="","",IFERROR(IF(N(INDEX(Telas!$G$6:$G$105,MATCH(E107,Telas!$A$6:$A$105,0)))=0,"",INDEX(Telas!$G$6:$G$105,MATCH(E107,Telas!$A$6:$A$105,0))),""))</f>
        <v/>
      </c>
      <c r="K107" s="9" t="str">
        <f aca="false">IF(C107="","",IF(AND(ISNUMBER(H107),N(F107)&gt;0),H107/F107,IF(N(J107)=0,"",IF(AND(ISNUMBER(G107),N(F107)&gt;0),G107/F107/J107,IF(ISNUMBER(I107),I107/J107,"")))))</f>
        <v/>
      </c>
      <c r="L107" s="27"/>
    </row>
    <row r="108" customFormat="false" ht="15" hidden="false" customHeight="false" outlineLevel="0" collapsed="false">
      <c r="A108" s="27"/>
      <c r="B108" s="27"/>
      <c r="C108" s="27"/>
      <c r="D108" s="27"/>
      <c r="E108" s="27"/>
      <c r="F108" s="27"/>
      <c r="G108" s="27"/>
      <c r="H108" s="27"/>
      <c r="I108" s="27"/>
      <c r="J108" s="9" t="str">
        <f aca="false">IF(E108="","",IFERROR(IF(N(INDEX(Telas!$G$6:$G$105,MATCH(E108,Telas!$A$6:$A$105,0)))=0,"",INDEX(Telas!$G$6:$G$105,MATCH(E108,Telas!$A$6:$A$105,0))),""))</f>
        <v/>
      </c>
      <c r="K108" s="9" t="str">
        <f aca="false">IF(C108="","",IF(AND(ISNUMBER(H108),N(F108)&gt;0),H108/F108,IF(N(J108)=0,"",IF(AND(ISNUMBER(G108),N(F108)&gt;0),G108/F108/J108,IF(ISNUMBER(I108),I108/J108,"")))))</f>
        <v/>
      </c>
      <c r="L108" s="27"/>
    </row>
    <row r="109" customFormat="false" ht="15" hidden="false" customHeight="false" outlineLevel="0" collapsed="false">
      <c r="A109" s="27"/>
      <c r="B109" s="27"/>
      <c r="C109" s="27"/>
      <c r="D109" s="27"/>
      <c r="E109" s="27"/>
      <c r="F109" s="27"/>
      <c r="G109" s="27"/>
      <c r="H109" s="27"/>
      <c r="I109" s="27"/>
      <c r="J109" s="9" t="str">
        <f aca="false">IF(E109="","",IFERROR(IF(N(INDEX(Telas!$G$6:$G$105,MATCH(E109,Telas!$A$6:$A$105,0)))=0,"",INDEX(Telas!$G$6:$G$105,MATCH(E109,Telas!$A$6:$A$105,0))),""))</f>
        <v/>
      </c>
      <c r="K109" s="9" t="str">
        <f aca="false">IF(C109="","",IF(AND(ISNUMBER(H109),N(F109)&gt;0),H109/F109,IF(N(J109)=0,"",IF(AND(ISNUMBER(G109),N(F109)&gt;0),G109/F109/J109,IF(ISNUMBER(I109),I109/J109,"")))))</f>
        <v/>
      </c>
      <c r="L109" s="27"/>
    </row>
    <row r="110" customFormat="false" ht="15" hidden="false" customHeight="false" outlineLevel="0" collapsed="false">
      <c r="A110" s="27"/>
      <c r="B110" s="27"/>
      <c r="C110" s="27"/>
      <c r="D110" s="27"/>
      <c r="E110" s="27"/>
      <c r="F110" s="27"/>
      <c r="G110" s="27"/>
      <c r="H110" s="27"/>
      <c r="I110" s="27"/>
      <c r="J110" s="9" t="str">
        <f aca="false">IF(E110="","",IFERROR(IF(N(INDEX(Telas!$G$6:$G$105,MATCH(E110,Telas!$A$6:$A$105,0)))=0,"",INDEX(Telas!$G$6:$G$105,MATCH(E110,Telas!$A$6:$A$105,0))),""))</f>
        <v/>
      </c>
      <c r="K110" s="9" t="str">
        <f aca="false">IF(C110="","",IF(AND(ISNUMBER(H110),N(F110)&gt;0),H110/F110,IF(N(J110)=0,"",IF(AND(ISNUMBER(G110),N(F110)&gt;0),G110/F110/J110,IF(ISNUMBER(I110),I110/J110,"")))))</f>
        <v/>
      </c>
      <c r="L110" s="27"/>
    </row>
    <row r="111" customFormat="false" ht="15" hidden="false" customHeight="false" outlineLevel="0" collapsed="false">
      <c r="A111" s="27"/>
      <c r="B111" s="27"/>
      <c r="C111" s="27"/>
      <c r="D111" s="27"/>
      <c r="E111" s="27"/>
      <c r="F111" s="27"/>
      <c r="G111" s="27"/>
      <c r="H111" s="27"/>
      <c r="I111" s="27"/>
      <c r="J111" s="9" t="str">
        <f aca="false">IF(E111="","",IFERROR(IF(N(INDEX(Telas!$G$6:$G$105,MATCH(E111,Telas!$A$6:$A$105,0)))=0,"",INDEX(Telas!$G$6:$G$105,MATCH(E111,Telas!$A$6:$A$105,0))),""))</f>
        <v/>
      </c>
      <c r="K111" s="9" t="str">
        <f aca="false">IF(C111="","",IF(AND(ISNUMBER(H111),N(F111)&gt;0),H111/F111,IF(N(J111)=0,"",IF(AND(ISNUMBER(G111),N(F111)&gt;0),G111/F111/J111,IF(ISNUMBER(I111),I111/J111,"")))))</f>
        <v/>
      </c>
      <c r="L111" s="27"/>
    </row>
    <row r="112" customFormat="false" ht="15" hidden="false" customHeight="false" outlineLevel="0" collapsed="false">
      <c r="A112" s="27"/>
      <c r="B112" s="27"/>
      <c r="C112" s="27"/>
      <c r="D112" s="27"/>
      <c r="E112" s="27"/>
      <c r="F112" s="27"/>
      <c r="G112" s="27"/>
      <c r="H112" s="27"/>
      <c r="I112" s="27"/>
      <c r="J112" s="9" t="str">
        <f aca="false">IF(E112="","",IFERROR(IF(N(INDEX(Telas!$G$6:$G$105,MATCH(E112,Telas!$A$6:$A$105,0)))=0,"",INDEX(Telas!$G$6:$G$105,MATCH(E112,Telas!$A$6:$A$105,0))),""))</f>
        <v/>
      </c>
      <c r="K112" s="9" t="str">
        <f aca="false">IF(C112="","",IF(AND(ISNUMBER(H112),N(F112)&gt;0),H112/F112,IF(N(J112)=0,"",IF(AND(ISNUMBER(G112),N(F112)&gt;0),G112/F112/J112,IF(ISNUMBER(I112),I112/J112,"")))))</f>
        <v/>
      </c>
      <c r="L112" s="27"/>
    </row>
    <row r="113" customFormat="false" ht="15" hidden="false" customHeight="false" outlineLevel="0" collapsed="false">
      <c r="A113" s="27"/>
      <c r="B113" s="27"/>
      <c r="C113" s="27"/>
      <c r="D113" s="27"/>
      <c r="E113" s="27"/>
      <c r="F113" s="27"/>
      <c r="G113" s="27"/>
      <c r="H113" s="27"/>
      <c r="I113" s="27"/>
      <c r="J113" s="9" t="str">
        <f aca="false">IF(E113="","",IFERROR(IF(N(INDEX(Telas!$G$6:$G$105,MATCH(E113,Telas!$A$6:$A$105,0)))=0,"",INDEX(Telas!$G$6:$G$105,MATCH(E113,Telas!$A$6:$A$105,0))),""))</f>
        <v/>
      </c>
      <c r="K113" s="9" t="str">
        <f aca="false">IF(C113="","",IF(AND(ISNUMBER(H113),N(F113)&gt;0),H113/F113,IF(N(J113)=0,"",IF(AND(ISNUMBER(G113),N(F113)&gt;0),G113/F113/J113,IF(ISNUMBER(I113),I113/J113,"")))))</f>
        <v/>
      </c>
      <c r="L113" s="27"/>
    </row>
    <row r="114" customFormat="false" ht="15" hidden="false" customHeight="false" outlineLevel="0" collapsed="false">
      <c r="A114" s="27"/>
      <c r="B114" s="27"/>
      <c r="C114" s="27"/>
      <c r="D114" s="27"/>
      <c r="E114" s="27"/>
      <c r="F114" s="27"/>
      <c r="G114" s="27"/>
      <c r="H114" s="27"/>
      <c r="I114" s="27"/>
      <c r="J114" s="9" t="str">
        <f aca="false">IF(E114="","",IFERROR(IF(N(INDEX(Telas!$G$6:$G$105,MATCH(E114,Telas!$A$6:$A$105,0)))=0,"",INDEX(Telas!$G$6:$G$105,MATCH(E114,Telas!$A$6:$A$105,0))),""))</f>
        <v/>
      </c>
      <c r="K114" s="9" t="str">
        <f aca="false">IF(C114="","",IF(AND(ISNUMBER(H114),N(F114)&gt;0),H114/F114,IF(N(J114)=0,"",IF(AND(ISNUMBER(G114),N(F114)&gt;0),G114/F114/J114,IF(ISNUMBER(I114),I114/J114,"")))))</f>
        <v/>
      </c>
      <c r="L114" s="27"/>
    </row>
    <row r="115" customFormat="false" ht="15" hidden="false" customHeight="false" outlineLevel="0" collapsed="false">
      <c r="A115" s="27"/>
      <c r="B115" s="27"/>
      <c r="C115" s="27"/>
      <c r="D115" s="27"/>
      <c r="E115" s="27"/>
      <c r="F115" s="27"/>
      <c r="G115" s="27"/>
      <c r="H115" s="27"/>
      <c r="I115" s="27"/>
      <c r="J115" s="9" t="str">
        <f aca="false">IF(E115="","",IFERROR(IF(N(INDEX(Telas!$G$6:$G$105,MATCH(E115,Telas!$A$6:$A$105,0)))=0,"",INDEX(Telas!$G$6:$G$105,MATCH(E115,Telas!$A$6:$A$105,0))),""))</f>
        <v/>
      </c>
      <c r="K115" s="9" t="str">
        <f aca="false">IF(C115="","",IF(AND(ISNUMBER(H115),N(F115)&gt;0),H115/F115,IF(N(J115)=0,"",IF(AND(ISNUMBER(G115),N(F115)&gt;0),G115/F115/J115,IF(ISNUMBER(I115),I115/J115,"")))))</f>
        <v/>
      </c>
      <c r="L115" s="27"/>
    </row>
    <row r="116" customFormat="false" ht="15" hidden="false" customHeight="false" outlineLevel="0" collapsed="false">
      <c r="A116" s="27"/>
      <c r="B116" s="27"/>
      <c r="C116" s="27"/>
      <c r="D116" s="27"/>
      <c r="E116" s="27"/>
      <c r="F116" s="27"/>
      <c r="G116" s="27"/>
      <c r="H116" s="27"/>
      <c r="I116" s="27"/>
      <c r="J116" s="9" t="str">
        <f aca="false">IF(E116="","",IFERROR(IF(N(INDEX(Telas!$G$6:$G$105,MATCH(E116,Telas!$A$6:$A$105,0)))=0,"",INDEX(Telas!$G$6:$G$105,MATCH(E116,Telas!$A$6:$A$105,0))),""))</f>
        <v/>
      </c>
      <c r="K116" s="9" t="str">
        <f aca="false">IF(C116="","",IF(AND(ISNUMBER(H116),N(F116)&gt;0),H116/F116,IF(N(J116)=0,"",IF(AND(ISNUMBER(G116),N(F116)&gt;0),G116/F116/J116,IF(ISNUMBER(I116),I116/J116,"")))))</f>
        <v/>
      </c>
      <c r="L116" s="27"/>
    </row>
    <row r="117" customFormat="false" ht="15" hidden="false" customHeight="false" outlineLevel="0" collapsed="false">
      <c r="A117" s="27"/>
      <c r="B117" s="27"/>
      <c r="C117" s="27"/>
      <c r="D117" s="27"/>
      <c r="E117" s="27"/>
      <c r="F117" s="27"/>
      <c r="G117" s="27"/>
      <c r="H117" s="27"/>
      <c r="I117" s="27"/>
      <c r="J117" s="9" t="str">
        <f aca="false">IF(E117="","",IFERROR(IF(N(INDEX(Telas!$G$6:$G$105,MATCH(E117,Telas!$A$6:$A$105,0)))=0,"",INDEX(Telas!$G$6:$G$105,MATCH(E117,Telas!$A$6:$A$105,0))),""))</f>
        <v/>
      </c>
      <c r="K117" s="9" t="str">
        <f aca="false">IF(C117="","",IF(AND(ISNUMBER(H117),N(F117)&gt;0),H117/F117,IF(N(J117)=0,"",IF(AND(ISNUMBER(G117),N(F117)&gt;0),G117/F117/J117,IF(ISNUMBER(I117),I117/J117,"")))))</f>
        <v/>
      </c>
      <c r="L117" s="27"/>
    </row>
    <row r="118" customFormat="false" ht="15" hidden="false" customHeight="false" outlineLevel="0" collapsed="false">
      <c r="A118" s="27"/>
      <c r="B118" s="27"/>
      <c r="C118" s="27"/>
      <c r="D118" s="27"/>
      <c r="E118" s="27"/>
      <c r="F118" s="27"/>
      <c r="G118" s="27"/>
      <c r="H118" s="27"/>
      <c r="I118" s="27"/>
      <c r="J118" s="9" t="str">
        <f aca="false">IF(E118="","",IFERROR(IF(N(INDEX(Telas!$G$6:$G$105,MATCH(E118,Telas!$A$6:$A$105,0)))=0,"",INDEX(Telas!$G$6:$G$105,MATCH(E118,Telas!$A$6:$A$105,0))),""))</f>
        <v/>
      </c>
      <c r="K118" s="9" t="str">
        <f aca="false">IF(C118="","",IF(AND(ISNUMBER(H118),N(F118)&gt;0),H118/F118,IF(N(J118)=0,"",IF(AND(ISNUMBER(G118),N(F118)&gt;0),G118/F118/J118,IF(ISNUMBER(I118),I118/J118,"")))))</f>
        <v/>
      </c>
      <c r="L118" s="27"/>
    </row>
    <row r="119" customFormat="false" ht="15" hidden="false" customHeight="false" outlineLevel="0" collapsed="false">
      <c r="A119" s="27"/>
      <c r="B119" s="27"/>
      <c r="C119" s="27"/>
      <c r="D119" s="27"/>
      <c r="E119" s="27"/>
      <c r="F119" s="27"/>
      <c r="G119" s="27"/>
      <c r="H119" s="27"/>
      <c r="I119" s="27"/>
      <c r="J119" s="9" t="str">
        <f aca="false">IF(E119="","",IFERROR(IF(N(INDEX(Telas!$G$6:$G$105,MATCH(E119,Telas!$A$6:$A$105,0)))=0,"",INDEX(Telas!$G$6:$G$105,MATCH(E119,Telas!$A$6:$A$105,0))),""))</f>
        <v/>
      </c>
      <c r="K119" s="9" t="str">
        <f aca="false">IF(C119="","",IF(AND(ISNUMBER(H119),N(F119)&gt;0),H119/F119,IF(N(J119)=0,"",IF(AND(ISNUMBER(G119),N(F119)&gt;0),G119/F119/J119,IF(ISNUMBER(I119),I119/J119,"")))))</f>
        <v/>
      </c>
      <c r="L119" s="27"/>
    </row>
    <row r="120" customFormat="false" ht="15" hidden="false" customHeight="false" outlineLevel="0" collapsed="false">
      <c r="A120" s="27"/>
      <c r="B120" s="27"/>
      <c r="C120" s="27"/>
      <c r="D120" s="27"/>
      <c r="E120" s="27"/>
      <c r="F120" s="27"/>
      <c r="G120" s="27"/>
      <c r="H120" s="27"/>
      <c r="I120" s="27"/>
      <c r="J120" s="9" t="str">
        <f aca="false">IF(E120="","",IFERROR(IF(N(INDEX(Telas!$G$6:$G$105,MATCH(E120,Telas!$A$6:$A$105,0)))=0,"",INDEX(Telas!$G$6:$G$105,MATCH(E120,Telas!$A$6:$A$105,0))),""))</f>
        <v/>
      </c>
      <c r="K120" s="9" t="str">
        <f aca="false">IF(C120="","",IF(AND(ISNUMBER(H120),N(F120)&gt;0),H120/F120,IF(N(J120)=0,"",IF(AND(ISNUMBER(G120),N(F120)&gt;0),G120/F120/J120,IF(ISNUMBER(I120),I120/J120,"")))))</f>
        <v/>
      </c>
      <c r="L120" s="27"/>
    </row>
    <row r="121" customFormat="false" ht="15" hidden="false" customHeight="false" outlineLevel="0" collapsed="false">
      <c r="A121" s="27"/>
      <c r="B121" s="27"/>
      <c r="C121" s="27"/>
      <c r="D121" s="27"/>
      <c r="E121" s="27"/>
      <c r="F121" s="27"/>
      <c r="G121" s="27"/>
      <c r="H121" s="27"/>
      <c r="I121" s="27"/>
      <c r="J121" s="9" t="str">
        <f aca="false">IF(E121="","",IFERROR(IF(N(INDEX(Telas!$G$6:$G$105,MATCH(E121,Telas!$A$6:$A$105,0)))=0,"",INDEX(Telas!$G$6:$G$105,MATCH(E121,Telas!$A$6:$A$105,0))),""))</f>
        <v/>
      </c>
      <c r="K121" s="9" t="str">
        <f aca="false">IF(C121="","",IF(AND(ISNUMBER(H121),N(F121)&gt;0),H121/F121,IF(N(J121)=0,"",IF(AND(ISNUMBER(G121),N(F121)&gt;0),G121/F121/J121,IF(ISNUMBER(I121),I121/J121,"")))))</f>
        <v/>
      </c>
      <c r="L121" s="27"/>
    </row>
    <row r="122" customFormat="false" ht="15" hidden="false" customHeight="false" outlineLevel="0" collapsed="false">
      <c r="A122" s="27"/>
      <c r="B122" s="27"/>
      <c r="C122" s="27"/>
      <c r="D122" s="27"/>
      <c r="E122" s="27"/>
      <c r="F122" s="27"/>
      <c r="G122" s="27"/>
      <c r="H122" s="27"/>
      <c r="I122" s="27"/>
      <c r="J122" s="9" t="str">
        <f aca="false">IF(E122="","",IFERROR(IF(N(INDEX(Telas!$G$6:$G$105,MATCH(E122,Telas!$A$6:$A$105,0)))=0,"",INDEX(Telas!$G$6:$G$105,MATCH(E122,Telas!$A$6:$A$105,0))),""))</f>
        <v/>
      </c>
      <c r="K122" s="9" t="str">
        <f aca="false">IF(C122="","",IF(AND(ISNUMBER(H122),N(F122)&gt;0),H122/F122,IF(N(J122)=0,"",IF(AND(ISNUMBER(G122),N(F122)&gt;0),G122/F122/J122,IF(ISNUMBER(I122),I122/J122,"")))))</f>
        <v/>
      </c>
      <c r="L122" s="27"/>
    </row>
    <row r="123" customFormat="false" ht="15" hidden="false" customHeight="false" outlineLevel="0" collapsed="false">
      <c r="A123" s="27"/>
      <c r="B123" s="27"/>
      <c r="C123" s="27"/>
      <c r="D123" s="27"/>
      <c r="E123" s="27"/>
      <c r="F123" s="27"/>
      <c r="G123" s="27"/>
      <c r="H123" s="27"/>
      <c r="I123" s="27"/>
      <c r="J123" s="9" t="str">
        <f aca="false">IF(E123="","",IFERROR(IF(N(INDEX(Telas!$G$6:$G$105,MATCH(E123,Telas!$A$6:$A$105,0)))=0,"",INDEX(Telas!$G$6:$G$105,MATCH(E123,Telas!$A$6:$A$105,0))),""))</f>
        <v/>
      </c>
      <c r="K123" s="9" t="str">
        <f aca="false">IF(C123="","",IF(AND(ISNUMBER(H123),N(F123)&gt;0),H123/F123,IF(N(J123)=0,"",IF(AND(ISNUMBER(G123),N(F123)&gt;0),G123/F123/J123,IF(ISNUMBER(I123),I123/J123,"")))))</f>
        <v/>
      </c>
      <c r="L123" s="27"/>
    </row>
    <row r="124" customFormat="false" ht="15" hidden="false" customHeight="false" outlineLevel="0" collapsed="false">
      <c r="A124" s="27"/>
      <c r="B124" s="27"/>
      <c r="C124" s="27"/>
      <c r="D124" s="27"/>
      <c r="E124" s="27"/>
      <c r="F124" s="27"/>
      <c r="G124" s="27"/>
      <c r="H124" s="27"/>
      <c r="I124" s="27"/>
      <c r="J124" s="9" t="str">
        <f aca="false">IF(E124="","",IFERROR(IF(N(INDEX(Telas!$G$6:$G$105,MATCH(E124,Telas!$A$6:$A$105,0)))=0,"",INDEX(Telas!$G$6:$G$105,MATCH(E124,Telas!$A$6:$A$105,0))),""))</f>
        <v/>
      </c>
      <c r="K124" s="9" t="str">
        <f aca="false">IF(C124="","",IF(AND(ISNUMBER(H124),N(F124)&gt;0),H124/F124,IF(N(J124)=0,"",IF(AND(ISNUMBER(G124),N(F124)&gt;0),G124/F124/J124,IF(ISNUMBER(I124),I124/J124,"")))))</f>
        <v/>
      </c>
      <c r="L124" s="27"/>
    </row>
    <row r="125" customFormat="false" ht="15" hidden="false" customHeight="false" outlineLevel="0" collapsed="false">
      <c r="A125" s="27"/>
      <c r="B125" s="27"/>
      <c r="C125" s="27"/>
      <c r="D125" s="27"/>
      <c r="E125" s="27"/>
      <c r="F125" s="27"/>
      <c r="G125" s="27"/>
      <c r="H125" s="27"/>
      <c r="I125" s="27"/>
      <c r="J125" s="9" t="str">
        <f aca="false">IF(E125="","",IFERROR(IF(N(INDEX(Telas!$G$6:$G$105,MATCH(E125,Telas!$A$6:$A$105,0)))=0,"",INDEX(Telas!$G$6:$G$105,MATCH(E125,Telas!$A$6:$A$105,0))),""))</f>
        <v/>
      </c>
      <c r="K125" s="9" t="str">
        <f aca="false">IF(C125="","",IF(AND(ISNUMBER(H125),N(F125)&gt;0),H125/F125,IF(N(J125)=0,"",IF(AND(ISNUMBER(G125),N(F125)&gt;0),G125/F125/J125,IF(ISNUMBER(I125),I125/J125,"")))))</f>
        <v/>
      </c>
      <c r="L125" s="27"/>
    </row>
    <row r="126" customFormat="false" ht="15" hidden="false" customHeight="false" outlineLevel="0" collapsed="false">
      <c r="A126" s="27"/>
      <c r="B126" s="27"/>
      <c r="C126" s="27"/>
      <c r="D126" s="27"/>
      <c r="E126" s="27"/>
      <c r="F126" s="27"/>
      <c r="G126" s="27"/>
      <c r="H126" s="27"/>
      <c r="I126" s="27"/>
      <c r="J126" s="9" t="str">
        <f aca="false">IF(E126="","",IFERROR(IF(N(INDEX(Telas!$G$6:$G$105,MATCH(E126,Telas!$A$6:$A$105,0)))=0,"",INDEX(Telas!$G$6:$G$105,MATCH(E126,Telas!$A$6:$A$105,0))),""))</f>
        <v/>
      </c>
      <c r="K126" s="9" t="str">
        <f aca="false">IF(C126="","",IF(AND(ISNUMBER(H126),N(F126)&gt;0),H126/F126,IF(N(J126)=0,"",IF(AND(ISNUMBER(G126),N(F126)&gt;0),G126/F126/J126,IF(ISNUMBER(I126),I126/J126,"")))))</f>
        <v/>
      </c>
      <c r="L126" s="27"/>
    </row>
    <row r="127" customFormat="false" ht="15" hidden="false" customHeight="false" outlineLevel="0" collapsed="false">
      <c r="A127" s="27"/>
      <c r="B127" s="27"/>
      <c r="C127" s="27"/>
      <c r="D127" s="27"/>
      <c r="E127" s="27"/>
      <c r="F127" s="27"/>
      <c r="G127" s="27"/>
      <c r="H127" s="27"/>
      <c r="I127" s="27"/>
      <c r="J127" s="9" t="str">
        <f aca="false">IF(E127="","",IFERROR(IF(N(INDEX(Telas!$G$6:$G$105,MATCH(E127,Telas!$A$6:$A$105,0)))=0,"",INDEX(Telas!$G$6:$G$105,MATCH(E127,Telas!$A$6:$A$105,0))),""))</f>
        <v/>
      </c>
      <c r="K127" s="9" t="str">
        <f aca="false">IF(C127="","",IF(AND(ISNUMBER(H127),N(F127)&gt;0),H127/F127,IF(N(J127)=0,"",IF(AND(ISNUMBER(G127),N(F127)&gt;0),G127/F127/J127,IF(ISNUMBER(I127),I127/J127,"")))))</f>
        <v/>
      </c>
      <c r="L127" s="27"/>
    </row>
    <row r="128" customFormat="false" ht="15" hidden="false" customHeight="false" outlineLevel="0" collapsed="false">
      <c r="A128" s="27"/>
      <c r="B128" s="27"/>
      <c r="C128" s="27"/>
      <c r="D128" s="27"/>
      <c r="E128" s="27"/>
      <c r="F128" s="27"/>
      <c r="G128" s="27"/>
      <c r="H128" s="27"/>
      <c r="I128" s="27"/>
      <c r="J128" s="9" t="str">
        <f aca="false">IF(E128="","",IFERROR(IF(N(INDEX(Telas!$G$6:$G$105,MATCH(E128,Telas!$A$6:$A$105,0)))=0,"",INDEX(Telas!$G$6:$G$105,MATCH(E128,Telas!$A$6:$A$105,0))),""))</f>
        <v/>
      </c>
      <c r="K128" s="9" t="str">
        <f aca="false">IF(C128="","",IF(AND(ISNUMBER(H128),N(F128)&gt;0),H128/F128,IF(N(J128)=0,"",IF(AND(ISNUMBER(G128),N(F128)&gt;0),G128/F128/J128,IF(ISNUMBER(I128),I128/J128,"")))))</f>
        <v/>
      </c>
      <c r="L128" s="27"/>
    </row>
    <row r="129" customFormat="false" ht="15" hidden="false" customHeight="false" outlineLevel="0" collapsed="false">
      <c r="A129" s="27"/>
      <c r="B129" s="27"/>
      <c r="C129" s="27"/>
      <c r="D129" s="27"/>
      <c r="E129" s="27"/>
      <c r="F129" s="27"/>
      <c r="G129" s="27"/>
      <c r="H129" s="27"/>
      <c r="I129" s="27"/>
      <c r="J129" s="9" t="str">
        <f aca="false">IF(E129="","",IFERROR(IF(N(INDEX(Telas!$G$6:$G$105,MATCH(E129,Telas!$A$6:$A$105,0)))=0,"",INDEX(Telas!$G$6:$G$105,MATCH(E129,Telas!$A$6:$A$105,0))),""))</f>
        <v/>
      </c>
      <c r="K129" s="9" t="str">
        <f aca="false">IF(C129="","",IF(AND(ISNUMBER(H129),N(F129)&gt;0),H129/F129,IF(N(J129)=0,"",IF(AND(ISNUMBER(G129),N(F129)&gt;0),G129/F129/J129,IF(ISNUMBER(I129),I129/J129,"")))))</f>
        <v/>
      </c>
      <c r="L129" s="27"/>
    </row>
    <row r="130" customFormat="false" ht="15" hidden="false" customHeight="false" outlineLevel="0" collapsed="false">
      <c r="A130" s="27"/>
      <c r="B130" s="27"/>
      <c r="C130" s="27"/>
      <c r="D130" s="27"/>
      <c r="E130" s="27"/>
      <c r="F130" s="27"/>
      <c r="G130" s="27"/>
      <c r="H130" s="27"/>
      <c r="I130" s="27"/>
      <c r="J130" s="9" t="str">
        <f aca="false">IF(E130="","",IFERROR(IF(N(INDEX(Telas!$G$6:$G$105,MATCH(E130,Telas!$A$6:$A$105,0)))=0,"",INDEX(Telas!$G$6:$G$105,MATCH(E130,Telas!$A$6:$A$105,0))),""))</f>
        <v/>
      </c>
      <c r="K130" s="9" t="str">
        <f aca="false">IF(C130="","",IF(AND(ISNUMBER(H130),N(F130)&gt;0),H130/F130,IF(N(J130)=0,"",IF(AND(ISNUMBER(G130),N(F130)&gt;0),G130/F130/J130,IF(ISNUMBER(I130),I130/J130,"")))))</f>
        <v/>
      </c>
      <c r="L130" s="27"/>
    </row>
    <row r="131" customFormat="false" ht="15" hidden="false" customHeight="false" outlineLevel="0" collapsed="false">
      <c r="A131" s="27"/>
      <c r="B131" s="27"/>
      <c r="C131" s="27"/>
      <c r="D131" s="27"/>
      <c r="E131" s="27"/>
      <c r="F131" s="27"/>
      <c r="G131" s="27"/>
      <c r="H131" s="27"/>
      <c r="I131" s="27"/>
      <c r="J131" s="9" t="str">
        <f aca="false">IF(E131="","",IFERROR(IF(N(INDEX(Telas!$G$6:$G$105,MATCH(E131,Telas!$A$6:$A$105,0)))=0,"",INDEX(Telas!$G$6:$G$105,MATCH(E131,Telas!$A$6:$A$105,0))),""))</f>
        <v/>
      </c>
      <c r="K131" s="9" t="str">
        <f aca="false">IF(C131="","",IF(AND(ISNUMBER(H131),N(F131)&gt;0),H131/F131,IF(N(J131)=0,"",IF(AND(ISNUMBER(G131),N(F131)&gt;0),G131/F131/J131,IF(ISNUMBER(I131),I131/J131,"")))))</f>
        <v/>
      </c>
      <c r="L131" s="27"/>
    </row>
    <row r="132" customFormat="false" ht="15" hidden="false" customHeight="false" outlineLevel="0" collapsed="false">
      <c r="A132" s="27"/>
      <c r="B132" s="27"/>
      <c r="C132" s="27"/>
      <c r="D132" s="27"/>
      <c r="E132" s="27"/>
      <c r="F132" s="27"/>
      <c r="G132" s="27"/>
      <c r="H132" s="27"/>
      <c r="I132" s="27"/>
      <c r="J132" s="9" t="str">
        <f aca="false">IF(E132="","",IFERROR(IF(N(INDEX(Telas!$G$6:$G$105,MATCH(E132,Telas!$A$6:$A$105,0)))=0,"",INDEX(Telas!$G$6:$G$105,MATCH(E132,Telas!$A$6:$A$105,0))),""))</f>
        <v/>
      </c>
      <c r="K132" s="9" t="str">
        <f aca="false">IF(C132="","",IF(AND(ISNUMBER(H132),N(F132)&gt;0),H132/F132,IF(N(J132)=0,"",IF(AND(ISNUMBER(G132),N(F132)&gt;0),G132/F132/J132,IF(ISNUMBER(I132),I132/J132,"")))))</f>
        <v/>
      </c>
      <c r="L132" s="27"/>
    </row>
    <row r="133" customFormat="false" ht="15" hidden="false" customHeight="false" outlineLevel="0" collapsed="false">
      <c r="A133" s="27"/>
      <c r="B133" s="27"/>
      <c r="C133" s="27"/>
      <c r="D133" s="27"/>
      <c r="E133" s="27"/>
      <c r="F133" s="27"/>
      <c r="G133" s="27"/>
      <c r="H133" s="27"/>
      <c r="I133" s="27"/>
      <c r="J133" s="9" t="str">
        <f aca="false">IF(E133="","",IFERROR(IF(N(INDEX(Telas!$G$6:$G$105,MATCH(E133,Telas!$A$6:$A$105,0)))=0,"",INDEX(Telas!$G$6:$G$105,MATCH(E133,Telas!$A$6:$A$105,0))),""))</f>
        <v/>
      </c>
      <c r="K133" s="9" t="str">
        <f aca="false">IF(C133="","",IF(AND(ISNUMBER(H133),N(F133)&gt;0),H133/F133,IF(N(J133)=0,"",IF(AND(ISNUMBER(G133),N(F133)&gt;0),G133/F133/J133,IF(ISNUMBER(I133),I133/J133,"")))))</f>
        <v/>
      </c>
      <c r="L133" s="27"/>
    </row>
    <row r="134" customFormat="false" ht="15" hidden="false" customHeight="false" outlineLevel="0" collapsed="false">
      <c r="A134" s="27"/>
      <c r="B134" s="27"/>
      <c r="C134" s="27"/>
      <c r="D134" s="27"/>
      <c r="E134" s="27"/>
      <c r="F134" s="27"/>
      <c r="G134" s="27"/>
      <c r="H134" s="27"/>
      <c r="I134" s="27"/>
      <c r="J134" s="9" t="str">
        <f aca="false">IF(E134="","",IFERROR(IF(N(INDEX(Telas!$G$6:$G$105,MATCH(E134,Telas!$A$6:$A$105,0)))=0,"",INDEX(Telas!$G$6:$G$105,MATCH(E134,Telas!$A$6:$A$105,0))),""))</f>
        <v/>
      </c>
      <c r="K134" s="9" t="str">
        <f aca="false">IF(C134="","",IF(AND(ISNUMBER(H134),N(F134)&gt;0),H134/F134,IF(N(J134)=0,"",IF(AND(ISNUMBER(G134),N(F134)&gt;0),G134/F134/J134,IF(ISNUMBER(I134),I134/J134,"")))))</f>
        <v/>
      </c>
      <c r="L134" s="27"/>
    </row>
    <row r="135" customFormat="false" ht="15" hidden="false" customHeight="false" outlineLevel="0" collapsed="false">
      <c r="A135" s="27"/>
      <c r="B135" s="27"/>
      <c r="C135" s="27"/>
      <c r="D135" s="27"/>
      <c r="E135" s="27"/>
      <c r="F135" s="27"/>
      <c r="G135" s="27"/>
      <c r="H135" s="27"/>
      <c r="I135" s="27"/>
      <c r="J135" s="9" t="str">
        <f aca="false">IF(E135="","",IFERROR(IF(N(INDEX(Telas!$G$6:$G$105,MATCH(E135,Telas!$A$6:$A$105,0)))=0,"",INDEX(Telas!$G$6:$G$105,MATCH(E135,Telas!$A$6:$A$105,0))),""))</f>
        <v/>
      </c>
      <c r="K135" s="9" t="str">
        <f aca="false">IF(C135="","",IF(AND(ISNUMBER(H135),N(F135)&gt;0),H135/F135,IF(N(J135)=0,"",IF(AND(ISNUMBER(G135),N(F135)&gt;0),G135/F135/J135,IF(ISNUMBER(I135),I135/J135,"")))))</f>
        <v/>
      </c>
      <c r="L135" s="27"/>
    </row>
    <row r="136" customFormat="false" ht="15" hidden="false" customHeight="false" outlineLevel="0" collapsed="false">
      <c r="A136" s="27"/>
      <c r="B136" s="27"/>
      <c r="C136" s="27"/>
      <c r="D136" s="27"/>
      <c r="E136" s="27"/>
      <c r="F136" s="27"/>
      <c r="G136" s="27"/>
      <c r="H136" s="27"/>
      <c r="I136" s="27"/>
      <c r="J136" s="9" t="str">
        <f aca="false">IF(E136="","",IFERROR(IF(N(INDEX(Telas!$G$6:$G$105,MATCH(E136,Telas!$A$6:$A$105,0)))=0,"",INDEX(Telas!$G$6:$G$105,MATCH(E136,Telas!$A$6:$A$105,0))),""))</f>
        <v/>
      </c>
      <c r="K136" s="9" t="str">
        <f aca="false">IF(C136="","",IF(AND(ISNUMBER(H136),N(F136)&gt;0),H136/F136,IF(N(J136)=0,"",IF(AND(ISNUMBER(G136),N(F136)&gt;0),G136/F136/J136,IF(ISNUMBER(I136),I136/J136,"")))))</f>
        <v/>
      </c>
      <c r="L136" s="27"/>
    </row>
    <row r="137" customFormat="false" ht="15" hidden="false" customHeight="false" outlineLevel="0" collapsed="false">
      <c r="A137" s="27"/>
      <c r="B137" s="27"/>
      <c r="C137" s="27"/>
      <c r="D137" s="27"/>
      <c r="E137" s="27"/>
      <c r="F137" s="27"/>
      <c r="G137" s="27"/>
      <c r="H137" s="27"/>
      <c r="I137" s="27"/>
      <c r="J137" s="9" t="str">
        <f aca="false">IF(E137="","",IFERROR(IF(N(INDEX(Telas!$G$6:$G$105,MATCH(E137,Telas!$A$6:$A$105,0)))=0,"",INDEX(Telas!$G$6:$G$105,MATCH(E137,Telas!$A$6:$A$105,0))),""))</f>
        <v/>
      </c>
      <c r="K137" s="9" t="str">
        <f aca="false">IF(C137="","",IF(AND(ISNUMBER(H137),N(F137)&gt;0),H137/F137,IF(N(J137)=0,"",IF(AND(ISNUMBER(G137),N(F137)&gt;0),G137/F137/J137,IF(ISNUMBER(I137),I137/J137,"")))))</f>
        <v/>
      </c>
      <c r="L137" s="27"/>
    </row>
    <row r="138" customFormat="false" ht="15" hidden="false" customHeight="false" outlineLevel="0" collapsed="false">
      <c r="A138" s="27"/>
      <c r="B138" s="27"/>
      <c r="C138" s="27"/>
      <c r="D138" s="27"/>
      <c r="E138" s="27"/>
      <c r="F138" s="27"/>
      <c r="G138" s="27"/>
      <c r="H138" s="27"/>
      <c r="I138" s="27"/>
      <c r="J138" s="9" t="str">
        <f aca="false">IF(E138="","",IFERROR(IF(N(INDEX(Telas!$G$6:$G$105,MATCH(E138,Telas!$A$6:$A$105,0)))=0,"",INDEX(Telas!$G$6:$G$105,MATCH(E138,Telas!$A$6:$A$105,0))),""))</f>
        <v/>
      </c>
      <c r="K138" s="9" t="str">
        <f aca="false">IF(C138="","",IF(AND(ISNUMBER(H138),N(F138)&gt;0),H138/F138,IF(N(J138)=0,"",IF(AND(ISNUMBER(G138),N(F138)&gt;0),G138/F138/J138,IF(ISNUMBER(I138),I138/J138,"")))))</f>
        <v/>
      </c>
      <c r="L138" s="27"/>
    </row>
    <row r="139" customFormat="false" ht="15" hidden="false" customHeight="false" outlineLevel="0" collapsed="false">
      <c r="A139" s="27"/>
      <c r="B139" s="27"/>
      <c r="C139" s="27"/>
      <c r="D139" s="27"/>
      <c r="E139" s="27"/>
      <c r="F139" s="27"/>
      <c r="G139" s="27"/>
      <c r="H139" s="27"/>
      <c r="I139" s="27"/>
      <c r="J139" s="9" t="str">
        <f aca="false">IF(E139="","",IFERROR(IF(N(INDEX(Telas!$G$6:$G$105,MATCH(E139,Telas!$A$6:$A$105,0)))=0,"",INDEX(Telas!$G$6:$G$105,MATCH(E139,Telas!$A$6:$A$105,0))),""))</f>
        <v/>
      </c>
      <c r="K139" s="9" t="str">
        <f aca="false">IF(C139="","",IF(AND(ISNUMBER(H139),N(F139)&gt;0),H139/F139,IF(N(J139)=0,"",IF(AND(ISNUMBER(G139),N(F139)&gt;0),G139/F139/J139,IF(ISNUMBER(I139),I139/J139,"")))))</f>
        <v/>
      </c>
      <c r="L139" s="27"/>
    </row>
    <row r="140" customFormat="false" ht="15" hidden="false" customHeight="false" outlineLevel="0" collapsed="false">
      <c r="A140" s="27"/>
      <c r="B140" s="27"/>
      <c r="C140" s="27"/>
      <c r="D140" s="27"/>
      <c r="E140" s="27"/>
      <c r="F140" s="27"/>
      <c r="G140" s="27"/>
      <c r="H140" s="27"/>
      <c r="I140" s="27"/>
      <c r="J140" s="9" t="str">
        <f aca="false">IF(E140="","",IFERROR(IF(N(INDEX(Telas!$G$6:$G$105,MATCH(E140,Telas!$A$6:$A$105,0)))=0,"",INDEX(Telas!$G$6:$G$105,MATCH(E140,Telas!$A$6:$A$105,0))),""))</f>
        <v/>
      </c>
      <c r="K140" s="9" t="str">
        <f aca="false">IF(C140="","",IF(AND(ISNUMBER(H140),N(F140)&gt;0),H140/F140,IF(N(J140)=0,"",IF(AND(ISNUMBER(G140),N(F140)&gt;0),G140/F140/J140,IF(ISNUMBER(I140),I140/J140,"")))))</f>
        <v/>
      </c>
      <c r="L140" s="27"/>
    </row>
    <row r="141" customFormat="false" ht="15" hidden="false" customHeight="false" outlineLevel="0" collapsed="false">
      <c r="A141" s="27"/>
      <c r="B141" s="27"/>
      <c r="C141" s="27"/>
      <c r="D141" s="27"/>
      <c r="E141" s="27"/>
      <c r="F141" s="27"/>
      <c r="G141" s="27"/>
      <c r="H141" s="27"/>
      <c r="I141" s="27"/>
      <c r="J141" s="9" t="str">
        <f aca="false">IF(E141="","",IFERROR(IF(N(INDEX(Telas!$G$6:$G$105,MATCH(E141,Telas!$A$6:$A$105,0)))=0,"",INDEX(Telas!$G$6:$G$105,MATCH(E141,Telas!$A$6:$A$105,0))),""))</f>
        <v/>
      </c>
      <c r="K141" s="9" t="str">
        <f aca="false">IF(C141="","",IF(AND(ISNUMBER(H141),N(F141)&gt;0),H141/F141,IF(N(J141)=0,"",IF(AND(ISNUMBER(G141),N(F141)&gt;0),G141/F141/J141,IF(ISNUMBER(I141),I141/J141,"")))))</f>
        <v/>
      </c>
      <c r="L141" s="27"/>
    </row>
    <row r="142" customFormat="false" ht="15" hidden="false" customHeight="false" outlineLevel="0" collapsed="false">
      <c r="A142" s="27"/>
      <c r="B142" s="27"/>
      <c r="C142" s="27"/>
      <c r="D142" s="27"/>
      <c r="E142" s="27"/>
      <c r="F142" s="27"/>
      <c r="G142" s="27"/>
      <c r="H142" s="27"/>
      <c r="I142" s="27"/>
      <c r="J142" s="9" t="str">
        <f aca="false">IF(E142="","",IFERROR(IF(N(INDEX(Telas!$G$6:$G$105,MATCH(E142,Telas!$A$6:$A$105,0)))=0,"",INDEX(Telas!$G$6:$G$105,MATCH(E142,Telas!$A$6:$A$105,0))),""))</f>
        <v/>
      </c>
      <c r="K142" s="9" t="str">
        <f aca="false">IF(C142="","",IF(AND(ISNUMBER(H142),N(F142)&gt;0),H142/F142,IF(N(J142)=0,"",IF(AND(ISNUMBER(G142),N(F142)&gt;0),G142/F142/J142,IF(ISNUMBER(I142),I142/J142,"")))))</f>
        <v/>
      </c>
      <c r="L142" s="27"/>
    </row>
    <row r="143" customFormat="false" ht="15" hidden="false" customHeight="false" outlineLevel="0" collapsed="false">
      <c r="A143" s="27"/>
      <c r="B143" s="27"/>
      <c r="C143" s="27"/>
      <c r="D143" s="27"/>
      <c r="E143" s="27"/>
      <c r="F143" s="27"/>
      <c r="G143" s="27"/>
      <c r="H143" s="27"/>
      <c r="I143" s="27"/>
      <c r="J143" s="9" t="str">
        <f aca="false">IF(E143="","",IFERROR(IF(N(INDEX(Telas!$G$6:$G$105,MATCH(E143,Telas!$A$6:$A$105,0)))=0,"",INDEX(Telas!$G$6:$G$105,MATCH(E143,Telas!$A$6:$A$105,0))),""))</f>
        <v/>
      </c>
      <c r="K143" s="9" t="str">
        <f aca="false">IF(C143="","",IF(AND(ISNUMBER(H143),N(F143)&gt;0),H143/F143,IF(N(J143)=0,"",IF(AND(ISNUMBER(G143),N(F143)&gt;0),G143/F143/J143,IF(ISNUMBER(I143),I143/J143,"")))))</f>
        <v/>
      </c>
      <c r="L143" s="27"/>
    </row>
    <row r="144" customFormat="false" ht="15" hidden="false" customHeight="false" outlineLevel="0" collapsed="false">
      <c r="A144" s="27"/>
      <c r="B144" s="27"/>
      <c r="C144" s="27"/>
      <c r="D144" s="27"/>
      <c r="E144" s="27"/>
      <c r="F144" s="27"/>
      <c r="G144" s="27"/>
      <c r="H144" s="27"/>
      <c r="I144" s="27"/>
      <c r="J144" s="9" t="str">
        <f aca="false">IF(E144="","",IFERROR(IF(N(INDEX(Telas!$G$6:$G$105,MATCH(E144,Telas!$A$6:$A$105,0)))=0,"",INDEX(Telas!$G$6:$G$105,MATCH(E144,Telas!$A$6:$A$105,0))),""))</f>
        <v/>
      </c>
      <c r="K144" s="9" t="str">
        <f aca="false">IF(C144="","",IF(AND(ISNUMBER(H144),N(F144)&gt;0),H144/F144,IF(N(J144)=0,"",IF(AND(ISNUMBER(G144),N(F144)&gt;0),G144/F144/J144,IF(ISNUMBER(I144),I144/J144,"")))))</f>
        <v/>
      </c>
      <c r="L144" s="27"/>
    </row>
    <row r="145" customFormat="false" ht="15" hidden="false" customHeight="false" outlineLevel="0" collapsed="false">
      <c r="A145" s="27"/>
      <c r="B145" s="27"/>
      <c r="C145" s="27"/>
      <c r="D145" s="27"/>
      <c r="E145" s="27"/>
      <c r="F145" s="27"/>
      <c r="G145" s="27"/>
      <c r="H145" s="27"/>
      <c r="I145" s="27"/>
      <c r="J145" s="9" t="str">
        <f aca="false">IF(E145="","",IFERROR(IF(N(INDEX(Telas!$G$6:$G$105,MATCH(E145,Telas!$A$6:$A$105,0)))=0,"",INDEX(Telas!$G$6:$G$105,MATCH(E145,Telas!$A$6:$A$105,0))),""))</f>
        <v/>
      </c>
      <c r="K145" s="9" t="str">
        <f aca="false">IF(C145="","",IF(AND(ISNUMBER(H145),N(F145)&gt;0),H145/F145,IF(N(J145)=0,"",IF(AND(ISNUMBER(G145),N(F145)&gt;0),G145/F145/J145,IF(ISNUMBER(I145),I145/J145,"")))))</f>
        <v/>
      </c>
      <c r="L145" s="27"/>
    </row>
    <row r="146" customFormat="false" ht="15" hidden="false" customHeight="false" outlineLevel="0" collapsed="false">
      <c r="A146" s="27"/>
      <c r="B146" s="27"/>
      <c r="C146" s="27"/>
      <c r="D146" s="27"/>
      <c r="E146" s="27"/>
      <c r="F146" s="27"/>
      <c r="G146" s="27"/>
      <c r="H146" s="27"/>
      <c r="I146" s="27"/>
      <c r="J146" s="9" t="str">
        <f aca="false">IF(E146="","",IFERROR(IF(N(INDEX(Telas!$G$6:$G$105,MATCH(E146,Telas!$A$6:$A$105,0)))=0,"",INDEX(Telas!$G$6:$G$105,MATCH(E146,Telas!$A$6:$A$105,0))),""))</f>
        <v/>
      </c>
      <c r="K146" s="9" t="str">
        <f aca="false">IF(C146="","",IF(AND(ISNUMBER(H146),N(F146)&gt;0),H146/F146,IF(N(J146)=0,"",IF(AND(ISNUMBER(G146),N(F146)&gt;0),G146/F146/J146,IF(ISNUMBER(I146),I146/J146,"")))))</f>
        <v/>
      </c>
      <c r="L146" s="27"/>
    </row>
    <row r="147" customFormat="false" ht="15" hidden="false" customHeight="false" outlineLevel="0" collapsed="false">
      <c r="A147" s="27"/>
      <c r="B147" s="27"/>
      <c r="C147" s="27"/>
      <c r="D147" s="27"/>
      <c r="E147" s="27"/>
      <c r="F147" s="27"/>
      <c r="G147" s="27"/>
      <c r="H147" s="27"/>
      <c r="I147" s="27"/>
      <c r="J147" s="9" t="str">
        <f aca="false">IF(E147="","",IFERROR(IF(N(INDEX(Telas!$G$6:$G$105,MATCH(E147,Telas!$A$6:$A$105,0)))=0,"",INDEX(Telas!$G$6:$G$105,MATCH(E147,Telas!$A$6:$A$105,0))),""))</f>
        <v/>
      </c>
      <c r="K147" s="9" t="str">
        <f aca="false">IF(C147="","",IF(AND(ISNUMBER(H147),N(F147)&gt;0),H147/F147,IF(N(J147)=0,"",IF(AND(ISNUMBER(G147),N(F147)&gt;0),G147/F147/J147,IF(ISNUMBER(I147),I147/J147,"")))))</f>
        <v/>
      </c>
      <c r="L147" s="27"/>
    </row>
    <row r="148" customFormat="false" ht="15" hidden="false" customHeight="false" outlineLevel="0" collapsed="false">
      <c r="A148" s="27"/>
      <c r="B148" s="27"/>
      <c r="C148" s="27"/>
      <c r="D148" s="27"/>
      <c r="E148" s="27"/>
      <c r="F148" s="27"/>
      <c r="G148" s="27"/>
      <c r="H148" s="27"/>
      <c r="I148" s="27"/>
      <c r="J148" s="9" t="str">
        <f aca="false">IF(E148="","",IFERROR(IF(N(INDEX(Telas!$G$6:$G$105,MATCH(E148,Telas!$A$6:$A$105,0)))=0,"",INDEX(Telas!$G$6:$G$105,MATCH(E148,Telas!$A$6:$A$105,0))),""))</f>
        <v/>
      </c>
      <c r="K148" s="9" t="str">
        <f aca="false">IF(C148="","",IF(AND(ISNUMBER(H148),N(F148)&gt;0),H148/F148,IF(N(J148)=0,"",IF(AND(ISNUMBER(G148),N(F148)&gt;0),G148/F148/J148,IF(ISNUMBER(I148),I148/J148,"")))))</f>
        <v/>
      </c>
      <c r="L148" s="27"/>
    </row>
    <row r="149" customFormat="false" ht="15" hidden="false" customHeight="false" outlineLevel="0" collapsed="false">
      <c r="A149" s="27"/>
      <c r="B149" s="27"/>
      <c r="C149" s="27"/>
      <c r="D149" s="27"/>
      <c r="E149" s="27"/>
      <c r="F149" s="27"/>
      <c r="G149" s="27"/>
      <c r="H149" s="27"/>
      <c r="I149" s="27"/>
      <c r="J149" s="9" t="str">
        <f aca="false">IF(E149="","",IFERROR(IF(N(INDEX(Telas!$G$6:$G$105,MATCH(E149,Telas!$A$6:$A$105,0)))=0,"",INDEX(Telas!$G$6:$G$105,MATCH(E149,Telas!$A$6:$A$105,0))),""))</f>
        <v/>
      </c>
      <c r="K149" s="9" t="str">
        <f aca="false">IF(C149="","",IF(AND(ISNUMBER(H149),N(F149)&gt;0),H149/F149,IF(N(J149)=0,"",IF(AND(ISNUMBER(G149),N(F149)&gt;0),G149/F149/J149,IF(ISNUMBER(I149),I149/J149,"")))))</f>
        <v/>
      </c>
      <c r="L149" s="27"/>
    </row>
    <row r="150" customFormat="false" ht="15" hidden="false" customHeight="false" outlineLevel="0" collapsed="false">
      <c r="A150" s="27"/>
      <c r="B150" s="27"/>
      <c r="C150" s="27"/>
      <c r="D150" s="27"/>
      <c r="E150" s="27"/>
      <c r="F150" s="27"/>
      <c r="G150" s="27"/>
      <c r="H150" s="27"/>
      <c r="I150" s="27"/>
      <c r="J150" s="9" t="str">
        <f aca="false">IF(E150="","",IFERROR(IF(N(INDEX(Telas!$G$6:$G$105,MATCH(E150,Telas!$A$6:$A$105,0)))=0,"",INDEX(Telas!$G$6:$G$105,MATCH(E150,Telas!$A$6:$A$105,0))),""))</f>
        <v/>
      </c>
      <c r="K150" s="9" t="str">
        <f aca="false">IF(C150="","",IF(AND(ISNUMBER(H150),N(F150)&gt;0),H150/F150,IF(N(J150)=0,"",IF(AND(ISNUMBER(G150),N(F150)&gt;0),G150/F150/J150,IF(ISNUMBER(I150),I150/J150,"")))))</f>
        <v/>
      </c>
      <c r="L150" s="27"/>
    </row>
    <row r="151" customFormat="false" ht="15" hidden="false" customHeight="false" outlineLevel="0" collapsed="false">
      <c r="A151" s="27"/>
      <c r="B151" s="27"/>
      <c r="C151" s="27"/>
      <c r="D151" s="27"/>
      <c r="E151" s="27"/>
      <c r="F151" s="27"/>
      <c r="G151" s="27"/>
      <c r="H151" s="27"/>
      <c r="I151" s="27"/>
      <c r="J151" s="9" t="str">
        <f aca="false">IF(E151="","",IFERROR(IF(N(INDEX(Telas!$G$6:$G$105,MATCH(E151,Telas!$A$6:$A$105,0)))=0,"",INDEX(Telas!$G$6:$G$105,MATCH(E151,Telas!$A$6:$A$105,0))),""))</f>
        <v/>
      </c>
      <c r="K151" s="9" t="str">
        <f aca="false">IF(C151="","",IF(AND(ISNUMBER(H151),N(F151)&gt;0),H151/F151,IF(N(J151)=0,"",IF(AND(ISNUMBER(G151),N(F151)&gt;0),G151/F151/J151,IF(ISNUMBER(I151),I151/J151,"")))))</f>
        <v/>
      </c>
      <c r="L151" s="27"/>
    </row>
    <row r="152" customFormat="false" ht="15" hidden="false" customHeight="false" outlineLevel="0" collapsed="false">
      <c r="A152" s="27"/>
      <c r="B152" s="27"/>
      <c r="C152" s="27"/>
      <c r="D152" s="27"/>
      <c r="E152" s="27"/>
      <c r="F152" s="27"/>
      <c r="G152" s="27"/>
      <c r="H152" s="27"/>
      <c r="I152" s="27"/>
      <c r="J152" s="9" t="str">
        <f aca="false">IF(E152="","",IFERROR(IF(N(INDEX(Telas!$G$6:$G$105,MATCH(E152,Telas!$A$6:$A$105,0)))=0,"",INDEX(Telas!$G$6:$G$105,MATCH(E152,Telas!$A$6:$A$105,0))),""))</f>
        <v/>
      </c>
      <c r="K152" s="9" t="str">
        <f aca="false">IF(C152="","",IF(AND(ISNUMBER(H152),N(F152)&gt;0),H152/F152,IF(N(J152)=0,"",IF(AND(ISNUMBER(G152),N(F152)&gt;0),G152/F152/J152,IF(ISNUMBER(I152),I152/J152,"")))))</f>
        <v/>
      </c>
      <c r="L152" s="27"/>
    </row>
    <row r="153" customFormat="false" ht="15" hidden="false" customHeight="false" outlineLevel="0" collapsed="false">
      <c r="A153" s="27"/>
      <c r="B153" s="27"/>
      <c r="C153" s="27"/>
      <c r="D153" s="27"/>
      <c r="E153" s="27"/>
      <c r="F153" s="27"/>
      <c r="G153" s="27"/>
      <c r="H153" s="27"/>
      <c r="I153" s="27"/>
      <c r="J153" s="9" t="str">
        <f aca="false">IF(E153="","",IFERROR(IF(N(INDEX(Telas!$G$6:$G$105,MATCH(E153,Telas!$A$6:$A$105,0)))=0,"",INDEX(Telas!$G$6:$G$105,MATCH(E153,Telas!$A$6:$A$105,0))),""))</f>
        <v/>
      </c>
      <c r="K153" s="9" t="str">
        <f aca="false">IF(C153="","",IF(AND(ISNUMBER(H153),N(F153)&gt;0),H153/F153,IF(N(J153)=0,"",IF(AND(ISNUMBER(G153),N(F153)&gt;0),G153/F153/J153,IF(ISNUMBER(I153),I153/J153,"")))))</f>
        <v/>
      </c>
      <c r="L153" s="27"/>
    </row>
    <row r="154" customFormat="false" ht="15" hidden="false" customHeight="false" outlineLevel="0" collapsed="false">
      <c r="A154" s="27"/>
      <c r="B154" s="27"/>
      <c r="C154" s="27"/>
      <c r="D154" s="27"/>
      <c r="E154" s="27"/>
      <c r="F154" s="27"/>
      <c r="G154" s="27"/>
      <c r="H154" s="27"/>
      <c r="I154" s="27"/>
      <c r="J154" s="9" t="str">
        <f aca="false">IF(E154="","",IFERROR(IF(N(INDEX(Telas!$G$6:$G$105,MATCH(E154,Telas!$A$6:$A$105,0)))=0,"",INDEX(Telas!$G$6:$G$105,MATCH(E154,Telas!$A$6:$A$105,0))),""))</f>
        <v/>
      </c>
      <c r="K154" s="9" t="str">
        <f aca="false">IF(C154="","",IF(AND(ISNUMBER(H154),N(F154)&gt;0),H154/F154,IF(N(J154)=0,"",IF(AND(ISNUMBER(G154),N(F154)&gt;0),G154/F154/J154,IF(ISNUMBER(I154),I154/J154,"")))))</f>
        <v/>
      </c>
      <c r="L154" s="27"/>
    </row>
    <row r="155" customFormat="false" ht="15" hidden="false" customHeight="false" outlineLevel="0" collapsed="false">
      <c r="A155" s="27"/>
      <c r="B155" s="27"/>
      <c r="C155" s="27"/>
      <c r="D155" s="27"/>
      <c r="E155" s="27"/>
      <c r="F155" s="27"/>
      <c r="G155" s="27"/>
      <c r="H155" s="27"/>
      <c r="I155" s="27"/>
      <c r="J155" s="9" t="str">
        <f aca="false">IF(E155="","",IFERROR(IF(N(INDEX(Telas!$G$6:$G$105,MATCH(E155,Telas!$A$6:$A$105,0)))=0,"",INDEX(Telas!$G$6:$G$105,MATCH(E155,Telas!$A$6:$A$105,0))),""))</f>
        <v/>
      </c>
      <c r="K155" s="9" t="str">
        <f aca="false">IF(C155="","",IF(AND(ISNUMBER(H155),N(F155)&gt;0),H155/F155,IF(N(J155)=0,"",IF(AND(ISNUMBER(G155),N(F155)&gt;0),G155/F155/J155,IF(ISNUMBER(I155),I155/J155,"")))))</f>
        <v/>
      </c>
      <c r="L155" s="27"/>
    </row>
    <row r="156" customFormat="false" ht="15" hidden="false" customHeight="false" outlineLevel="0" collapsed="false">
      <c r="A156" s="27"/>
      <c r="B156" s="27"/>
      <c r="C156" s="27"/>
      <c r="D156" s="27"/>
      <c r="E156" s="27"/>
      <c r="F156" s="27"/>
      <c r="G156" s="27"/>
      <c r="H156" s="27"/>
      <c r="I156" s="27"/>
      <c r="J156" s="9" t="str">
        <f aca="false">IF(E156="","",IFERROR(IF(N(INDEX(Telas!$G$6:$G$105,MATCH(E156,Telas!$A$6:$A$105,0)))=0,"",INDEX(Telas!$G$6:$G$105,MATCH(E156,Telas!$A$6:$A$105,0))),""))</f>
        <v/>
      </c>
      <c r="K156" s="9" t="str">
        <f aca="false">IF(C156="","",IF(AND(ISNUMBER(H156),N(F156)&gt;0),H156/F156,IF(N(J156)=0,"",IF(AND(ISNUMBER(G156),N(F156)&gt;0),G156/F156/J156,IF(ISNUMBER(I156),I156/J156,"")))))</f>
        <v/>
      </c>
      <c r="L156" s="27"/>
    </row>
    <row r="157" customFormat="false" ht="15" hidden="false" customHeight="false" outlineLevel="0" collapsed="false">
      <c r="A157" s="27"/>
      <c r="B157" s="27"/>
      <c r="C157" s="27"/>
      <c r="D157" s="27"/>
      <c r="E157" s="27"/>
      <c r="F157" s="27"/>
      <c r="G157" s="27"/>
      <c r="H157" s="27"/>
      <c r="I157" s="27"/>
      <c r="J157" s="9" t="str">
        <f aca="false">IF(E157="","",IFERROR(IF(N(INDEX(Telas!$G$6:$G$105,MATCH(E157,Telas!$A$6:$A$105,0)))=0,"",INDEX(Telas!$G$6:$G$105,MATCH(E157,Telas!$A$6:$A$105,0))),""))</f>
        <v/>
      </c>
      <c r="K157" s="9" t="str">
        <f aca="false">IF(C157="","",IF(AND(ISNUMBER(H157),N(F157)&gt;0),H157/F157,IF(N(J157)=0,"",IF(AND(ISNUMBER(G157),N(F157)&gt;0),G157/F157/J157,IF(ISNUMBER(I157),I157/J157,"")))))</f>
        <v/>
      </c>
      <c r="L157" s="27"/>
    </row>
    <row r="158" customFormat="false" ht="15" hidden="false" customHeight="false" outlineLevel="0" collapsed="false">
      <c r="A158" s="27"/>
      <c r="B158" s="27"/>
      <c r="C158" s="27"/>
      <c r="D158" s="27"/>
      <c r="E158" s="27"/>
      <c r="F158" s="27"/>
      <c r="G158" s="27"/>
      <c r="H158" s="27"/>
      <c r="I158" s="27"/>
      <c r="J158" s="9" t="str">
        <f aca="false">IF(E158="","",IFERROR(IF(N(INDEX(Telas!$G$6:$G$105,MATCH(E158,Telas!$A$6:$A$105,0)))=0,"",INDEX(Telas!$G$6:$G$105,MATCH(E158,Telas!$A$6:$A$105,0))),""))</f>
        <v/>
      </c>
      <c r="K158" s="9" t="str">
        <f aca="false">IF(C158="","",IF(AND(ISNUMBER(H158),N(F158)&gt;0),H158/F158,IF(N(J158)=0,"",IF(AND(ISNUMBER(G158),N(F158)&gt;0),G158/F158/J158,IF(ISNUMBER(I158),I158/J158,"")))))</f>
        <v/>
      </c>
      <c r="L158" s="27"/>
    </row>
    <row r="159" customFormat="false" ht="15" hidden="false" customHeight="false" outlineLevel="0" collapsed="false">
      <c r="A159" s="27"/>
      <c r="B159" s="27"/>
      <c r="C159" s="27"/>
      <c r="D159" s="27"/>
      <c r="E159" s="27"/>
      <c r="F159" s="27"/>
      <c r="G159" s="27"/>
      <c r="H159" s="27"/>
      <c r="I159" s="27"/>
      <c r="J159" s="9" t="str">
        <f aca="false">IF(E159="","",IFERROR(IF(N(INDEX(Telas!$G$6:$G$105,MATCH(E159,Telas!$A$6:$A$105,0)))=0,"",INDEX(Telas!$G$6:$G$105,MATCH(E159,Telas!$A$6:$A$105,0))),""))</f>
        <v/>
      </c>
      <c r="K159" s="9" t="str">
        <f aca="false">IF(C159="","",IF(AND(ISNUMBER(H159),N(F159)&gt;0),H159/F159,IF(N(J159)=0,"",IF(AND(ISNUMBER(G159),N(F159)&gt;0),G159/F159/J159,IF(ISNUMBER(I159),I159/J159,"")))))</f>
        <v/>
      </c>
      <c r="L159" s="27"/>
    </row>
    <row r="160" customFormat="false" ht="15" hidden="false" customHeight="false" outlineLevel="0" collapsed="false">
      <c r="A160" s="27"/>
      <c r="B160" s="27"/>
      <c r="C160" s="27"/>
      <c r="D160" s="27"/>
      <c r="E160" s="27"/>
      <c r="F160" s="27"/>
      <c r="G160" s="27"/>
      <c r="H160" s="27"/>
      <c r="I160" s="27"/>
      <c r="J160" s="9" t="str">
        <f aca="false">IF(E160="","",IFERROR(IF(N(INDEX(Telas!$G$6:$G$105,MATCH(E160,Telas!$A$6:$A$105,0)))=0,"",INDEX(Telas!$G$6:$G$105,MATCH(E160,Telas!$A$6:$A$105,0))),""))</f>
        <v/>
      </c>
      <c r="K160" s="9" t="str">
        <f aca="false">IF(C160="","",IF(AND(ISNUMBER(H160),N(F160)&gt;0),H160/F160,IF(N(J160)=0,"",IF(AND(ISNUMBER(G160),N(F160)&gt;0),G160/F160/J160,IF(ISNUMBER(I160),I160/J160,"")))))</f>
        <v/>
      </c>
      <c r="L160" s="27"/>
    </row>
    <row r="161" customFormat="false" ht="15" hidden="false" customHeight="false" outlineLevel="0" collapsed="false">
      <c r="A161" s="27"/>
      <c r="B161" s="27"/>
      <c r="C161" s="27"/>
      <c r="D161" s="27"/>
      <c r="E161" s="27"/>
      <c r="F161" s="27"/>
      <c r="G161" s="27"/>
      <c r="H161" s="27"/>
      <c r="I161" s="27"/>
      <c r="J161" s="9" t="str">
        <f aca="false">IF(E161="","",IFERROR(IF(N(INDEX(Telas!$G$6:$G$105,MATCH(E161,Telas!$A$6:$A$105,0)))=0,"",INDEX(Telas!$G$6:$G$105,MATCH(E161,Telas!$A$6:$A$105,0))),""))</f>
        <v/>
      </c>
      <c r="K161" s="9" t="str">
        <f aca="false">IF(C161="","",IF(AND(ISNUMBER(H161),N(F161)&gt;0),H161/F161,IF(N(J161)=0,"",IF(AND(ISNUMBER(G161),N(F161)&gt;0),G161/F161/J161,IF(ISNUMBER(I161),I161/J161,"")))))</f>
        <v/>
      </c>
      <c r="L161" s="27"/>
    </row>
    <row r="162" customFormat="false" ht="15" hidden="false" customHeight="false" outlineLevel="0" collapsed="false">
      <c r="A162" s="27"/>
      <c r="B162" s="27"/>
      <c r="C162" s="27"/>
      <c r="D162" s="27"/>
      <c r="E162" s="27"/>
      <c r="F162" s="27"/>
      <c r="G162" s="27"/>
      <c r="H162" s="27"/>
      <c r="I162" s="27"/>
      <c r="J162" s="9" t="str">
        <f aca="false">IF(E162="","",IFERROR(IF(N(INDEX(Telas!$G$6:$G$105,MATCH(E162,Telas!$A$6:$A$105,0)))=0,"",INDEX(Telas!$G$6:$G$105,MATCH(E162,Telas!$A$6:$A$105,0))),""))</f>
        <v/>
      </c>
      <c r="K162" s="9" t="str">
        <f aca="false">IF(C162="","",IF(AND(ISNUMBER(H162),N(F162)&gt;0),H162/F162,IF(N(J162)=0,"",IF(AND(ISNUMBER(G162),N(F162)&gt;0),G162/F162/J162,IF(ISNUMBER(I162),I162/J162,"")))))</f>
        <v/>
      </c>
      <c r="L162" s="27"/>
    </row>
    <row r="163" customFormat="false" ht="15" hidden="false" customHeight="false" outlineLevel="0" collapsed="false">
      <c r="A163" s="27"/>
      <c r="B163" s="27"/>
      <c r="C163" s="27"/>
      <c r="D163" s="27"/>
      <c r="E163" s="27"/>
      <c r="F163" s="27"/>
      <c r="G163" s="27"/>
      <c r="H163" s="27"/>
      <c r="I163" s="27"/>
      <c r="J163" s="9" t="str">
        <f aca="false">IF(E163="","",IFERROR(IF(N(INDEX(Telas!$G$6:$G$105,MATCH(E163,Telas!$A$6:$A$105,0)))=0,"",INDEX(Telas!$G$6:$G$105,MATCH(E163,Telas!$A$6:$A$105,0))),""))</f>
        <v/>
      </c>
      <c r="K163" s="9" t="str">
        <f aca="false">IF(C163="","",IF(AND(ISNUMBER(H163),N(F163)&gt;0),H163/F163,IF(N(J163)=0,"",IF(AND(ISNUMBER(G163),N(F163)&gt;0),G163/F163/J163,IF(ISNUMBER(I163),I163/J163,"")))))</f>
        <v/>
      </c>
      <c r="L163" s="27"/>
    </row>
    <row r="164" customFormat="false" ht="15" hidden="false" customHeight="false" outlineLevel="0" collapsed="false">
      <c r="A164" s="27"/>
      <c r="B164" s="27"/>
      <c r="C164" s="27"/>
      <c r="D164" s="27"/>
      <c r="E164" s="27"/>
      <c r="F164" s="27"/>
      <c r="G164" s="27"/>
      <c r="H164" s="27"/>
      <c r="I164" s="27"/>
      <c r="J164" s="9" t="str">
        <f aca="false">IF(E164="","",IFERROR(IF(N(INDEX(Telas!$G$6:$G$105,MATCH(E164,Telas!$A$6:$A$105,0)))=0,"",INDEX(Telas!$G$6:$G$105,MATCH(E164,Telas!$A$6:$A$105,0))),""))</f>
        <v/>
      </c>
      <c r="K164" s="9" t="str">
        <f aca="false">IF(C164="","",IF(AND(ISNUMBER(H164),N(F164)&gt;0),H164/F164,IF(N(J164)=0,"",IF(AND(ISNUMBER(G164),N(F164)&gt;0),G164/F164/J164,IF(ISNUMBER(I164),I164/J164,"")))))</f>
        <v/>
      </c>
      <c r="L164" s="27"/>
    </row>
    <row r="165" customFormat="false" ht="15" hidden="false" customHeight="false" outlineLevel="0" collapsed="false">
      <c r="A165" s="27"/>
      <c r="B165" s="27"/>
      <c r="C165" s="27"/>
      <c r="D165" s="27"/>
      <c r="E165" s="27"/>
      <c r="F165" s="27"/>
      <c r="G165" s="27"/>
      <c r="H165" s="27"/>
      <c r="I165" s="27"/>
      <c r="J165" s="9" t="str">
        <f aca="false">IF(E165="","",IFERROR(IF(N(INDEX(Telas!$G$6:$G$105,MATCH(E165,Telas!$A$6:$A$105,0)))=0,"",INDEX(Telas!$G$6:$G$105,MATCH(E165,Telas!$A$6:$A$105,0))),""))</f>
        <v/>
      </c>
      <c r="K165" s="9" t="str">
        <f aca="false">IF(C165="","",IF(AND(ISNUMBER(H165),N(F165)&gt;0),H165/F165,IF(N(J165)=0,"",IF(AND(ISNUMBER(G165),N(F165)&gt;0),G165/F165/J165,IF(ISNUMBER(I165),I165/J165,"")))))</f>
        <v/>
      </c>
      <c r="L165" s="27"/>
    </row>
    <row r="166" customFormat="false" ht="15" hidden="false" customHeight="false" outlineLevel="0" collapsed="false">
      <c r="A166" s="27"/>
      <c r="B166" s="27"/>
      <c r="C166" s="27"/>
      <c r="D166" s="27"/>
      <c r="E166" s="27"/>
      <c r="F166" s="27"/>
      <c r="G166" s="27"/>
      <c r="H166" s="27"/>
      <c r="I166" s="27"/>
      <c r="J166" s="9" t="str">
        <f aca="false">IF(E166="","",IFERROR(IF(N(INDEX(Telas!$G$6:$G$105,MATCH(E166,Telas!$A$6:$A$105,0)))=0,"",INDEX(Telas!$G$6:$G$105,MATCH(E166,Telas!$A$6:$A$105,0))),""))</f>
        <v/>
      </c>
      <c r="K166" s="9" t="str">
        <f aca="false">IF(C166="","",IF(AND(ISNUMBER(H166),N(F166)&gt;0),H166/F166,IF(N(J166)=0,"",IF(AND(ISNUMBER(G166),N(F166)&gt;0),G166/F166/J166,IF(ISNUMBER(I166),I166/J166,"")))))</f>
        <v/>
      </c>
      <c r="L166" s="27"/>
    </row>
    <row r="167" customFormat="false" ht="15" hidden="false" customHeight="false" outlineLevel="0" collapsed="false">
      <c r="A167" s="27"/>
      <c r="B167" s="27"/>
      <c r="C167" s="27"/>
      <c r="D167" s="27"/>
      <c r="E167" s="27"/>
      <c r="F167" s="27"/>
      <c r="G167" s="27"/>
      <c r="H167" s="27"/>
      <c r="I167" s="27"/>
      <c r="J167" s="9" t="str">
        <f aca="false">IF(E167="","",IFERROR(IF(N(INDEX(Telas!$G$6:$G$105,MATCH(E167,Telas!$A$6:$A$105,0)))=0,"",INDEX(Telas!$G$6:$G$105,MATCH(E167,Telas!$A$6:$A$105,0))),""))</f>
        <v/>
      </c>
      <c r="K167" s="9" t="str">
        <f aca="false">IF(C167="","",IF(AND(ISNUMBER(H167),N(F167)&gt;0),H167/F167,IF(N(J167)=0,"",IF(AND(ISNUMBER(G167),N(F167)&gt;0),G167/F167/J167,IF(ISNUMBER(I167),I167/J167,"")))))</f>
        <v/>
      </c>
      <c r="L167" s="27"/>
    </row>
    <row r="168" customFormat="false" ht="15" hidden="false" customHeight="false" outlineLevel="0" collapsed="false">
      <c r="A168" s="27"/>
      <c r="B168" s="27"/>
      <c r="C168" s="27"/>
      <c r="D168" s="27"/>
      <c r="E168" s="27"/>
      <c r="F168" s="27"/>
      <c r="G168" s="27"/>
      <c r="H168" s="27"/>
      <c r="I168" s="27"/>
      <c r="J168" s="9" t="str">
        <f aca="false">IF(E168="","",IFERROR(IF(N(INDEX(Telas!$G$6:$G$105,MATCH(E168,Telas!$A$6:$A$105,0)))=0,"",INDEX(Telas!$G$6:$G$105,MATCH(E168,Telas!$A$6:$A$105,0))),""))</f>
        <v/>
      </c>
      <c r="K168" s="9" t="str">
        <f aca="false">IF(C168="","",IF(AND(ISNUMBER(H168),N(F168)&gt;0),H168/F168,IF(N(J168)=0,"",IF(AND(ISNUMBER(G168),N(F168)&gt;0),G168/F168/J168,IF(ISNUMBER(I168),I168/J168,"")))))</f>
        <v/>
      </c>
      <c r="L168" s="27"/>
    </row>
    <row r="169" customFormat="false" ht="15" hidden="false" customHeight="false" outlineLevel="0" collapsed="false">
      <c r="A169" s="27"/>
      <c r="B169" s="27"/>
      <c r="C169" s="27"/>
      <c r="D169" s="27"/>
      <c r="E169" s="27"/>
      <c r="F169" s="27"/>
      <c r="G169" s="27"/>
      <c r="H169" s="27"/>
      <c r="I169" s="27"/>
      <c r="J169" s="9" t="str">
        <f aca="false">IF(E169="","",IFERROR(IF(N(INDEX(Telas!$G$6:$G$105,MATCH(E169,Telas!$A$6:$A$105,0)))=0,"",INDEX(Telas!$G$6:$G$105,MATCH(E169,Telas!$A$6:$A$105,0))),""))</f>
        <v/>
      </c>
      <c r="K169" s="9" t="str">
        <f aca="false">IF(C169="","",IF(AND(ISNUMBER(H169),N(F169)&gt;0),H169/F169,IF(N(J169)=0,"",IF(AND(ISNUMBER(G169),N(F169)&gt;0),G169/F169/J169,IF(ISNUMBER(I169),I169/J169,"")))))</f>
        <v/>
      </c>
      <c r="L169" s="27"/>
    </row>
    <row r="170" customFormat="false" ht="15" hidden="false" customHeight="false" outlineLevel="0" collapsed="false">
      <c r="A170" s="27"/>
      <c r="B170" s="27"/>
      <c r="C170" s="27"/>
      <c r="D170" s="27"/>
      <c r="E170" s="27"/>
      <c r="F170" s="27"/>
      <c r="G170" s="27"/>
      <c r="H170" s="27"/>
      <c r="I170" s="27"/>
      <c r="J170" s="9" t="str">
        <f aca="false">IF(E170="","",IFERROR(IF(N(INDEX(Telas!$G$6:$G$105,MATCH(E170,Telas!$A$6:$A$105,0)))=0,"",INDEX(Telas!$G$6:$G$105,MATCH(E170,Telas!$A$6:$A$105,0))),""))</f>
        <v/>
      </c>
      <c r="K170" s="9" t="str">
        <f aca="false">IF(C170="","",IF(AND(ISNUMBER(H170),N(F170)&gt;0),H170/F170,IF(N(J170)=0,"",IF(AND(ISNUMBER(G170),N(F170)&gt;0),G170/F170/J170,IF(ISNUMBER(I170),I170/J170,"")))))</f>
        <v/>
      </c>
      <c r="L170" s="27"/>
    </row>
    <row r="171" customFormat="false" ht="15" hidden="false" customHeight="false" outlineLevel="0" collapsed="false">
      <c r="A171" s="27"/>
      <c r="B171" s="27"/>
      <c r="C171" s="27"/>
      <c r="D171" s="27"/>
      <c r="E171" s="27"/>
      <c r="F171" s="27"/>
      <c r="G171" s="27"/>
      <c r="H171" s="27"/>
      <c r="I171" s="27"/>
      <c r="J171" s="9" t="str">
        <f aca="false">IF(E171="","",IFERROR(IF(N(INDEX(Telas!$G$6:$G$105,MATCH(E171,Telas!$A$6:$A$105,0)))=0,"",INDEX(Telas!$G$6:$G$105,MATCH(E171,Telas!$A$6:$A$105,0))),""))</f>
        <v/>
      </c>
      <c r="K171" s="9" t="str">
        <f aca="false">IF(C171="","",IF(AND(ISNUMBER(H171),N(F171)&gt;0),H171/F171,IF(N(J171)=0,"",IF(AND(ISNUMBER(G171),N(F171)&gt;0),G171/F171/J171,IF(ISNUMBER(I171),I171/J171,"")))))</f>
        <v/>
      </c>
      <c r="L171" s="27"/>
    </row>
    <row r="172" customFormat="false" ht="15" hidden="false" customHeight="false" outlineLevel="0" collapsed="false">
      <c r="A172" s="27"/>
      <c r="B172" s="27"/>
      <c r="C172" s="27"/>
      <c r="D172" s="27"/>
      <c r="E172" s="27"/>
      <c r="F172" s="27"/>
      <c r="G172" s="27"/>
      <c r="H172" s="27"/>
      <c r="I172" s="27"/>
      <c r="J172" s="9" t="str">
        <f aca="false">IF(E172="","",IFERROR(IF(N(INDEX(Telas!$G$6:$G$105,MATCH(E172,Telas!$A$6:$A$105,0)))=0,"",INDEX(Telas!$G$6:$G$105,MATCH(E172,Telas!$A$6:$A$105,0))),""))</f>
        <v/>
      </c>
      <c r="K172" s="9" t="str">
        <f aca="false">IF(C172="","",IF(AND(ISNUMBER(H172),N(F172)&gt;0),H172/F172,IF(N(J172)=0,"",IF(AND(ISNUMBER(G172),N(F172)&gt;0),G172/F172/J172,IF(ISNUMBER(I172),I172/J172,"")))))</f>
        <v/>
      </c>
      <c r="L172" s="27"/>
    </row>
    <row r="173" customFormat="false" ht="15" hidden="false" customHeight="false" outlineLevel="0" collapsed="false">
      <c r="A173" s="27"/>
      <c r="B173" s="27"/>
      <c r="C173" s="27"/>
      <c r="D173" s="27"/>
      <c r="E173" s="27"/>
      <c r="F173" s="27"/>
      <c r="G173" s="27"/>
      <c r="H173" s="27"/>
      <c r="I173" s="27"/>
      <c r="J173" s="9" t="str">
        <f aca="false">IF(E173="","",IFERROR(IF(N(INDEX(Telas!$G$6:$G$105,MATCH(E173,Telas!$A$6:$A$105,0)))=0,"",INDEX(Telas!$G$6:$G$105,MATCH(E173,Telas!$A$6:$A$105,0))),""))</f>
        <v/>
      </c>
      <c r="K173" s="9" t="str">
        <f aca="false">IF(C173="","",IF(AND(ISNUMBER(H173),N(F173)&gt;0),H173/F173,IF(N(J173)=0,"",IF(AND(ISNUMBER(G173),N(F173)&gt;0),G173/F173/J173,IF(ISNUMBER(I173),I173/J173,"")))))</f>
        <v/>
      </c>
      <c r="L173" s="27"/>
    </row>
    <row r="174" customFormat="false" ht="15" hidden="false" customHeight="false" outlineLevel="0" collapsed="false">
      <c r="A174" s="27"/>
      <c r="B174" s="27"/>
      <c r="C174" s="27"/>
      <c r="D174" s="27"/>
      <c r="E174" s="27"/>
      <c r="F174" s="27"/>
      <c r="G174" s="27"/>
      <c r="H174" s="27"/>
      <c r="I174" s="27"/>
      <c r="J174" s="9" t="str">
        <f aca="false">IF(E174="","",IFERROR(IF(N(INDEX(Telas!$G$6:$G$105,MATCH(E174,Telas!$A$6:$A$105,0)))=0,"",INDEX(Telas!$G$6:$G$105,MATCH(E174,Telas!$A$6:$A$105,0))),""))</f>
        <v/>
      </c>
      <c r="K174" s="9" t="str">
        <f aca="false">IF(C174="","",IF(AND(ISNUMBER(H174),N(F174)&gt;0),H174/F174,IF(N(J174)=0,"",IF(AND(ISNUMBER(G174),N(F174)&gt;0),G174/F174/J174,IF(ISNUMBER(I174),I174/J174,"")))))</f>
        <v/>
      </c>
      <c r="L174" s="27"/>
    </row>
    <row r="175" customFormat="false" ht="15" hidden="false" customHeight="false" outlineLevel="0" collapsed="false">
      <c r="A175" s="27"/>
      <c r="B175" s="27"/>
      <c r="C175" s="27"/>
      <c r="D175" s="27"/>
      <c r="E175" s="27"/>
      <c r="F175" s="27"/>
      <c r="G175" s="27"/>
      <c r="H175" s="27"/>
      <c r="I175" s="27"/>
      <c r="J175" s="9" t="str">
        <f aca="false">IF(E175="","",IFERROR(IF(N(INDEX(Telas!$G$6:$G$105,MATCH(E175,Telas!$A$6:$A$105,0)))=0,"",INDEX(Telas!$G$6:$G$105,MATCH(E175,Telas!$A$6:$A$105,0))),""))</f>
        <v/>
      </c>
      <c r="K175" s="9" t="str">
        <f aca="false">IF(C175="","",IF(AND(ISNUMBER(H175),N(F175)&gt;0),H175/F175,IF(N(J175)=0,"",IF(AND(ISNUMBER(G175),N(F175)&gt;0),G175/F175/J175,IF(ISNUMBER(I175),I175/J175,"")))))</f>
        <v/>
      </c>
      <c r="L175" s="27"/>
    </row>
    <row r="176" customFormat="false" ht="15" hidden="false" customHeight="false" outlineLevel="0" collapsed="false">
      <c r="A176" s="27"/>
      <c r="B176" s="27"/>
      <c r="C176" s="27"/>
      <c r="D176" s="27"/>
      <c r="E176" s="27"/>
      <c r="F176" s="27"/>
      <c r="G176" s="27"/>
      <c r="H176" s="27"/>
      <c r="I176" s="27"/>
      <c r="J176" s="9" t="str">
        <f aca="false">IF(E176="","",IFERROR(IF(N(INDEX(Telas!$G$6:$G$105,MATCH(E176,Telas!$A$6:$A$105,0)))=0,"",INDEX(Telas!$G$6:$G$105,MATCH(E176,Telas!$A$6:$A$105,0))),""))</f>
        <v/>
      </c>
      <c r="K176" s="9" t="str">
        <f aca="false">IF(C176="","",IF(AND(ISNUMBER(H176),N(F176)&gt;0),H176/F176,IF(N(J176)=0,"",IF(AND(ISNUMBER(G176),N(F176)&gt;0),G176/F176/J176,IF(ISNUMBER(I176),I176/J176,"")))))</f>
        <v/>
      </c>
      <c r="L176" s="27"/>
    </row>
    <row r="177" customFormat="false" ht="15" hidden="false" customHeight="false" outlineLevel="0" collapsed="false">
      <c r="A177" s="27"/>
      <c r="B177" s="27"/>
      <c r="C177" s="27"/>
      <c r="D177" s="27"/>
      <c r="E177" s="27"/>
      <c r="F177" s="27"/>
      <c r="G177" s="27"/>
      <c r="H177" s="27"/>
      <c r="I177" s="27"/>
      <c r="J177" s="9" t="str">
        <f aca="false">IF(E177="","",IFERROR(IF(N(INDEX(Telas!$G$6:$G$105,MATCH(E177,Telas!$A$6:$A$105,0)))=0,"",INDEX(Telas!$G$6:$G$105,MATCH(E177,Telas!$A$6:$A$105,0))),""))</f>
        <v/>
      </c>
      <c r="K177" s="9" t="str">
        <f aca="false">IF(C177="","",IF(AND(ISNUMBER(H177),N(F177)&gt;0),H177/F177,IF(N(J177)=0,"",IF(AND(ISNUMBER(G177),N(F177)&gt;0),G177/F177/J177,IF(ISNUMBER(I177),I177/J177,"")))))</f>
        <v/>
      </c>
      <c r="L177" s="27"/>
    </row>
    <row r="178" customFormat="false" ht="15" hidden="false" customHeight="false" outlineLevel="0" collapsed="false">
      <c r="A178" s="27"/>
      <c r="B178" s="27"/>
      <c r="C178" s="27"/>
      <c r="D178" s="27"/>
      <c r="E178" s="27"/>
      <c r="F178" s="27"/>
      <c r="G178" s="27"/>
      <c r="H178" s="27"/>
      <c r="I178" s="27"/>
      <c r="J178" s="9" t="str">
        <f aca="false">IF(E178="","",IFERROR(IF(N(INDEX(Telas!$G$6:$G$105,MATCH(E178,Telas!$A$6:$A$105,0)))=0,"",INDEX(Telas!$G$6:$G$105,MATCH(E178,Telas!$A$6:$A$105,0))),""))</f>
        <v/>
      </c>
      <c r="K178" s="9" t="str">
        <f aca="false">IF(C178="","",IF(AND(ISNUMBER(H178),N(F178)&gt;0),H178/F178,IF(N(J178)=0,"",IF(AND(ISNUMBER(G178),N(F178)&gt;0),G178/F178/J178,IF(ISNUMBER(I178),I178/J178,"")))))</f>
        <v/>
      </c>
      <c r="L178" s="27"/>
    </row>
    <row r="179" customFormat="false" ht="15" hidden="false" customHeight="false" outlineLevel="0" collapsed="false">
      <c r="A179" s="27"/>
      <c r="B179" s="27"/>
      <c r="C179" s="27"/>
      <c r="D179" s="27"/>
      <c r="E179" s="27"/>
      <c r="F179" s="27"/>
      <c r="G179" s="27"/>
      <c r="H179" s="27"/>
      <c r="I179" s="27"/>
      <c r="J179" s="9" t="str">
        <f aca="false">IF(E179="","",IFERROR(IF(N(INDEX(Telas!$G$6:$G$105,MATCH(E179,Telas!$A$6:$A$105,0)))=0,"",INDEX(Telas!$G$6:$G$105,MATCH(E179,Telas!$A$6:$A$105,0))),""))</f>
        <v/>
      </c>
      <c r="K179" s="9" t="str">
        <f aca="false">IF(C179="","",IF(AND(ISNUMBER(H179),N(F179)&gt;0),H179/F179,IF(N(J179)=0,"",IF(AND(ISNUMBER(G179),N(F179)&gt;0),G179/F179/J179,IF(ISNUMBER(I179),I179/J179,"")))))</f>
        <v/>
      </c>
      <c r="L179" s="27"/>
    </row>
    <row r="180" customFormat="false" ht="15" hidden="false" customHeight="false" outlineLevel="0" collapsed="false">
      <c r="A180" s="27"/>
      <c r="B180" s="27"/>
      <c r="C180" s="27"/>
      <c r="D180" s="27"/>
      <c r="E180" s="27"/>
      <c r="F180" s="27"/>
      <c r="G180" s="27"/>
      <c r="H180" s="27"/>
      <c r="I180" s="27"/>
      <c r="J180" s="9" t="str">
        <f aca="false">IF(E180="","",IFERROR(IF(N(INDEX(Telas!$G$6:$G$105,MATCH(E180,Telas!$A$6:$A$105,0)))=0,"",INDEX(Telas!$G$6:$G$105,MATCH(E180,Telas!$A$6:$A$105,0))),""))</f>
        <v/>
      </c>
      <c r="K180" s="9" t="str">
        <f aca="false">IF(C180="","",IF(AND(ISNUMBER(H180),N(F180)&gt;0),H180/F180,IF(N(J180)=0,"",IF(AND(ISNUMBER(G180),N(F180)&gt;0),G180/F180/J180,IF(ISNUMBER(I180),I180/J180,"")))))</f>
        <v/>
      </c>
      <c r="L180" s="27"/>
    </row>
    <row r="181" customFormat="false" ht="15" hidden="false" customHeight="false" outlineLevel="0" collapsed="false">
      <c r="A181" s="27"/>
      <c r="B181" s="27"/>
      <c r="C181" s="27"/>
      <c r="D181" s="27"/>
      <c r="E181" s="27"/>
      <c r="F181" s="27"/>
      <c r="G181" s="27"/>
      <c r="H181" s="27"/>
      <c r="I181" s="27"/>
      <c r="J181" s="9" t="str">
        <f aca="false">IF(E181="","",IFERROR(IF(N(INDEX(Telas!$G$6:$G$105,MATCH(E181,Telas!$A$6:$A$105,0)))=0,"",INDEX(Telas!$G$6:$G$105,MATCH(E181,Telas!$A$6:$A$105,0))),""))</f>
        <v/>
      </c>
      <c r="K181" s="9" t="str">
        <f aca="false">IF(C181="","",IF(AND(ISNUMBER(H181),N(F181)&gt;0),H181/F181,IF(N(J181)=0,"",IF(AND(ISNUMBER(G181),N(F181)&gt;0),G181/F181/J181,IF(ISNUMBER(I181),I181/J181,"")))))</f>
        <v/>
      </c>
      <c r="L181" s="27"/>
    </row>
    <row r="182" customFormat="false" ht="15" hidden="false" customHeight="false" outlineLevel="0" collapsed="false">
      <c r="A182" s="27"/>
      <c r="B182" s="27"/>
      <c r="C182" s="27"/>
      <c r="D182" s="27"/>
      <c r="E182" s="27"/>
      <c r="F182" s="27"/>
      <c r="G182" s="27"/>
      <c r="H182" s="27"/>
      <c r="I182" s="27"/>
      <c r="J182" s="9" t="str">
        <f aca="false">IF(E182="","",IFERROR(IF(N(INDEX(Telas!$G$6:$G$105,MATCH(E182,Telas!$A$6:$A$105,0)))=0,"",INDEX(Telas!$G$6:$G$105,MATCH(E182,Telas!$A$6:$A$105,0))),""))</f>
        <v/>
      </c>
      <c r="K182" s="9" t="str">
        <f aca="false">IF(C182="","",IF(AND(ISNUMBER(H182),N(F182)&gt;0),H182/F182,IF(N(J182)=0,"",IF(AND(ISNUMBER(G182),N(F182)&gt;0),G182/F182/J182,IF(ISNUMBER(I182),I182/J182,"")))))</f>
        <v/>
      </c>
      <c r="L182" s="27"/>
    </row>
    <row r="183" customFormat="false" ht="15" hidden="false" customHeight="false" outlineLevel="0" collapsed="false">
      <c r="A183" s="27"/>
      <c r="B183" s="27"/>
      <c r="C183" s="27"/>
      <c r="D183" s="27"/>
      <c r="E183" s="27"/>
      <c r="F183" s="27"/>
      <c r="G183" s="27"/>
      <c r="H183" s="27"/>
      <c r="I183" s="27"/>
      <c r="J183" s="9" t="str">
        <f aca="false">IF(E183="","",IFERROR(IF(N(INDEX(Telas!$G$6:$G$105,MATCH(E183,Telas!$A$6:$A$105,0)))=0,"",INDEX(Telas!$G$6:$G$105,MATCH(E183,Telas!$A$6:$A$105,0))),""))</f>
        <v/>
      </c>
      <c r="K183" s="9" t="str">
        <f aca="false">IF(C183="","",IF(AND(ISNUMBER(H183),N(F183)&gt;0),H183/F183,IF(N(J183)=0,"",IF(AND(ISNUMBER(G183),N(F183)&gt;0),G183/F183/J183,IF(ISNUMBER(I183),I183/J183,"")))))</f>
        <v/>
      </c>
      <c r="L183" s="27"/>
    </row>
    <row r="184" customFormat="false" ht="15" hidden="false" customHeight="false" outlineLevel="0" collapsed="false">
      <c r="A184" s="27"/>
      <c r="B184" s="27"/>
      <c r="C184" s="27"/>
      <c r="D184" s="27"/>
      <c r="E184" s="27"/>
      <c r="F184" s="27"/>
      <c r="G184" s="27"/>
      <c r="H184" s="27"/>
      <c r="I184" s="27"/>
      <c r="J184" s="9" t="str">
        <f aca="false">IF(E184="","",IFERROR(IF(N(INDEX(Telas!$G$6:$G$105,MATCH(E184,Telas!$A$6:$A$105,0)))=0,"",INDEX(Telas!$G$6:$G$105,MATCH(E184,Telas!$A$6:$A$105,0))),""))</f>
        <v/>
      </c>
      <c r="K184" s="9" t="str">
        <f aca="false">IF(C184="","",IF(AND(ISNUMBER(H184),N(F184)&gt;0),H184/F184,IF(N(J184)=0,"",IF(AND(ISNUMBER(G184),N(F184)&gt;0),G184/F184/J184,IF(ISNUMBER(I184),I184/J184,"")))))</f>
        <v/>
      </c>
      <c r="L184" s="27"/>
    </row>
    <row r="185" customFormat="false" ht="15" hidden="false" customHeight="false" outlineLevel="0" collapsed="false">
      <c r="A185" s="27"/>
      <c r="B185" s="27"/>
      <c r="C185" s="27"/>
      <c r="D185" s="27"/>
      <c r="E185" s="27"/>
      <c r="F185" s="27"/>
      <c r="G185" s="27"/>
      <c r="H185" s="27"/>
      <c r="I185" s="27"/>
      <c r="J185" s="9" t="str">
        <f aca="false">IF(E185="","",IFERROR(IF(N(INDEX(Telas!$G$6:$G$105,MATCH(E185,Telas!$A$6:$A$105,0)))=0,"",INDEX(Telas!$G$6:$G$105,MATCH(E185,Telas!$A$6:$A$105,0))),""))</f>
        <v/>
      </c>
      <c r="K185" s="9" t="str">
        <f aca="false">IF(C185="","",IF(AND(ISNUMBER(H185),N(F185)&gt;0),H185/F185,IF(N(J185)=0,"",IF(AND(ISNUMBER(G185),N(F185)&gt;0),G185/F185/J185,IF(ISNUMBER(I185),I185/J185,"")))))</f>
        <v/>
      </c>
      <c r="L185" s="27"/>
    </row>
    <row r="186" customFormat="false" ht="15" hidden="false" customHeight="false" outlineLevel="0" collapsed="false">
      <c r="A186" s="27"/>
      <c r="B186" s="27"/>
      <c r="C186" s="27"/>
      <c r="D186" s="27"/>
      <c r="E186" s="27"/>
      <c r="F186" s="27"/>
      <c r="G186" s="27"/>
      <c r="H186" s="27"/>
      <c r="I186" s="27"/>
      <c r="J186" s="9" t="str">
        <f aca="false">IF(E186="","",IFERROR(IF(N(INDEX(Telas!$G$6:$G$105,MATCH(E186,Telas!$A$6:$A$105,0)))=0,"",INDEX(Telas!$G$6:$G$105,MATCH(E186,Telas!$A$6:$A$105,0))),""))</f>
        <v/>
      </c>
      <c r="K186" s="9" t="str">
        <f aca="false">IF(C186="","",IF(AND(ISNUMBER(H186),N(F186)&gt;0),H186/F186,IF(N(J186)=0,"",IF(AND(ISNUMBER(G186),N(F186)&gt;0),G186/F186/J186,IF(ISNUMBER(I186),I186/J186,"")))))</f>
        <v/>
      </c>
      <c r="L186" s="27"/>
    </row>
    <row r="187" customFormat="false" ht="15" hidden="false" customHeight="false" outlineLevel="0" collapsed="false">
      <c r="A187" s="27"/>
      <c r="B187" s="27"/>
      <c r="C187" s="27"/>
      <c r="D187" s="27"/>
      <c r="E187" s="27"/>
      <c r="F187" s="27"/>
      <c r="G187" s="27"/>
      <c r="H187" s="27"/>
      <c r="I187" s="27"/>
      <c r="J187" s="9" t="str">
        <f aca="false">IF(E187="","",IFERROR(IF(N(INDEX(Telas!$G$6:$G$105,MATCH(E187,Telas!$A$6:$A$105,0)))=0,"",INDEX(Telas!$G$6:$G$105,MATCH(E187,Telas!$A$6:$A$105,0))),""))</f>
        <v/>
      </c>
      <c r="K187" s="9" t="str">
        <f aca="false">IF(C187="","",IF(AND(ISNUMBER(H187),N(F187)&gt;0),H187/F187,IF(N(J187)=0,"",IF(AND(ISNUMBER(G187),N(F187)&gt;0),G187/F187/J187,IF(ISNUMBER(I187),I187/J187,"")))))</f>
        <v/>
      </c>
      <c r="L187" s="27"/>
    </row>
    <row r="188" customFormat="false" ht="15" hidden="false" customHeight="false" outlineLevel="0" collapsed="false">
      <c r="A188" s="27"/>
      <c r="B188" s="27"/>
      <c r="C188" s="27"/>
      <c r="D188" s="27"/>
      <c r="E188" s="27"/>
      <c r="F188" s="27"/>
      <c r="G188" s="27"/>
      <c r="H188" s="27"/>
      <c r="I188" s="27"/>
      <c r="J188" s="9" t="str">
        <f aca="false">IF(E188="","",IFERROR(IF(N(INDEX(Telas!$G$6:$G$105,MATCH(E188,Telas!$A$6:$A$105,0)))=0,"",INDEX(Telas!$G$6:$G$105,MATCH(E188,Telas!$A$6:$A$105,0))),""))</f>
        <v/>
      </c>
      <c r="K188" s="9" t="str">
        <f aca="false">IF(C188="","",IF(AND(ISNUMBER(H188),N(F188)&gt;0),H188/F188,IF(N(J188)=0,"",IF(AND(ISNUMBER(G188),N(F188)&gt;0),G188/F188/J188,IF(ISNUMBER(I188),I188/J188,"")))))</f>
        <v/>
      </c>
      <c r="L188" s="27"/>
    </row>
    <row r="189" customFormat="false" ht="15" hidden="false" customHeight="false" outlineLevel="0" collapsed="false">
      <c r="A189" s="27"/>
      <c r="B189" s="27"/>
      <c r="C189" s="27"/>
      <c r="D189" s="27"/>
      <c r="E189" s="27"/>
      <c r="F189" s="27"/>
      <c r="G189" s="27"/>
      <c r="H189" s="27"/>
      <c r="I189" s="27"/>
      <c r="J189" s="9" t="str">
        <f aca="false">IF(E189="","",IFERROR(IF(N(INDEX(Telas!$G$6:$G$105,MATCH(E189,Telas!$A$6:$A$105,0)))=0,"",INDEX(Telas!$G$6:$G$105,MATCH(E189,Telas!$A$6:$A$105,0))),""))</f>
        <v/>
      </c>
      <c r="K189" s="9" t="str">
        <f aca="false">IF(C189="","",IF(AND(ISNUMBER(H189),N(F189)&gt;0),H189/F189,IF(N(J189)=0,"",IF(AND(ISNUMBER(G189),N(F189)&gt;0),G189/F189/J189,IF(ISNUMBER(I189),I189/J189,"")))))</f>
        <v/>
      </c>
      <c r="L189" s="27"/>
    </row>
    <row r="190" customFormat="false" ht="15" hidden="false" customHeight="false" outlineLevel="0" collapsed="false">
      <c r="A190" s="27"/>
      <c r="B190" s="27"/>
      <c r="C190" s="27"/>
      <c r="D190" s="27"/>
      <c r="E190" s="27"/>
      <c r="F190" s="27"/>
      <c r="G190" s="27"/>
      <c r="H190" s="27"/>
      <c r="I190" s="27"/>
      <c r="J190" s="9" t="str">
        <f aca="false">IF(E190="","",IFERROR(IF(N(INDEX(Telas!$G$6:$G$105,MATCH(E190,Telas!$A$6:$A$105,0)))=0,"",INDEX(Telas!$G$6:$G$105,MATCH(E190,Telas!$A$6:$A$105,0))),""))</f>
        <v/>
      </c>
      <c r="K190" s="9" t="str">
        <f aca="false">IF(C190="","",IF(AND(ISNUMBER(H190),N(F190)&gt;0),H190/F190,IF(N(J190)=0,"",IF(AND(ISNUMBER(G190),N(F190)&gt;0),G190/F190/J190,IF(ISNUMBER(I190),I190/J190,"")))))</f>
        <v/>
      </c>
      <c r="L190" s="27"/>
    </row>
    <row r="191" customFormat="false" ht="15" hidden="false" customHeight="false" outlineLevel="0" collapsed="false">
      <c r="A191" s="27"/>
      <c r="B191" s="27"/>
      <c r="C191" s="27"/>
      <c r="D191" s="27"/>
      <c r="E191" s="27"/>
      <c r="F191" s="27"/>
      <c r="G191" s="27"/>
      <c r="H191" s="27"/>
      <c r="I191" s="27"/>
      <c r="J191" s="9" t="str">
        <f aca="false">IF(E191="","",IFERROR(IF(N(INDEX(Telas!$G$6:$G$105,MATCH(E191,Telas!$A$6:$A$105,0)))=0,"",INDEX(Telas!$G$6:$G$105,MATCH(E191,Telas!$A$6:$A$105,0))),""))</f>
        <v/>
      </c>
      <c r="K191" s="9" t="str">
        <f aca="false">IF(C191="","",IF(AND(ISNUMBER(H191),N(F191)&gt;0),H191/F191,IF(N(J191)=0,"",IF(AND(ISNUMBER(G191),N(F191)&gt;0),G191/F191/J191,IF(ISNUMBER(I191),I191/J191,"")))))</f>
        <v/>
      </c>
      <c r="L191" s="27"/>
    </row>
    <row r="192" customFormat="false" ht="15" hidden="false" customHeight="false" outlineLevel="0" collapsed="false">
      <c r="A192" s="27"/>
      <c r="B192" s="27"/>
      <c r="C192" s="27"/>
      <c r="D192" s="27"/>
      <c r="E192" s="27"/>
      <c r="F192" s="27"/>
      <c r="G192" s="27"/>
      <c r="H192" s="27"/>
      <c r="I192" s="27"/>
      <c r="J192" s="9" t="str">
        <f aca="false">IF(E192="","",IFERROR(IF(N(INDEX(Telas!$G$6:$G$105,MATCH(E192,Telas!$A$6:$A$105,0)))=0,"",INDEX(Telas!$G$6:$G$105,MATCH(E192,Telas!$A$6:$A$105,0))),""))</f>
        <v/>
      </c>
      <c r="K192" s="9" t="str">
        <f aca="false">IF(C192="","",IF(AND(ISNUMBER(H192),N(F192)&gt;0),H192/F192,IF(N(J192)=0,"",IF(AND(ISNUMBER(G192),N(F192)&gt;0),G192/F192/J192,IF(ISNUMBER(I192),I192/J192,"")))))</f>
        <v/>
      </c>
      <c r="L192" s="27"/>
    </row>
    <row r="193" customFormat="false" ht="15" hidden="false" customHeight="false" outlineLevel="0" collapsed="false">
      <c r="A193" s="27"/>
      <c r="B193" s="27"/>
      <c r="C193" s="27"/>
      <c r="D193" s="27"/>
      <c r="E193" s="27"/>
      <c r="F193" s="27"/>
      <c r="G193" s="27"/>
      <c r="H193" s="27"/>
      <c r="I193" s="27"/>
      <c r="J193" s="9" t="str">
        <f aca="false">IF(E193="","",IFERROR(IF(N(INDEX(Telas!$G$6:$G$105,MATCH(E193,Telas!$A$6:$A$105,0)))=0,"",INDEX(Telas!$G$6:$G$105,MATCH(E193,Telas!$A$6:$A$105,0))),""))</f>
        <v/>
      </c>
      <c r="K193" s="9" t="str">
        <f aca="false">IF(C193="","",IF(AND(ISNUMBER(H193),N(F193)&gt;0),H193/F193,IF(N(J193)=0,"",IF(AND(ISNUMBER(G193),N(F193)&gt;0),G193/F193/J193,IF(ISNUMBER(I193),I193/J193,"")))))</f>
        <v/>
      </c>
      <c r="L193" s="27"/>
    </row>
    <row r="194" customFormat="false" ht="15" hidden="false" customHeight="false" outlineLevel="0" collapsed="false">
      <c r="A194" s="27"/>
      <c r="B194" s="27"/>
      <c r="C194" s="27"/>
      <c r="D194" s="27"/>
      <c r="E194" s="27"/>
      <c r="F194" s="27"/>
      <c r="G194" s="27"/>
      <c r="H194" s="27"/>
      <c r="I194" s="27"/>
      <c r="J194" s="9" t="str">
        <f aca="false">IF(E194="","",IFERROR(IF(N(INDEX(Telas!$G$6:$G$105,MATCH(E194,Telas!$A$6:$A$105,0)))=0,"",INDEX(Telas!$G$6:$G$105,MATCH(E194,Telas!$A$6:$A$105,0))),""))</f>
        <v/>
      </c>
      <c r="K194" s="9" t="str">
        <f aca="false">IF(C194="","",IF(AND(ISNUMBER(H194),N(F194)&gt;0),H194/F194,IF(N(J194)=0,"",IF(AND(ISNUMBER(G194),N(F194)&gt;0),G194/F194/J194,IF(ISNUMBER(I194),I194/J194,"")))))</f>
        <v/>
      </c>
      <c r="L194" s="27"/>
    </row>
    <row r="195" customFormat="false" ht="15" hidden="false" customHeight="false" outlineLevel="0" collapsed="false">
      <c r="A195" s="27"/>
      <c r="B195" s="27"/>
      <c r="C195" s="27"/>
      <c r="D195" s="27"/>
      <c r="E195" s="27"/>
      <c r="F195" s="27"/>
      <c r="G195" s="27"/>
      <c r="H195" s="27"/>
      <c r="I195" s="27"/>
      <c r="J195" s="9" t="str">
        <f aca="false">IF(E195="","",IFERROR(IF(N(INDEX(Telas!$G$6:$G$105,MATCH(E195,Telas!$A$6:$A$105,0)))=0,"",INDEX(Telas!$G$6:$G$105,MATCH(E195,Telas!$A$6:$A$105,0))),""))</f>
        <v/>
      </c>
      <c r="K195" s="9" t="str">
        <f aca="false">IF(C195="","",IF(AND(ISNUMBER(H195),N(F195)&gt;0),H195/F195,IF(N(J195)=0,"",IF(AND(ISNUMBER(G195),N(F195)&gt;0),G195/F195/J195,IF(ISNUMBER(I195),I195/J195,"")))))</f>
        <v/>
      </c>
      <c r="L195" s="27"/>
    </row>
    <row r="196" customFormat="false" ht="15" hidden="false" customHeight="false" outlineLevel="0" collapsed="false">
      <c r="A196" s="27"/>
      <c r="B196" s="27"/>
      <c r="C196" s="27"/>
      <c r="D196" s="27"/>
      <c r="E196" s="27"/>
      <c r="F196" s="27"/>
      <c r="G196" s="27"/>
      <c r="H196" s="27"/>
      <c r="I196" s="27"/>
      <c r="J196" s="9" t="str">
        <f aca="false">IF(E196="","",IFERROR(IF(N(INDEX(Telas!$G$6:$G$105,MATCH(E196,Telas!$A$6:$A$105,0)))=0,"",INDEX(Telas!$G$6:$G$105,MATCH(E196,Telas!$A$6:$A$105,0))),""))</f>
        <v/>
      </c>
      <c r="K196" s="9" t="str">
        <f aca="false">IF(C196="","",IF(AND(ISNUMBER(H196),N(F196)&gt;0),H196/F196,IF(N(J196)=0,"",IF(AND(ISNUMBER(G196),N(F196)&gt;0),G196/F196/J196,IF(ISNUMBER(I196),I196/J196,"")))))</f>
        <v/>
      </c>
      <c r="L196" s="27"/>
    </row>
    <row r="197" customFormat="false" ht="15" hidden="false" customHeight="false" outlineLevel="0" collapsed="false">
      <c r="A197" s="27"/>
      <c r="B197" s="27"/>
      <c r="C197" s="27"/>
      <c r="D197" s="27"/>
      <c r="E197" s="27"/>
      <c r="F197" s="27"/>
      <c r="G197" s="27"/>
      <c r="H197" s="27"/>
      <c r="I197" s="27"/>
      <c r="J197" s="9" t="str">
        <f aca="false">IF(E197="","",IFERROR(IF(N(INDEX(Telas!$G$6:$G$105,MATCH(E197,Telas!$A$6:$A$105,0)))=0,"",INDEX(Telas!$G$6:$G$105,MATCH(E197,Telas!$A$6:$A$105,0))),""))</f>
        <v/>
      </c>
      <c r="K197" s="9" t="str">
        <f aca="false">IF(C197="","",IF(AND(ISNUMBER(H197),N(F197)&gt;0),H197/F197,IF(N(J197)=0,"",IF(AND(ISNUMBER(G197),N(F197)&gt;0),G197/F197/J197,IF(ISNUMBER(I197),I197/J197,"")))))</f>
        <v/>
      </c>
      <c r="L197" s="27"/>
    </row>
    <row r="198" customFormat="false" ht="15" hidden="false" customHeight="false" outlineLevel="0" collapsed="false">
      <c r="A198" s="27"/>
      <c r="B198" s="27"/>
      <c r="C198" s="27"/>
      <c r="D198" s="27"/>
      <c r="E198" s="27"/>
      <c r="F198" s="27"/>
      <c r="G198" s="27"/>
      <c r="H198" s="27"/>
      <c r="I198" s="27"/>
      <c r="J198" s="9" t="str">
        <f aca="false">IF(E198="","",IFERROR(IF(N(INDEX(Telas!$G$6:$G$105,MATCH(E198,Telas!$A$6:$A$105,0)))=0,"",INDEX(Telas!$G$6:$G$105,MATCH(E198,Telas!$A$6:$A$105,0))),""))</f>
        <v/>
      </c>
      <c r="K198" s="9" t="str">
        <f aca="false">IF(C198="","",IF(AND(ISNUMBER(H198),N(F198)&gt;0),H198/F198,IF(N(J198)=0,"",IF(AND(ISNUMBER(G198),N(F198)&gt;0),G198/F198/J198,IF(ISNUMBER(I198),I198/J198,"")))))</f>
        <v/>
      </c>
      <c r="L198" s="27"/>
    </row>
    <row r="199" customFormat="false" ht="15" hidden="false" customHeight="false" outlineLevel="0" collapsed="false">
      <c r="A199" s="27"/>
      <c r="B199" s="27"/>
      <c r="C199" s="27"/>
      <c r="D199" s="27"/>
      <c r="E199" s="27"/>
      <c r="F199" s="27"/>
      <c r="G199" s="27"/>
      <c r="H199" s="27"/>
      <c r="I199" s="27"/>
      <c r="J199" s="9" t="str">
        <f aca="false">IF(E199="","",IFERROR(IF(N(INDEX(Telas!$G$6:$G$105,MATCH(E199,Telas!$A$6:$A$105,0)))=0,"",INDEX(Telas!$G$6:$G$105,MATCH(E199,Telas!$A$6:$A$105,0))),""))</f>
        <v/>
      </c>
      <c r="K199" s="9" t="str">
        <f aca="false">IF(C199="","",IF(AND(ISNUMBER(H199),N(F199)&gt;0),H199/F199,IF(N(J199)=0,"",IF(AND(ISNUMBER(G199),N(F199)&gt;0),G199/F199/J199,IF(ISNUMBER(I199),I199/J199,"")))))</f>
        <v/>
      </c>
      <c r="L199" s="27"/>
    </row>
    <row r="200" customFormat="false" ht="15" hidden="false" customHeight="false" outlineLevel="0" collapsed="false">
      <c r="A200" s="27"/>
      <c r="B200" s="27"/>
      <c r="C200" s="27"/>
      <c r="D200" s="27"/>
      <c r="E200" s="27"/>
      <c r="F200" s="27"/>
      <c r="G200" s="27"/>
      <c r="H200" s="27"/>
      <c r="I200" s="27"/>
      <c r="J200" s="9" t="str">
        <f aca="false">IF(E200="","",IFERROR(IF(N(INDEX(Telas!$G$6:$G$105,MATCH(E200,Telas!$A$6:$A$105,0)))=0,"",INDEX(Telas!$G$6:$G$105,MATCH(E200,Telas!$A$6:$A$105,0))),""))</f>
        <v/>
      </c>
      <c r="K200" s="9" t="str">
        <f aca="false">IF(C200="","",IF(AND(ISNUMBER(H200),N(F200)&gt;0),H200/F200,IF(N(J200)=0,"",IF(AND(ISNUMBER(G200),N(F200)&gt;0),G200/F200/J200,IF(ISNUMBER(I200),I200/J200,"")))))</f>
        <v/>
      </c>
      <c r="L200" s="27"/>
    </row>
    <row r="201" customFormat="false" ht="15" hidden="false" customHeight="false" outlineLevel="0" collapsed="false">
      <c r="A201" s="27"/>
      <c r="B201" s="27"/>
      <c r="C201" s="27"/>
      <c r="D201" s="27"/>
      <c r="E201" s="27"/>
      <c r="F201" s="27"/>
      <c r="G201" s="27"/>
      <c r="H201" s="27"/>
      <c r="I201" s="27"/>
      <c r="J201" s="9" t="str">
        <f aca="false">IF(E201="","",IFERROR(IF(N(INDEX(Telas!$G$6:$G$105,MATCH(E201,Telas!$A$6:$A$105,0)))=0,"",INDEX(Telas!$G$6:$G$105,MATCH(E201,Telas!$A$6:$A$105,0))),""))</f>
        <v/>
      </c>
      <c r="K201" s="9" t="str">
        <f aca="false">IF(C201="","",IF(AND(ISNUMBER(H201),N(F201)&gt;0),H201/F201,IF(N(J201)=0,"",IF(AND(ISNUMBER(G201),N(F201)&gt;0),G201/F201/J201,IF(ISNUMBER(I201),I201/J201,"")))))</f>
        <v/>
      </c>
      <c r="L201" s="27"/>
    </row>
    <row r="202" customFormat="false" ht="15" hidden="false" customHeight="false" outlineLevel="0" collapsed="false">
      <c r="A202" s="27"/>
      <c r="B202" s="27"/>
      <c r="C202" s="27"/>
      <c r="D202" s="27"/>
      <c r="E202" s="27"/>
      <c r="F202" s="27"/>
      <c r="G202" s="27"/>
      <c r="H202" s="27"/>
      <c r="I202" s="27"/>
      <c r="J202" s="9" t="str">
        <f aca="false">IF(E202="","",IFERROR(IF(N(INDEX(Telas!$G$6:$G$105,MATCH(E202,Telas!$A$6:$A$105,0)))=0,"",INDEX(Telas!$G$6:$G$105,MATCH(E202,Telas!$A$6:$A$105,0))),""))</f>
        <v/>
      </c>
      <c r="K202" s="9" t="str">
        <f aca="false">IF(C202="","",IF(AND(ISNUMBER(H202),N(F202)&gt;0),H202/F202,IF(N(J202)=0,"",IF(AND(ISNUMBER(G202),N(F202)&gt;0),G202/F202/J202,IF(ISNUMBER(I202),I202/J202,"")))))</f>
        <v/>
      </c>
      <c r="L202" s="27"/>
    </row>
    <row r="203" customFormat="false" ht="15" hidden="false" customHeight="false" outlineLevel="0" collapsed="false">
      <c r="A203" s="27"/>
      <c r="B203" s="27"/>
      <c r="C203" s="27"/>
      <c r="D203" s="27"/>
      <c r="E203" s="27"/>
      <c r="F203" s="27"/>
      <c r="G203" s="27"/>
      <c r="H203" s="27"/>
      <c r="I203" s="27"/>
      <c r="J203" s="9" t="str">
        <f aca="false">IF(E203="","",IFERROR(IF(N(INDEX(Telas!$G$6:$G$105,MATCH(E203,Telas!$A$6:$A$105,0)))=0,"",INDEX(Telas!$G$6:$G$105,MATCH(E203,Telas!$A$6:$A$105,0))),""))</f>
        <v/>
      </c>
      <c r="K203" s="9" t="str">
        <f aca="false">IF(C203="","",IF(AND(ISNUMBER(H203),N(F203)&gt;0),H203/F203,IF(N(J203)=0,"",IF(AND(ISNUMBER(G203),N(F203)&gt;0),G203/F203/J203,IF(ISNUMBER(I203),I203/J203,"")))))</f>
        <v/>
      </c>
      <c r="L203" s="27"/>
    </row>
    <row r="204" customFormat="false" ht="15" hidden="false" customHeight="false" outlineLevel="0" collapsed="false">
      <c r="A204" s="27"/>
      <c r="B204" s="27"/>
      <c r="C204" s="27"/>
      <c r="D204" s="27"/>
      <c r="E204" s="27"/>
      <c r="F204" s="27"/>
      <c r="G204" s="27"/>
      <c r="H204" s="27"/>
      <c r="I204" s="27"/>
      <c r="J204" s="9" t="str">
        <f aca="false">IF(E204="","",IFERROR(IF(N(INDEX(Telas!$G$6:$G$105,MATCH(E204,Telas!$A$6:$A$105,0)))=0,"",INDEX(Telas!$G$6:$G$105,MATCH(E204,Telas!$A$6:$A$105,0))),""))</f>
        <v/>
      </c>
      <c r="K204" s="9" t="str">
        <f aca="false">IF(C204="","",IF(AND(ISNUMBER(H204),N(F204)&gt;0),H204/F204,IF(N(J204)=0,"",IF(AND(ISNUMBER(G204),N(F204)&gt;0),G204/F204/J204,IF(ISNUMBER(I204),I204/J204,"")))))</f>
        <v/>
      </c>
      <c r="L204" s="27"/>
    </row>
    <row r="205" customFormat="false" ht="15" hidden="false" customHeight="false" outlineLevel="0" collapsed="false">
      <c r="A205" s="27"/>
      <c r="B205" s="27"/>
      <c r="C205" s="27"/>
      <c r="D205" s="27"/>
      <c r="E205" s="27"/>
      <c r="F205" s="27"/>
      <c r="G205" s="27"/>
      <c r="H205" s="27"/>
      <c r="I205" s="27"/>
      <c r="J205" s="9" t="str">
        <f aca="false">IF(E205="","",IFERROR(IF(N(INDEX(Telas!$G$6:$G$105,MATCH(E205,Telas!$A$6:$A$105,0)))=0,"",INDEX(Telas!$G$6:$G$105,MATCH(E205,Telas!$A$6:$A$105,0))),""))</f>
        <v/>
      </c>
      <c r="K205" s="9" t="str">
        <f aca="false">IF(C205="","",IF(AND(ISNUMBER(H205),N(F205)&gt;0),H205/F205,IF(N(J205)=0,"",IF(AND(ISNUMBER(G205),N(F205)&gt;0),G205/F205/J205,IF(ISNUMBER(I205),I205/J205,"")))))</f>
        <v/>
      </c>
      <c r="L205" s="27"/>
    </row>
    <row r="206" customFormat="false" ht="15" hidden="false" customHeight="false" outlineLevel="0" collapsed="false">
      <c r="A206" s="27"/>
      <c r="B206" s="27"/>
      <c r="C206" s="27"/>
      <c r="D206" s="27"/>
      <c r="E206" s="27"/>
      <c r="F206" s="27"/>
      <c r="G206" s="27"/>
      <c r="H206" s="27"/>
      <c r="I206" s="27"/>
      <c r="J206" s="9" t="str">
        <f aca="false">IF(E206="","",IFERROR(IF(N(INDEX(Telas!$G$6:$G$105,MATCH(E206,Telas!$A$6:$A$105,0)))=0,"",INDEX(Telas!$G$6:$G$105,MATCH(E206,Telas!$A$6:$A$105,0))),""))</f>
        <v/>
      </c>
      <c r="K206" s="9" t="str">
        <f aca="false">IF(C206="","",IF(AND(ISNUMBER(H206),N(F206)&gt;0),H206/F206,IF(N(J206)=0,"",IF(AND(ISNUMBER(G206),N(F206)&gt;0),G206/F206/J206,IF(ISNUMBER(I206),I206/J206,"")))))</f>
        <v/>
      </c>
      <c r="L206" s="27"/>
    </row>
    <row r="207" customFormat="false" ht="15" hidden="false" customHeight="false" outlineLevel="0" collapsed="false">
      <c r="A207" s="27"/>
      <c r="B207" s="27"/>
      <c r="C207" s="27"/>
      <c r="D207" s="27"/>
      <c r="E207" s="27"/>
      <c r="F207" s="27"/>
      <c r="G207" s="27"/>
      <c r="H207" s="27"/>
      <c r="I207" s="27"/>
      <c r="J207" s="9" t="str">
        <f aca="false">IF(E207="","",IFERROR(IF(N(INDEX(Telas!$G$6:$G$105,MATCH(E207,Telas!$A$6:$A$105,0)))=0,"",INDEX(Telas!$G$6:$G$105,MATCH(E207,Telas!$A$6:$A$105,0))),""))</f>
        <v/>
      </c>
      <c r="K207" s="9" t="str">
        <f aca="false">IF(C207="","",IF(AND(ISNUMBER(H207),N(F207)&gt;0),H207/F207,IF(N(J207)=0,"",IF(AND(ISNUMBER(G207),N(F207)&gt;0),G207/F207/J207,IF(ISNUMBER(I207),I207/J207,"")))))</f>
        <v/>
      </c>
      <c r="L207" s="27"/>
    </row>
    <row r="208" customFormat="false" ht="15" hidden="false" customHeight="false" outlineLevel="0" collapsed="false">
      <c r="A208" s="27"/>
      <c r="B208" s="27"/>
      <c r="C208" s="27"/>
      <c r="D208" s="27"/>
      <c r="E208" s="27"/>
      <c r="F208" s="27"/>
      <c r="G208" s="27"/>
      <c r="H208" s="27"/>
      <c r="I208" s="27"/>
      <c r="J208" s="9" t="str">
        <f aca="false">IF(E208="","",IFERROR(IF(N(INDEX(Telas!$G$6:$G$105,MATCH(E208,Telas!$A$6:$A$105,0)))=0,"",INDEX(Telas!$G$6:$G$105,MATCH(E208,Telas!$A$6:$A$105,0))),""))</f>
        <v/>
      </c>
      <c r="K208" s="9" t="str">
        <f aca="false">IF(C208="","",IF(AND(ISNUMBER(H208),N(F208)&gt;0),H208/F208,IF(N(J208)=0,"",IF(AND(ISNUMBER(G208),N(F208)&gt;0),G208/F208/J208,IF(ISNUMBER(I208),I208/J208,"")))))</f>
        <v/>
      </c>
      <c r="L208" s="27"/>
    </row>
    <row r="209" customFormat="false" ht="15" hidden="false" customHeight="false" outlineLevel="0" collapsed="false">
      <c r="A209" s="27"/>
      <c r="B209" s="27"/>
      <c r="C209" s="27"/>
      <c r="D209" s="27"/>
      <c r="E209" s="27"/>
      <c r="F209" s="27"/>
      <c r="G209" s="27"/>
      <c r="H209" s="27"/>
      <c r="I209" s="27"/>
      <c r="J209" s="9" t="str">
        <f aca="false">IF(E209="","",IFERROR(IF(N(INDEX(Telas!$G$6:$G$105,MATCH(E209,Telas!$A$6:$A$105,0)))=0,"",INDEX(Telas!$G$6:$G$105,MATCH(E209,Telas!$A$6:$A$105,0))),""))</f>
        <v/>
      </c>
      <c r="K209" s="9" t="str">
        <f aca="false">IF(C209="","",IF(AND(ISNUMBER(H209),N(F209)&gt;0),H209/F209,IF(N(J209)=0,"",IF(AND(ISNUMBER(G209),N(F209)&gt;0),G209/F209/J209,IF(ISNUMBER(I209),I209/J209,"")))))</f>
        <v/>
      </c>
      <c r="L209" s="27"/>
    </row>
    <row r="210" customFormat="false" ht="15" hidden="false" customHeight="false" outlineLevel="0" collapsed="false">
      <c r="A210" s="27"/>
      <c r="B210" s="27"/>
      <c r="C210" s="27"/>
      <c r="D210" s="27"/>
      <c r="E210" s="27"/>
      <c r="F210" s="27"/>
      <c r="G210" s="27"/>
      <c r="H210" s="27"/>
      <c r="I210" s="27"/>
      <c r="J210" s="9" t="str">
        <f aca="false">IF(E210="","",IFERROR(IF(N(INDEX(Telas!$G$6:$G$105,MATCH(E210,Telas!$A$6:$A$105,0)))=0,"",INDEX(Telas!$G$6:$G$105,MATCH(E210,Telas!$A$6:$A$105,0))),""))</f>
        <v/>
      </c>
      <c r="K210" s="9" t="str">
        <f aca="false">IF(C210="","",IF(AND(ISNUMBER(H210),N(F210)&gt;0),H210/F210,IF(N(J210)=0,"",IF(AND(ISNUMBER(G210),N(F210)&gt;0),G210/F210/J210,IF(ISNUMBER(I210),I210/J210,"")))))</f>
        <v/>
      </c>
      <c r="L210" s="27"/>
    </row>
    <row r="211" customFormat="false" ht="15" hidden="false" customHeight="false" outlineLevel="0" collapsed="false">
      <c r="A211" s="27"/>
      <c r="B211" s="27"/>
      <c r="C211" s="27"/>
      <c r="D211" s="27"/>
      <c r="E211" s="27"/>
      <c r="F211" s="27"/>
      <c r="G211" s="27"/>
      <c r="H211" s="27"/>
      <c r="I211" s="27"/>
      <c r="J211" s="9" t="str">
        <f aca="false">IF(E211="","",IFERROR(IF(N(INDEX(Telas!$G$6:$G$105,MATCH(E211,Telas!$A$6:$A$105,0)))=0,"",INDEX(Telas!$G$6:$G$105,MATCH(E211,Telas!$A$6:$A$105,0))),""))</f>
        <v/>
      </c>
      <c r="K211" s="9" t="str">
        <f aca="false">IF(C211="","",IF(AND(ISNUMBER(H211),N(F211)&gt;0),H211/F211,IF(N(J211)=0,"",IF(AND(ISNUMBER(G211),N(F211)&gt;0),G211/F211/J211,IF(ISNUMBER(I211),I211/J211,"")))))</f>
        <v/>
      </c>
      <c r="L211" s="27"/>
    </row>
    <row r="212" customFormat="false" ht="15" hidden="false" customHeight="false" outlineLevel="0" collapsed="false">
      <c r="A212" s="27"/>
      <c r="B212" s="27"/>
      <c r="C212" s="27"/>
      <c r="D212" s="27"/>
      <c r="E212" s="27"/>
      <c r="F212" s="27"/>
      <c r="G212" s="27"/>
      <c r="H212" s="27"/>
      <c r="I212" s="27"/>
      <c r="J212" s="9" t="str">
        <f aca="false">IF(E212="","",IFERROR(IF(N(INDEX(Telas!$G$6:$G$105,MATCH(E212,Telas!$A$6:$A$105,0)))=0,"",INDEX(Telas!$G$6:$G$105,MATCH(E212,Telas!$A$6:$A$105,0))),""))</f>
        <v/>
      </c>
      <c r="K212" s="9" t="str">
        <f aca="false">IF(C212="","",IF(AND(ISNUMBER(H212),N(F212)&gt;0),H212/F212,IF(N(J212)=0,"",IF(AND(ISNUMBER(G212),N(F212)&gt;0),G212/F212/J212,IF(ISNUMBER(I212),I212/J212,"")))))</f>
        <v/>
      </c>
      <c r="L212" s="27"/>
    </row>
    <row r="213" customFormat="false" ht="15" hidden="false" customHeight="false" outlineLevel="0" collapsed="false">
      <c r="A213" s="27"/>
      <c r="B213" s="27"/>
      <c r="C213" s="27"/>
      <c r="D213" s="27"/>
      <c r="E213" s="27"/>
      <c r="F213" s="27"/>
      <c r="G213" s="27"/>
      <c r="H213" s="27"/>
      <c r="I213" s="27"/>
      <c r="J213" s="9" t="str">
        <f aca="false">IF(E213="","",IFERROR(IF(N(INDEX(Telas!$G$6:$G$105,MATCH(E213,Telas!$A$6:$A$105,0)))=0,"",INDEX(Telas!$G$6:$G$105,MATCH(E213,Telas!$A$6:$A$105,0))),""))</f>
        <v/>
      </c>
      <c r="K213" s="9" t="str">
        <f aca="false">IF(C213="","",IF(AND(ISNUMBER(H213),N(F213)&gt;0),H213/F213,IF(N(J213)=0,"",IF(AND(ISNUMBER(G213),N(F213)&gt;0),G213/F213/J213,IF(ISNUMBER(I213),I213/J213,"")))))</f>
        <v/>
      </c>
      <c r="L213" s="27"/>
    </row>
    <row r="214" customFormat="false" ht="15" hidden="false" customHeight="false" outlineLevel="0" collapsed="false">
      <c r="A214" s="27"/>
      <c r="B214" s="27"/>
      <c r="C214" s="27"/>
      <c r="D214" s="27"/>
      <c r="E214" s="27"/>
      <c r="F214" s="27"/>
      <c r="G214" s="27"/>
      <c r="H214" s="27"/>
      <c r="I214" s="27"/>
      <c r="J214" s="9" t="str">
        <f aca="false">IF(E214="","",IFERROR(IF(N(INDEX(Telas!$G$6:$G$105,MATCH(E214,Telas!$A$6:$A$105,0)))=0,"",INDEX(Telas!$G$6:$G$105,MATCH(E214,Telas!$A$6:$A$105,0))),""))</f>
        <v/>
      </c>
      <c r="K214" s="9" t="str">
        <f aca="false">IF(C214="","",IF(AND(ISNUMBER(H214),N(F214)&gt;0),H214/F214,IF(N(J214)=0,"",IF(AND(ISNUMBER(G214),N(F214)&gt;0),G214/F214/J214,IF(ISNUMBER(I214),I214/J214,"")))))</f>
        <v/>
      </c>
      <c r="L214" s="27"/>
    </row>
    <row r="215" customFormat="false" ht="15" hidden="false" customHeight="false" outlineLevel="0" collapsed="false">
      <c r="A215" s="27"/>
      <c r="B215" s="27"/>
      <c r="C215" s="27"/>
      <c r="D215" s="27"/>
      <c r="E215" s="27"/>
      <c r="F215" s="27"/>
      <c r="G215" s="27"/>
      <c r="H215" s="27"/>
      <c r="I215" s="27"/>
      <c r="J215" s="9" t="str">
        <f aca="false">IF(E215="","",IFERROR(IF(N(INDEX(Telas!$G$6:$G$105,MATCH(E215,Telas!$A$6:$A$105,0)))=0,"",INDEX(Telas!$G$6:$G$105,MATCH(E215,Telas!$A$6:$A$105,0))),""))</f>
        <v/>
      </c>
      <c r="K215" s="9" t="str">
        <f aca="false">IF(C215="","",IF(AND(ISNUMBER(H215),N(F215)&gt;0),H215/F215,IF(N(J215)=0,"",IF(AND(ISNUMBER(G215),N(F215)&gt;0),G215/F215/J215,IF(ISNUMBER(I215),I215/J215,"")))))</f>
        <v/>
      </c>
      <c r="L215" s="27"/>
    </row>
    <row r="216" customFormat="false" ht="15" hidden="false" customHeight="false" outlineLevel="0" collapsed="false">
      <c r="A216" s="27"/>
      <c r="B216" s="27"/>
      <c r="C216" s="27"/>
      <c r="D216" s="27"/>
      <c r="E216" s="27"/>
      <c r="F216" s="27"/>
      <c r="G216" s="27"/>
      <c r="H216" s="27"/>
      <c r="I216" s="27"/>
      <c r="J216" s="9" t="str">
        <f aca="false">IF(E216="","",IFERROR(IF(N(INDEX(Telas!$G$6:$G$105,MATCH(E216,Telas!$A$6:$A$105,0)))=0,"",INDEX(Telas!$G$6:$G$105,MATCH(E216,Telas!$A$6:$A$105,0))),""))</f>
        <v/>
      </c>
      <c r="K216" s="9" t="str">
        <f aca="false">IF(C216="","",IF(AND(ISNUMBER(H216),N(F216)&gt;0),H216/F216,IF(N(J216)=0,"",IF(AND(ISNUMBER(G216),N(F216)&gt;0),G216/F216/J216,IF(ISNUMBER(I216),I216/J216,"")))))</f>
        <v/>
      </c>
      <c r="L216" s="27"/>
    </row>
    <row r="217" customFormat="false" ht="15" hidden="false" customHeight="false" outlineLevel="0" collapsed="false">
      <c r="A217" s="27"/>
      <c r="B217" s="27"/>
      <c r="C217" s="27"/>
      <c r="D217" s="27"/>
      <c r="E217" s="27"/>
      <c r="F217" s="27"/>
      <c r="G217" s="27"/>
      <c r="H217" s="27"/>
      <c r="I217" s="27"/>
      <c r="J217" s="9" t="str">
        <f aca="false">IF(E217="","",IFERROR(IF(N(INDEX(Telas!$G$6:$G$105,MATCH(E217,Telas!$A$6:$A$105,0)))=0,"",INDEX(Telas!$G$6:$G$105,MATCH(E217,Telas!$A$6:$A$105,0))),""))</f>
        <v/>
      </c>
      <c r="K217" s="9" t="str">
        <f aca="false">IF(C217="","",IF(AND(ISNUMBER(H217),N(F217)&gt;0),H217/F217,IF(N(J217)=0,"",IF(AND(ISNUMBER(G217),N(F217)&gt;0),G217/F217/J217,IF(ISNUMBER(I217),I217/J217,"")))))</f>
        <v/>
      </c>
      <c r="L217" s="27"/>
    </row>
    <row r="218" customFormat="false" ht="15" hidden="false" customHeight="false" outlineLevel="0" collapsed="false">
      <c r="A218" s="27"/>
      <c r="B218" s="27"/>
      <c r="C218" s="27"/>
      <c r="D218" s="27"/>
      <c r="E218" s="27"/>
      <c r="F218" s="27"/>
      <c r="G218" s="27"/>
      <c r="H218" s="27"/>
      <c r="I218" s="27"/>
      <c r="J218" s="9" t="str">
        <f aca="false">IF(E218="","",IFERROR(IF(N(INDEX(Telas!$G$6:$G$105,MATCH(E218,Telas!$A$6:$A$105,0)))=0,"",INDEX(Telas!$G$6:$G$105,MATCH(E218,Telas!$A$6:$A$105,0))),""))</f>
        <v/>
      </c>
      <c r="K218" s="9" t="str">
        <f aca="false">IF(C218="","",IF(AND(ISNUMBER(H218),N(F218)&gt;0),H218/F218,IF(N(J218)=0,"",IF(AND(ISNUMBER(G218),N(F218)&gt;0),G218/F218/J218,IF(ISNUMBER(I218),I218/J218,"")))))</f>
        <v/>
      </c>
      <c r="L218" s="27"/>
    </row>
    <row r="219" customFormat="false" ht="15" hidden="false" customHeight="false" outlineLevel="0" collapsed="false">
      <c r="A219" s="27"/>
      <c r="B219" s="27"/>
      <c r="C219" s="27"/>
      <c r="D219" s="27"/>
      <c r="E219" s="27"/>
      <c r="F219" s="27"/>
      <c r="G219" s="27"/>
      <c r="H219" s="27"/>
      <c r="I219" s="27"/>
      <c r="J219" s="9" t="str">
        <f aca="false">IF(E219="","",IFERROR(IF(N(INDEX(Telas!$G$6:$G$105,MATCH(E219,Telas!$A$6:$A$105,0)))=0,"",INDEX(Telas!$G$6:$G$105,MATCH(E219,Telas!$A$6:$A$105,0))),""))</f>
        <v/>
      </c>
      <c r="K219" s="9" t="str">
        <f aca="false">IF(C219="","",IF(AND(ISNUMBER(H219),N(F219)&gt;0),H219/F219,IF(N(J219)=0,"",IF(AND(ISNUMBER(G219),N(F219)&gt;0),G219/F219/J219,IF(ISNUMBER(I219),I219/J219,"")))))</f>
        <v/>
      </c>
      <c r="L219" s="27"/>
    </row>
    <row r="220" customFormat="false" ht="15" hidden="false" customHeight="false" outlineLevel="0" collapsed="false">
      <c r="A220" s="27"/>
      <c r="B220" s="27"/>
      <c r="C220" s="27"/>
      <c r="D220" s="27"/>
      <c r="E220" s="27"/>
      <c r="F220" s="27"/>
      <c r="G220" s="27"/>
      <c r="H220" s="27"/>
      <c r="I220" s="27"/>
      <c r="J220" s="9" t="str">
        <f aca="false">IF(E220="","",IFERROR(IF(N(INDEX(Telas!$G$6:$G$105,MATCH(E220,Telas!$A$6:$A$105,0)))=0,"",INDEX(Telas!$G$6:$G$105,MATCH(E220,Telas!$A$6:$A$105,0))),""))</f>
        <v/>
      </c>
      <c r="K220" s="9" t="str">
        <f aca="false">IF(C220="","",IF(AND(ISNUMBER(H220),N(F220)&gt;0),H220/F220,IF(N(J220)=0,"",IF(AND(ISNUMBER(G220),N(F220)&gt;0),G220/F220/J220,IF(ISNUMBER(I220),I220/J220,"")))))</f>
        <v/>
      </c>
      <c r="L220" s="27"/>
    </row>
    <row r="221" customFormat="false" ht="15" hidden="false" customHeight="false" outlineLevel="0" collapsed="false">
      <c r="A221" s="27"/>
      <c r="B221" s="27"/>
      <c r="C221" s="27"/>
      <c r="D221" s="27"/>
      <c r="E221" s="27"/>
      <c r="F221" s="27"/>
      <c r="G221" s="27"/>
      <c r="H221" s="27"/>
      <c r="I221" s="27"/>
      <c r="J221" s="9" t="str">
        <f aca="false">IF(E221="","",IFERROR(IF(N(INDEX(Telas!$G$6:$G$105,MATCH(E221,Telas!$A$6:$A$105,0)))=0,"",INDEX(Telas!$G$6:$G$105,MATCH(E221,Telas!$A$6:$A$105,0))),""))</f>
        <v/>
      </c>
      <c r="K221" s="9" t="str">
        <f aca="false">IF(C221="","",IF(AND(ISNUMBER(H221),N(F221)&gt;0),H221/F221,IF(N(J221)=0,"",IF(AND(ISNUMBER(G221),N(F221)&gt;0),G221/F221/J221,IF(ISNUMBER(I221),I221/J221,"")))))</f>
        <v/>
      </c>
      <c r="L221" s="27"/>
    </row>
    <row r="222" customFormat="false" ht="15" hidden="false" customHeight="false" outlineLevel="0" collapsed="false">
      <c r="A222" s="27"/>
      <c r="B222" s="27"/>
      <c r="C222" s="27"/>
      <c r="D222" s="27"/>
      <c r="E222" s="27"/>
      <c r="F222" s="27"/>
      <c r="G222" s="27"/>
      <c r="H222" s="27"/>
      <c r="I222" s="27"/>
      <c r="J222" s="9" t="str">
        <f aca="false">IF(E222="","",IFERROR(IF(N(INDEX(Telas!$G$6:$G$105,MATCH(E222,Telas!$A$6:$A$105,0)))=0,"",INDEX(Telas!$G$6:$G$105,MATCH(E222,Telas!$A$6:$A$105,0))),""))</f>
        <v/>
      </c>
      <c r="K222" s="9" t="str">
        <f aca="false">IF(C222="","",IF(AND(ISNUMBER(H222),N(F222)&gt;0),H222/F222,IF(N(J222)=0,"",IF(AND(ISNUMBER(G222),N(F222)&gt;0),G222/F222/J222,IF(ISNUMBER(I222),I222/J222,"")))))</f>
        <v/>
      </c>
      <c r="L222" s="27"/>
    </row>
    <row r="223" customFormat="false" ht="15" hidden="false" customHeight="false" outlineLevel="0" collapsed="false">
      <c r="A223" s="27"/>
      <c r="B223" s="27"/>
      <c r="C223" s="27"/>
      <c r="D223" s="27"/>
      <c r="E223" s="27"/>
      <c r="F223" s="27"/>
      <c r="G223" s="27"/>
      <c r="H223" s="27"/>
      <c r="I223" s="27"/>
      <c r="J223" s="9" t="str">
        <f aca="false">IF(E223="","",IFERROR(IF(N(INDEX(Telas!$G$6:$G$105,MATCH(E223,Telas!$A$6:$A$105,0)))=0,"",INDEX(Telas!$G$6:$G$105,MATCH(E223,Telas!$A$6:$A$105,0))),""))</f>
        <v/>
      </c>
      <c r="K223" s="9" t="str">
        <f aca="false">IF(C223="","",IF(AND(ISNUMBER(H223),N(F223)&gt;0),H223/F223,IF(N(J223)=0,"",IF(AND(ISNUMBER(G223),N(F223)&gt;0),G223/F223/J223,IF(ISNUMBER(I223),I223/J223,"")))))</f>
        <v/>
      </c>
      <c r="L223" s="27"/>
    </row>
    <row r="224" customFormat="false" ht="15" hidden="false" customHeight="false" outlineLevel="0" collapsed="false">
      <c r="A224" s="27"/>
      <c r="B224" s="27"/>
      <c r="C224" s="27"/>
      <c r="D224" s="27"/>
      <c r="E224" s="27"/>
      <c r="F224" s="27"/>
      <c r="G224" s="27"/>
      <c r="H224" s="27"/>
      <c r="I224" s="27"/>
      <c r="J224" s="9" t="str">
        <f aca="false">IF(E224="","",IFERROR(IF(N(INDEX(Telas!$G$6:$G$105,MATCH(E224,Telas!$A$6:$A$105,0)))=0,"",INDEX(Telas!$G$6:$G$105,MATCH(E224,Telas!$A$6:$A$105,0))),""))</f>
        <v/>
      </c>
      <c r="K224" s="9" t="str">
        <f aca="false">IF(C224="","",IF(AND(ISNUMBER(H224),N(F224)&gt;0),H224/F224,IF(N(J224)=0,"",IF(AND(ISNUMBER(G224),N(F224)&gt;0),G224/F224/J224,IF(ISNUMBER(I224),I224/J224,"")))))</f>
        <v/>
      </c>
      <c r="L224" s="27"/>
    </row>
    <row r="225" customFormat="false" ht="15" hidden="false" customHeight="false" outlineLevel="0" collapsed="false">
      <c r="A225" s="27"/>
      <c r="B225" s="27"/>
      <c r="C225" s="27"/>
      <c r="D225" s="27"/>
      <c r="E225" s="27"/>
      <c r="F225" s="27"/>
      <c r="G225" s="27"/>
      <c r="H225" s="27"/>
      <c r="I225" s="27"/>
      <c r="J225" s="9" t="str">
        <f aca="false">IF(E225="","",IFERROR(IF(N(INDEX(Telas!$G$6:$G$105,MATCH(E225,Telas!$A$6:$A$105,0)))=0,"",INDEX(Telas!$G$6:$G$105,MATCH(E225,Telas!$A$6:$A$105,0))),""))</f>
        <v/>
      </c>
      <c r="K225" s="9" t="str">
        <f aca="false">IF(C225="","",IF(AND(ISNUMBER(H225),N(F225)&gt;0),H225/F225,IF(N(J225)=0,"",IF(AND(ISNUMBER(G225),N(F225)&gt;0),G225/F225/J225,IF(ISNUMBER(I225),I225/J225,"")))))</f>
        <v/>
      </c>
      <c r="L225" s="27"/>
    </row>
    <row r="226" customFormat="false" ht="15" hidden="false" customHeight="false" outlineLevel="0" collapsed="false">
      <c r="A226" s="27"/>
      <c r="B226" s="27"/>
      <c r="C226" s="27"/>
      <c r="D226" s="27"/>
      <c r="E226" s="27"/>
      <c r="F226" s="27"/>
      <c r="G226" s="27"/>
      <c r="H226" s="27"/>
      <c r="I226" s="27"/>
      <c r="J226" s="9" t="str">
        <f aca="false">IF(E226="","",IFERROR(IF(N(INDEX(Telas!$G$6:$G$105,MATCH(E226,Telas!$A$6:$A$105,0)))=0,"",INDEX(Telas!$G$6:$G$105,MATCH(E226,Telas!$A$6:$A$105,0))),""))</f>
        <v/>
      </c>
      <c r="K226" s="9" t="str">
        <f aca="false">IF(C226="","",IF(AND(ISNUMBER(H226),N(F226)&gt;0),H226/F226,IF(N(J226)=0,"",IF(AND(ISNUMBER(G226),N(F226)&gt;0),G226/F226/J226,IF(ISNUMBER(I226),I226/J226,"")))))</f>
        <v/>
      </c>
      <c r="L226" s="27"/>
    </row>
    <row r="227" customFormat="false" ht="15" hidden="false" customHeight="false" outlineLevel="0" collapsed="false">
      <c r="A227" s="27"/>
      <c r="B227" s="27"/>
      <c r="C227" s="27"/>
      <c r="D227" s="27"/>
      <c r="E227" s="27"/>
      <c r="F227" s="27"/>
      <c r="G227" s="27"/>
      <c r="H227" s="27"/>
      <c r="I227" s="27"/>
      <c r="J227" s="9" t="str">
        <f aca="false">IF(E227="","",IFERROR(IF(N(INDEX(Telas!$G$6:$G$105,MATCH(E227,Telas!$A$6:$A$105,0)))=0,"",INDEX(Telas!$G$6:$G$105,MATCH(E227,Telas!$A$6:$A$105,0))),""))</f>
        <v/>
      </c>
      <c r="K227" s="9" t="str">
        <f aca="false">IF(C227="","",IF(AND(ISNUMBER(H227),N(F227)&gt;0),H227/F227,IF(N(J227)=0,"",IF(AND(ISNUMBER(G227),N(F227)&gt;0),G227/F227/J227,IF(ISNUMBER(I227),I227/J227,"")))))</f>
        <v/>
      </c>
      <c r="L227" s="27"/>
    </row>
    <row r="228" customFormat="false" ht="15" hidden="false" customHeight="false" outlineLevel="0" collapsed="false">
      <c r="A228" s="27"/>
      <c r="B228" s="27"/>
      <c r="C228" s="27"/>
      <c r="D228" s="27"/>
      <c r="E228" s="27"/>
      <c r="F228" s="27"/>
      <c r="G228" s="27"/>
      <c r="H228" s="27"/>
      <c r="I228" s="27"/>
      <c r="J228" s="9" t="str">
        <f aca="false">IF(E228="","",IFERROR(IF(N(INDEX(Telas!$G$6:$G$105,MATCH(E228,Telas!$A$6:$A$105,0)))=0,"",INDEX(Telas!$G$6:$G$105,MATCH(E228,Telas!$A$6:$A$105,0))),""))</f>
        <v/>
      </c>
      <c r="K228" s="9" t="str">
        <f aca="false">IF(C228="","",IF(AND(ISNUMBER(H228),N(F228)&gt;0),H228/F228,IF(N(J228)=0,"",IF(AND(ISNUMBER(G228),N(F228)&gt;0),G228/F228/J228,IF(ISNUMBER(I228),I228/J228,"")))))</f>
        <v/>
      </c>
      <c r="L228" s="27"/>
    </row>
    <row r="229" customFormat="false" ht="15" hidden="false" customHeight="false" outlineLevel="0" collapsed="false">
      <c r="A229" s="27"/>
      <c r="B229" s="27"/>
      <c r="C229" s="27"/>
      <c r="D229" s="27"/>
      <c r="E229" s="27"/>
      <c r="F229" s="27"/>
      <c r="G229" s="27"/>
      <c r="H229" s="27"/>
      <c r="I229" s="27"/>
      <c r="J229" s="9" t="str">
        <f aca="false">IF(E229="","",IFERROR(IF(N(INDEX(Telas!$G$6:$G$105,MATCH(E229,Telas!$A$6:$A$105,0)))=0,"",INDEX(Telas!$G$6:$G$105,MATCH(E229,Telas!$A$6:$A$105,0))),""))</f>
        <v/>
      </c>
      <c r="K229" s="9" t="str">
        <f aca="false">IF(C229="","",IF(AND(ISNUMBER(H229),N(F229)&gt;0),H229/F229,IF(N(J229)=0,"",IF(AND(ISNUMBER(G229),N(F229)&gt;0),G229/F229/J229,IF(ISNUMBER(I229),I229/J229,"")))))</f>
        <v/>
      </c>
      <c r="L229" s="27"/>
    </row>
    <row r="230" customFormat="false" ht="15" hidden="false" customHeight="false" outlineLevel="0" collapsed="false">
      <c r="A230" s="27"/>
      <c r="B230" s="27"/>
      <c r="C230" s="27"/>
      <c r="D230" s="27"/>
      <c r="E230" s="27"/>
      <c r="F230" s="27"/>
      <c r="G230" s="27"/>
      <c r="H230" s="27"/>
      <c r="I230" s="27"/>
      <c r="J230" s="9" t="str">
        <f aca="false">IF(E230="","",IFERROR(IF(N(INDEX(Telas!$G$6:$G$105,MATCH(E230,Telas!$A$6:$A$105,0)))=0,"",INDEX(Telas!$G$6:$G$105,MATCH(E230,Telas!$A$6:$A$105,0))),""))</f>
        <v/>
      </c>
      <c r="K230" s="9" t="str">
        <f aca="false">IF(C230="","",IF(AND(ISNUMBER(H230),N(F230)&gt;0),H230/F230,IF(N(J230)=0,"",IF(AND(ISNUMBER(G230),N(F230)&gt;0),G230/F230/J230,IF(ISNUMBER(I230),I230/J230,"")))))</f>
        <v/>
      </c>
      <c r="L230" s="27"/>
    </row>
    <row r="231" customFormat="false" ht="15" hidden="false" customHeight="false" outlineLevel="0" collapsed="false">
      <c r="A231" s="27"/>
      <c r="B231" s="27"/>
      <c r="C231" s="27"/>
      <c r="D231" s="27"/>
      <c r="E231" s="27"/>
      <c r="F231" s="27"/>
      <c r="G231" s="27"/>
      <c r="H231" s="27"/>
      <c r="I231" s="27"/>
      <c r="J231" s="9" t="str">
        <f aca="false">IF(E231="","",IFERROR(IF(N(INDEX(Telas!$G$6:$G$105,MATCH(E231,Telas!$A$6:$A$105,0)))=0,"",INDEX(Telas!$G$6:$G$105,MATCH(E231,Telas!$A$6:$A$105,0))),""))</f>
        <v/>
      </c>
      <c r="K231" s="9" t="str">
        <f aca="false">IF(C231="","",IF(AND(ISNUMBER(H231),N(F231)&gt;0),H231/F231,IF(N(J231)=0,"",IF(AND(ISNUMBER(G231),N(F231)&gt;0),G231/F231/J231,IF(ISNUMBER(I231),I231/J231,"")))))</f>
        <v/>
      </c>
      <c r="L231" s="27"/>
    </row>
    <row r="232" customFormat="false" ht="15" hidden="false" customHeight="false" outlineLevel="0" collapsed="false">
      <c r="A232" s="27"/>
      <c r="B232" s="27"/>
      <c r="C232" s="27"/>
      <c r="D232" s="27"/>
      <c r="E232" s="27"/>
      <c r="F232" s="27"/>
      <c r="G232" s="27"/>
      <c r="H232" s="27"/>
      <c r="I232" s="27"/>
      <c r="J232" s="9" t="str">
        <f aca="false">IF(E232="","",IFERROR(IF(N(INDEX(Telas!$G$6:$G$105,MATCH(E232,Telas!$A$6:$A$105,0)))=0,"",INDEX(Telas!$G$6:$G$105,MATCH(E232,Telas!$A$6:$A$105,0))),""))</f>
        <v/>
      </c>
      <c r="K232" s="9" t="str">
        <f aca="false">IF(C232="","",IF(AND(ISNUMBER(H232),N(F232)&gt;0),H232/F232,IF(N(J232)=0,"",IF(AND(ISNUMBER(G232),N(F232)&gt;0),G232/F232/J232,IF(ISNUMBER(I232),I232/J232,"")))))</f>
        <v/>
      </c>
      <c r="L232" s="27"/>
    </row>
    <row r="233" customFormat="false" ht="15" hidden="false" customHeight="false" outlineLevel="0" collapsed="false">
      <c r="A233" s="27"/>
      <c r="B233" s="27"/>
      <c r="C233" s="27"/>
      <c r="D233" s="27"/>
      <c r="E233" s="27"/>
      <c r="F233" s="27"/>
      <c r="G233" s="27"/>
      <c r="H233" s="27"/>
      <c r="I233" s="27"/>
      <c r="J233" s="9" t="str">
        <f aca="false">IF(E233="","",IFERROR(IF(N(INDEX(Telas!$G$6:$G$105,MATCH(E233,Telas!$A$6:$A$105,0)))=0,"",INDEX(Telas!$G$6:$G$105,MATCH(E233,Telas!$A$6:$A$105,0))),""))</f>
        <v/>
      </c>
      <c r="K233" s="9" t="str">
        <f aca="false">IF(C233="","",IF(AND(ISNUMBER(H233),N(F233)&gt;0),H233/F233,IF(N(J233)=0,"",IF(AND(ISNUMBER(G233),N(F233)&gt;0),G233/F233/J233,IF(ISNUMBER(I233),I233/J233,"")))))</f>
        <v/>
      </c>
      <c r="L233" s="27"/>
    </row>
    <row r="234" customFormat="false" ht="15" hidden="false" customHeight="false" outlineLevel="0" collapsed="false">
      <c r="A234" s="27"/>
      <c r="B234" s="27"/>
      <c r="C234" s="27"/>
      <c r="D234" s="27"/>
      <c r="E234" s="27"/>
      <c r="F234" s="27"/>
      <c r="G234" s="27"/>
      <c r="H234" s="27"/>
      <c r="I234" s="27"/>
      <c r="J234" s="9" t="str">
        <f aca="false">IF(E234="","",IFERROR(IF(N(INDEX(Telas!$G$6:$G$105,MATCH(E234,Telas!$A$6:$A$105,0)))=0,"",INDEX(Telas!$G$6:$G$105,MATCH(E234,Telas!$A$6:$A$105,0))),""))</f>
        <v/>
      </c>
      <c r="K234" s="9" t="str">
        <f aca="false">IF(C234="","",IF(AND(ISNUMBER(H234),N(F234)&gt;0),H234/F234,IF(N(J234)=0,"",IF(AND(ISNUMBER(G234),N(F234)&gt;0),G234/F234/J234,IF(ISNUMBER(I234),I234/J234,"")))))</f>
        <v/>
      </c>
      <c r="L234" s="27"/>
    </row>
    <row r="235" customFormat="false" ht="15" hidden="false" customHeight="false" outlineLevel="0" collapsed="false">
      <c r="A235" s="27"/>
      <c r="B235" s="27"/>
      <c r="C235" s="27"/>
      <c r="D235" s="27"/>
      <c r="E235" s="27"/>
      <c r="F235" s="27"/>
      <c r="G235" s="27"/>
      <c r="H235" s="27"/>
      <c r="I235" s="27"/>
      <c r="J235" s="9" t="str">
        <f aca="false">IF(E235="","",IFERROR(IF(N(INDEX(Telas!$G$6:$G$105,MATCH(E235,Telas!$A$6:$A$105,0)))=0,"",INDEX(Telas!$G$6:$G$105,MATCH(E235,Telas!$A$6:$A$105,0))),""))</f>
        <v/>
      </c>
      <c r="K235" s="9" t="str">
        <f aca="false">IF(C235="","",IF(AND(ISNUMBER(H235),N(F235)&gt;0),H235/F235,IF(N(J235)=0,"",IF(AND(ISNUMBER(G235),N(F235)&gt;0),G235/F235/J235,IF(ISNUMBER(I235),I235/J235,"")))))</f>
        <v/>
      </c>
      <c r="L235" s="27"/>
    </row>
    <row r="236" customFormat="false" ht="15" hidden="false" customHeight="false" outlineLevel="0" collapsed="false">
      <c r="A236" s="27"/>
      <c r="B236" s="27"/>
      <c r="C236" s="27"/>
      <c r="D236" s="27"/>
      <c r="E236" s="27"/>
      <c r="F236" s="27"/>
      <c r="G236" s="27"/>
      <c r="H236" s="27"/>
      <c r="I236" s="27"/>
      <c r="J236" s="9" t="str">
        <f aca="false">IF(E236="","",IFERROR(IF(N(INDEX(Telas!$G$6:$G$105,MATCH(E236,Telas!$A$6:$A$105,0)))=0,"",INDEX(Telas!$G$6:$G$105,MATCH(E236,Telas!$A$6:$A$105,0))),""))</f>
        <v/>
      </c>
      <c r="K236" s="9" t="str">
        <f aca="false">IF(C236="","",IF(AND(ISNUMBER(H236),N(F236)&gt;0),H236/F236,IF(N(J236)=0,"",IF(AND(ISNUMBER(G236),N(F236)&gt;0),G236/F236/J236,IF(ISNUMBER(I236),I236/J236,"")))))</f>
        <v/>
      </c>
      <c r="L236" s="27"/>
    </row>
    <row r="237" customFormat="false" ht="15" hidden="false" customHeight="false" outlineLevel="0" collapsed="false">
      <c r="A237" s="27"/>
      <c r="B237" s="27"/>
      <c r="C237" s="27"/>
      <c r="D237" s="27"/>
      <c r="E237" s="27"/>
      <c r="F237" s="27"/>
      <c r="G237" s="27"/>
      <c r="H237" s="27"/>
      <c r="I237" s="27"/>
      <c r="J237" s="9" t="str">
        <f aca="false">IF(E237="","",IFERROR(IF(N(INDEX(Telas!$G$6:$G$105,MATCH(E237,Telas!$A$6:$A$105,0)))=0,"",INDEX(Telas!$G$6:$G$105,MATCH(E237,Telas!$A$6:$A$105,0))),""))</f>
        <v/>
      </c>
      <c r="K237" s="9" t="str">
        <f aca="false">IF(C237="","",IF(AND(ISNUMBER(H237),N(F237)&gt;0),H237/F237,IF(N(J237)=0,"",IF(AND(ISNUMBER(G237),N(F237)&gt;0),G237/F237/J237,IF(ISNUMBER(I237),I237/J237,"")))))</f>
        <v/>
      </c>
      <c r="L237" s="27"/>
    </row>
    <row r="238" customFormat="false" ht="15" hidden="false" customHeight="false" outlineLevel="0" collapsed="false">
      <c r="A238" s="27"/>
      <c r="B238" s="27"/>
      <c r="C238" s="27"/>
      <c r="D238" s="27"/>
      <c r="E238" s="27"/>
      <c r="F238" s="27"/>
      <c r="G238" s="27"/>
      <c r="H238" s="27"/>
      <c r="I238" s="27"/>
      <c r="J238" s="9" t="str">
        <f aca="false">IF(E238="","",IFERROR(IF(N(INDEX(Telas!$G$6:$G$105,MATCH(E238,Telas!$A$6:$A$105,0)))=0,"",INDEX(Telas!$G$6:$G$105,MATCH(E238,Telas!$A$6:$A$105,0))),""))</f>
        <v/>
      </c>
      <c r="K238" s="9" t="str">
        <f aca="false">IF(C238="","",IF(AND(ISNUMBER(H238),N(F238)&gt;0),H238/F238,IF(N(J238)=0,"",IF(AND(ISNUMBER(G238),N(F238)&gt;0),G238/F238/J238,IF(ISNUMBER(I238),I238/J238,"")))))</f>
        <v/>
      </c>
      <c r="L238" s="27"/>
    </row>
    <row r="239" customFormat="false" ht="15" hidden="false" customHeight="false" outlineLevel="0" collapsed="false">
      <c r="A239" s="27"/>
      <c r="B239" s="27"/>
      <c r="C239" s="27"/>
      <c r="D239" s="27"/>
      <c r="E239" s="27"/>
      <c r="F239" s="27"/>
      <c r="G239" s="27"/>
      <c r="H239" s="27"/>
      <c r="I239" s="27"/>
      <c r="J239" s="9" t="str">
        <f aca="false">IF(E239="","",IFERROR(IF(N(INDEX(Telas!$G$6:$G$105,MATCH(E239,Telas!$A$6:$A$105,0)))=0,"",INDEX(Telas!$G$6:$G$105,MATCH(E239,Telas!$A$6:$A$105,0))),""))</f>
        <v/>
      </c>
      <c r="K239" s="9" t="str">
        <f aca="false">IF(C239="","",IF(AND(ISNUMBER(H239),N(F239)&gt;0),H239/F239,IF(N(J239)=0,"",IF(AND(ISNUMBER(G239),N(F239)&gt;0),G239/F239/J239,IF(ISNUMBER(I239),I239/J239,"")))))</f>
        <v/>
      </c>
      <c r="L239" s="27"/>
    </row>
    <row r="240" customFormat="false" ht="15" hidden="false" customHeight="false" outlineLevel="0" collapsed="false">
      <c r="A240" s="27"/>
      <c r="B240" s="27"/>
      <c r="C240" s="27"/>
      <c r="D240" s="27"/>
      <c r="E240" s="27"/>
      <c r="F240" s="27"/>
      <c r="G240" s="27"/>
      <c r="H240" s="27"/>
      <c r="I240" s="27"/>
      <c r="J240" s="9" t="str">
        <f aca="false">IF(E240="","",IFERROR(IF(N(INDEX(Telas!$G$6:$G$105,MATCH(E240,Telas!$A$6:$A$105,0)))=0,"",INDEX(Telas!$G$6:$G$105,MATCH(E240,Telas!$A$6:$A$105,0))),""))</f>
        <v/>
      </c>
      <c r="K240" s="9" t="str">
        <f aca="false">IF(C240="","",IF(AND(ISNUMBER(H240),N(F240)&gt;0),H240/F240,IF(N(J240)=0,"",IF(AND(ISNUMBER(G240),N(F240)&gt;0),G240/F240/J240,IF(ISNUMBER(I240),I240/J240,"")))))</f>
        <v/>
      </c>
      <c r="L240" s="27"/>
    </row>
    <row r="241" customFormat="false" ht="15" hidden="false" customHeight="false" outlineLevel="0" collapsed="false">
      <c r="A241" s="27"/>
      <c r="B241" s="27"/>
      <c r="C241" s="27"/>
      <c r="D241" s="27"/>
      <c r="E241" s="27"/>
      <c r="F241" s="27"/>
      <c r="G241" s="27"/>
      <c r="H241" s="27"/>
      <c r="I241" s="27"/>
      <c r="J241" s="9" t="str">
        <f aca="false">IF(E241="","",IFERROR(IF(N(INDEX(Telas!$G$6:$G$105,MATCH(E241,Telas!$A$6:$A$105,0)))=0,"",INDEX(Telas!$G$6:$G$105,MATCH(E241,Telas!$A$6:$A$105,0))),""))</f>
        <v/>
      </c>
      <c r="K241" s="9" t="str">
        <f aca="false">IF(C241="","",IF(AND(ISNUMBER(H241),N(F241)&gt;0),H241/F241,IF(N(J241)=0,"",IF(AND(ISNUMBER(G241),N(F241)&gt;0),G241/F241/J241,IF(ISNUMBER(I241),I241/J241,"")))))</f>
        <v/>
      </c>
      <c r="L241" s="27"/>
    </row>
    <row r="242" customFormat="false" ht="15" hidden="false" customHeight="false" outlineLevel="0" collapsed="false">
      <c r="A242" s="27"/>
      <c r="B242" s="27"/>
      <c r="C242" s="27"/>
      <c r="D242" s="27"/>
      <c r="E242" s="27"/>
      <c r="F242" s="27"/>
      <c r="G242" s="27"/>
      <c r="H242" s="27"/>
      <c r="I242" s="27"/>
      <c r="J242" s="9" t="str">
        <f aca="false">IF(E242="","",IFERROR(IF(N(INDEX(Telas!$G$6:$G$105,MATCH(E242,Telas!$A$6:$A$105,0)))=0,"",INDEX(Telas!$G$6:$G$105,MATCH(E242,Telas!$A$6:$A$105,0))),""))</f>
        <v/>
      </c>
      <c r="K242" s="9" t="str">
        <f aca="false">IF(C242="","",IF(AND(ISNUMBER(H242),N(F242)&gt;0),H242/F242,IF(N(J242)=0,"",IF(AND(ISNUMBER(G242),N(F242)&gt;0),G242/F242/J242,IF(ISNUMBER(I242),I242/J242,"")))))</f>
        <v/>
      </c>
      <c r="L242" s="27"/>
    </row>
    <row r="243" customFormat="false" ht="15" hidden="false" customHeight="false" outlineLevel="0" collapsed="false">
      <c r="A243" s="27"/>
      <c r="B243" s="27"/>
      <c r="C243" s="27"/>
      <c r="D243" s="27"/>
      <c r="E243" s="27"/>
      <c r="F243" s="27"/>
      <c r="G243" s="27"/>
      <c r="H243" s="27"/>
      <c r="I243" s="27"/>
      <c r="J243" s="9" t="str">
        <f aca="false">IF(E243="","",IFERROR(IF(N(INDEX(Telas!$G$6:$G$105,MATCH(E243,Telas!$A$6:$A$105,0)))=0,"",INDEX(Telas!$G$6:$G$105,MATCH(E243,Telas!$A$6:$A$105,0))),""))</f>
        <v/>
      </c>
      <c r="K243" s="9" t="str">
        <f aca="false">IF(C243="","",IF(AND(ISNUMBER(H243),N(F243)&gt;0),H243/F243,IF(N(J243)=0,"",IF(AND(ISNUMBER(G243),N(F243)&gt;0),G243/F243/J243,IF(ISNUMBER(I243),I243/J243,"")))))</f>
        <v/>
      </c>
      <c r="L243" s="27"/>
    </row>
    <row r="244" customFormat="false" ht="15" hidden="false" customHeight="false" outlineLevel="0" collapsed="false">
      <c r="A244" s="27"/>
      <c r="B244" s="27"/>
      <c r="C244" s="27"/>
      <c r="D244" s="27"/>
      <c r="E244" s="27"/>
      <c r="F244" s="27"/>
      <c r="G244" s="27"/>
      <c r="H244" s="27"/>
      <c r="I244" s="27"/>
      <c r="J244" s="9" t="str">
        <f aca="false">IF(E244="","",IFERROR(IF(N(INDEX(Telas!$G$6:$G$105,MATCH(E244,Telas!$A$6:$A$105,0)))=0,"",INDEX(Telas!$G$6:$G$105,MATCH(E244,Telas!$A$6:$A$105,0))),""))</f>
        <v/>
      </c>
      <c r="K244" s="9" t="str">
        <f aca="false">IF(C244="","",IF(AND(ISNUMBER(H244),N(F244)&gt;0),H244/F244,IF(N(J244)=0,"",IF(AND(ISNUMBER(G244),N(F244)&gt;0),G244/F244/J244,IF(ISNUMBER(I244),I244/J244,"")))))</f>
        <v/>
      </c>
      <c r="L244" s="27"/>
    </row>
    <row r="245" customFormat="false" ht="15" hidden="false" customHeight="false" outlineLevel="0" collapsed="false">
      <c r="A245" s="27"/>
      <c r="B245" s="27"/>
      <c r="C245" s="27"/>
      <c r="D245" s="27"/>
      <c r="E245" s="27"/>
      <c r="F245" s="27"/>
      <c r="G245" s="27"/>
      <c r="H245" s="27"/>
      <c r="I245" s="27"/>
      <c r="J245" s="9" t="str">
        <f aca="false">IF(E245="","",IFERROR(IF(N(INDEX(Telas!$G$6:$G$105,MATCH(E245,Telas!$A$6:$A$105,0)))=0,"",INDEX(Telas!$G$6:$G$105,MATCH(E245,Telas!$A$6:$A$105,0))),""))</f>
        <v/>
      </c>
      <c r="K245" s="9" t="str">
        <f aca="false">IF(C245="","",IF(AND(ISNUMBER(H245),N(F245)&gt;0),H245/F245,IF(N(J245)=0,"",IF(AND(ISNUMBER(G245),N(F245)&gt;0),G245/F245/J245,IF(ISNUMBER(I245),I245/J245,"")))))</f>
        <v/>
      </c>
      <c r="L245" s="27"/>
    </row>
    <row r="246" customFormat="false" ht="15" hidden="false" customHeight="false" outlineLevel="0" collapsed="false">
      <c r="A246" s="27"/>
      <c r="B246" s="27"/>
      <c r="C246" s="27"/>
      <c r="D246" s="27"/>
      <c r="E246" s="27"/>
      <c r="F246" s="27"/>
      <c r="G246" s="27"/>
      <c r="H246" s="27"/>
      <c r="I246" s="27"/>
      <c r="J246" s="9" t="str">
        <f aca="false">IF(E246="","",IFERROR(IF(N(INDEX(Telas!$G$6:$G$105,MATCH(E246,Telas!$A$6:$A$105,0)))=0,"",INDEX(Telas!$G$6:$G$105,MATCH(E246,Telas!$A$6:$A$105,0))),""))</f>
        <v/>
      </c>
      <c r="K246" s="9" t="str">
        <f aca="false">IF(C246="","",IF(AND(ISNUMBER(H246),N(F246)&gt;0),H246/F246,IF(N(J246)=0,"",IF(AND(ISNUMBER(G246),N(F246)&gt;0),G246/F246/J246,IF(ISNUMBER(I246),I246/J246,"")))))</f>
        <v/>
      </c>
      <c r="L246" s="27"/>
    </row>
    <row r="247" customFormat="false" ht="15" hidden="false" customHeight="false" outlineLevel="0" collapsed="false">
      <c r="A247" s="27"/>
      <c r="B247" s="27"/>
      <c r="C247" s="27"/>
      <c r="D247" s="27"/>
      <c r="E247" s="27"/>
      <c r="F247" s="27"/>
      <c r="G247" s="27"/>
      <c r="H247" s="27"/>
      <c r="I247" s="27"/>
      <c r="J247" s="9" t="str">
        <f aca="false">IF(E247="","",IFERROR(IF(N(INDEX(Telas!$G$6:$G$105,MATCH(E247,Telas!$A$6:$A$105,0)))=0,"",INDEX(Telas!$G$6:$G$105,MATCH(E247,Telas!$A$6:$A$105,0))),""))</f>
        <v/>
      </c>
      <c r="K247" s="9" t="str">
        <f aca="false">IF(C247="","",IF(AND(ISNUMBER(H247),N(F247)&gt;0),H247/F247,IF(N(J247)=0,"",IF(AND(ISNUMBER(G247),N(F247)&gt;0),G247/F247/J247,IF(ISNUMBER(I247),I247/J247,"")))))</f>
        <v/>
      </c>
      <c r="L247" s="27"/>
    </row>
    <row r="248" customFormat="false" ht="15" hidden="false" customHeight="false" outlineLevel="0" collapsed="false">
      <c r="A248" s="27"/>
      <c r="B248" s="27"/>
      <c r="C248" s="27"/>
      <c r="D248" s="27"/>
      <c r="E248" s="27"/>
      <c r="F248" s="27"/>
      <c r="G248" s="27"/>
      <c r="H248" s="27"/>
      <c r="I248" s="27"/>
      <c r="J248" s="9" t="str">
        <f aca="false">IF(E248="","",IFERROR(IF(N(INDEX(Telas!$G$6:$G$105,MATCH(E248,Telas!$A$6:$A$105,0)))=0,"",INDEX(Telas!$G$6:$G$105,MATCH(E248,Telas!$A$6:$A$105,0))),""))</f>
        <v/>
      </c>
      <c r="K248" s="9" t="str">
        <f aca="false">IF(C248="","",IF(AND(ISNUMBER(H248),N(F248)&gt;0),H248/F248,IF(N(J248)=0,"",IF(AND(ISNUMBER(G248),N(F248)&gt;0),G248/F248/J248,IF(ISNUMBER(I248),I248/J248,"")))))</f>
        <v/>
      </c>
      <c r="L248" s="27"/>
    </row>
    <row r="249" customFormat="false" ht="15" hidden="false" customHeight="false" outlineLevel="0" collapsed="false">
      <c r="A249" s="27"/>
      <c r="B249" s="27"/>
      <c r="C249" s="27"/>
      <c r="D249" s="27"/>
      <c r="E249" s="27"/>
      <c r="F249" s="27"/>
      <c r="G249" s="27"/>
      <c r="H249" s="27"/>
      <c r="I249" s="27"/>
      <c r="J249" s="9" t="str">
        <f aca="false">IF(E249="","",IFERROR(IF(N(INDEX(Telas!$G$6:$G$105,MATCH(E249,Telas!$A$6:$A$105,0)))=0,"",INDEX(Telas!$G$6:$G$105,MATCH(E249,Telas!$A$6:$A$105,0))),""))</f>
        <v/>
      </c>
      <c r="K249" s="9" t="str">
        <f aca="false">IF(C249="","",IF(AND(ISNUMBER(H249),N(F249)&gt;0),H249/F249,IF(N(J249)=0,"",IF(AND(ISNUMBER(G249),N(F249)&gt;0),G249/F249/J249,IF(ISNUMBER(I249),I249/J249,"")))))</f>
        <v/>
      </c>
      <c r="L249" s="27"/>
    </row>
    <row r="250" customFormat="false" ht="15" hidden="false" customHeight="false" outlineLevel="0" collapsed="false">
      <c r="A250" s="27"/>
      <c r="B250" s="27"/>
      <c r="C250" s="27"/>
      <c r="D250" s="27"/>
      <c r="E250" s="27"/>
      <c r="F250" s="27"/>
      <c r="G250" s="27"/>
      <c r="H250" s="27"/>
      <c r="I250" s="27"/>
      <c r="J250" s="9" t="str">
        <f aca="false">IF(E250="","",IFERROR(IF(N(INDEX(Telas!$G$6:$G$105,MATCH(E250,Telas!$A$6:$A$105,0)))=0,"",INDEX(Telas!$G$6:$G$105,MATCH(E250,Telas!$A$6:$A$105,0))),""))</f>
        <v/>
      </c>
      <c r="K250" s="9" t="str">
        <f aca="false">IF(C250="","",IF(AND(ISNUMBER(H250),N(F250)&gt;0),H250/F250,IF(N(J250)=0,"",IF(AND(ISNUMBER(G250),N(F250)&gt;0),G250/F250/J250,IF(ISNUMBER(I250),I250/J250,"")))))</f>
        <v/>
      </c>
      <c r="L250" s="27"/>
    </row>
    <row r="251" customFormat="false" ht="15" hidden="false" customHeight="false" outlineLevel="0" collapsed="false">
      <c r="A251" s="27"/>
      <c r="B251" s="27"/>
      <c r="C251" s="27"/>
      <c r="D251" s="27"/>
      <c r="E251" s="27"/>
      <c r="F251" s="27"/>
      <c r="G251" s="27"/>
      <c r="H251" s="27"/>
      <c r="I251" s="27"/>
      <c r="J251" s="9" t="str">
        <f aca="false">IF(E251="","",IFERROR(IF(N(INDEX(Telas!$G$6:$G$105,MATCH(E251,Telas!$A$6:$A$105,0)))=0,"",INDEX(Telas!$G$6:$G$105,MATCH(E251,Telas!$A$6:$A$105,0))),""))</f>
        <v/>
      </c>
      <c r="K251" s="9" t="str">
        <f aca="false">IF(C251="","",IF(AND(ISNUMBER(H251),N(F251)&gt;0),H251/F251,IF(N(J251)=0,"",IF(AND(ISNUMBER(G251),N(F251)&gt;0),G251/F251/J251,IF(ISNUMBER(I251),I251/J251,"")))))</f>
        <v/>
      </c>
      <c r="L251" s="27"/>
    </row>
    <row r="252" customFormat="false" ht="15" hidden="false" customHeight="false" outlineLevel="0" collapsed="false">
      <c r="A252" s="27"/>
      <c r="B252" s="27"/>
      <c r="C252" s="27"/>
      <c r="D252" s="27"/>
      <c r="E252" s="27"/>
      <c r="F252" s="27"/>
      <c r="G252" s="27"/>
      <c r="H252" s="27"/>
      <c r="I252" s="27"/>
      <c r="J252" s="9" t="str">
        <f aca="false">IF(E252="","",IFERROR(IF(N(INDEX(Telas!$G$6:$G$105,MATCH(E252,Telas!$A$6:$A$105,0)))=0,"",INDEX(Telas!$G$6:$G$105,MATCH(E252,Telas!$A$6:$A$105,0))),""))</f>
        <v/>
      </c>
      <c r="K252" s="9" t="str">
        <f aca="false">IF(C252="","",IF(AND(ISNUMBER(H252),N(F252)&gt;0),H252/F252,IF(N(J252)=0,"",IF(AND(ISNUMBER(G252),N(F252)&gt;0),G252/F252/J252,IF(ISNUMBER(I252),I252/J252,"")))))</f>
        <v/>
      </c>
      <c r="L252" s="27"/>
    </row>
    <row r="253" customFormat="false" ht="15" hidden="false" customHeight="false" outlineLevel="0" collapsed="false">
      <c r="A253" s="27"/>
      <c r="B253" s="27"/>
      <c r="C253" s="27"/>
      <c r="D253" s="27"/>
      <c r="E253" s="27"/>
      <c r="F253" s="27"/>
      <c r="G253" s="27"/>
      <c r="H253" s="27"/>
      <c r="I253" s="27"/>
      <c r="J253" s="9" t="str">
        <f aca="false">IF(E253="","",IFERROR(IF(N(INDEX(Telas!$G$6:$G$105,MATCH(E253,Telas!$A$6:$A$105,0)))=0,"",INDEX(Telas!$G$6:$G$105,MATCH(E253,Telas!$A$6:$A$105,0))),""))</f>
        <v/>
      </c>
      <c r="K253" s="9" t="str">
        <f aca="false">IF(C253="","",IF(AND(ISNUMBER(H253),N(F253)&gt;0),H253/F253,IF(N(J253)=0,"",IF(AND(ISNUMBER(G253),N(F253)&gt;0),G253/F253/J253,IF(ISNUMBER(I253),I253/J253,"")))))</f>
        <v/>
      </c>
      <c r="L253" s="27"/>
    </row>
    <row r="254" customFormat="false" ht="15" hidden="false" customHeight="false" outlineLevel="0" collapsed="false">
      <c r="A254" s="27"/>
      <c r="B254" s="27"/>
      <c r="C254" s="27"/>
      <c r="D254" s="27"/>
      <c r="E254" s="27"/>
      <c r="F254" s="27"/>
      <c r="G254" s="27"/>
      <c r="H254" s="27"/>
      <c r="I254" s="27"/>
      <c r="J254" s="9" t="str">
        <f aca="false">IF(E254="","",IFERROR(IF(N(INDEX(Telas!$G$6:$G$105,MATCH(E254,Telas!$A$6:$A$105,0)))=0,"",INDEX(Telas!$G$6:$G$105,MATCH(E254,Telas!$A$6:$A$105,0))),""))</f>
        <v/>
      </c>
      <c r="K254" s="9" t="str">
        <f aca="false">IF(C254="","",IF(AND(ISNUMBER(H254),N(F254)&gt;0),H254/F254,IF(N(J254)=0,"",IF(AND(ISNUMBER(G254),N(F254)&gt;0),G254/F254/J254,IF(ISNUMBER(I254),I254/J254,"")))))</f>
        <v/>
      </c>
      <c r="L254" s="27"/>
    </row>
    <row r="255" customFormat="false" ht="15" hidden="false" customHeight="false" outlineLevel="0" collapsed="false">
      <c r="A255" s="27"/>
      <c r="B255" s="27"/>
      <c r="C255" s="27"/>
      <c r="D255" s="27"/>
      <c r="E255" s="27"/>
      <c r="F255" s="27"/>
      <c r="G255" s="27"/>
      <c r="H255" s="27"/>
      <c r="I255" s="27"/>
      <c r="J255" s="9" t="str">
        <f aca="false">IF(E255="","",IFERROR(IF(N(INDEX(Telas!$G$6:$G$105,MATCH(E255,Telas!$A$6:$A$105,0)))=0,"",INDEX(Telas!$G$6:$G$105,MATCH(E255,Telas!$A$6:$A$105,0))),""))</f>
        <v/>
      </c>
      <c r="K255" s="9" t="str">
        <f aca="false">IF(C255="","",IF(AND(ISNUMBER(H255),N(F255)&gt;0),H255/F255,IF(N(J255)=0,"",IF(AND(ISNUMBER(G255),N(F255)&gt;0),G255/F255/J255,IF(ISNUMBER(I255),I255/J255,"")))))</f>
        <v/>
      </c>
      <c r="L255" s="27"/>
    </row>
    <row r="256" customFormat="false" ht="15" hidden="false" customHeight="false" outlineLevel="0" collapsed="false">
      <c r="A256" s="27"/>
      <c r="B256" s="27"/>
      <c r="C256" s="27"/>
      <c r="D256" s="27"/>
      <c r="E256" s="27"/>
      <c r="F256" s="27"/>
      <c r="G256" s="27"/>
      <c r="H256" s="27"/>
      <c r="I256" s="27"/>
      <c r="J256" s="9" t="str">
        <f aca="false">IF(E256="","",IFERROR(IF(N(INDEX(Telas!$G$6:$G$105,MATCH(E256,Telas!$A$6:$A$105,0)))=0,"",INDEX(Telas!$G$6:$G$105,MATCH(E256,Telas!$A$6:$A$105,0))),""))</f>
        <v/>
      </c>
      <c r="K256" s="9" t="str">
        <f aca="false">IF(C256="","",IF(AND(ISNUMBER(H256),N(F256)&gt;0),H256/F256,IF(N(J256)=0,"",IF(AND(ISNUMBER(G256),N(F256)&gt;0),G256/F256/J256,IF(ISNUMBER(I256),I256/J256,"")))))</f>
        <v/>
      </c>
      <c r="L256" s="27"/>
    </row>
    <row r="257" customFormat="false" ht="15" hidden="false" customHeight="false" outlineLevel="0" collapsed="false">
      <c r="A257" s="27"/>
      <c r="B257" s="27"/>
      <c r="C257" s="27"/>
      <c r="D257" s="27"/>
      <c r="E257" s="27"/>
      <c r="F257" s="27"/>
      <c r="G257" s="27"/>
      <c r="H257" s="27"/>
      <c r="I257" s="27"/>
      <c r="J257" s="9" t="str">
        <f aca="false">IF(E257="","",IFERROR(IF(N(INDEX(Telas!$G$6:$G$105,MATCH(E257,Telas!$A$6:$A$105,0)))=0,"",INDEX(Telas!$G$6:$G$105,MATCH(E257,Telas!$A$6:$A$105,0))),""))</f>
        <v/>
      </c>
      <c r="K257" s="9" t="str">
        <f aca="false">IF(C257="","",IF(AND(ISNUMBER(H257),N(F257)&gt;0),H257/F257,IF(N(J257)=0,"",IF(AND(ISNUMBER(G257),N(F257)&gt;0),G257/F257/J257,IF(ISNUMBER(I257),I257/J257,"")))))</f>
        <v/>
      </c>
      <c r="L257" s="27"/>
    </row>
    <row r="258" customFormat="false" ht="15" hidden="false" customHeight="false" outlineLevel="0" collapsed="false">
      <c r="A258" s="27"/>
      <c r="B258" s="27"/>
      <c r="C258" s="27"/>
      <c r="D258" s="27"/>
      <c r="E258" s="27"/>
      <c r="F258" s="27"/>
      <c r="G258" s="27"/>
      <c r="H258" s="27"/>
      <c r="I258" s="27"/>
      <c r="J258" s="9" t="str">
        <f aca="false">IF(E258="","",IFERROR(IF(N(INDEX(Telas!$G$6:$G$105,MATCH(E258,Telas!$A$6:$A$105,0)))=0,"",INDEX(Telas!$G$6:$G$105,MATCH(E258,Telas!$A$6:$A$105,0))),""))</f>
        <v/>
      </c>
      <c r="K258" s="9" t="str">
        <f aca="false">IF(C258="","",IF(AND(ISNUMBER(H258),N(F258)&gt;0),H258/F258,IF(N(J258)=0,"",IF(AND(ISNUMBER(G258),N(F258)&gt;0),G258/F258/J258,IF(ISNUMBER(I258),I258/J258,"")))))</f>
        <v/>
      </c>
      <c r="L258" s="27"/>
    </row>
    <row r="259" customFormat="false" ht="15" hidden="false" customHeight="false" outlineLevel="0" collapsed="false">
      <c r="A259" s="27"/>
      <c r="B259" s="27"/>
      <c r="C259" s="27"/>
      <c r="D259" s="27"/>
      <c r="E259" s="27"/>
      <c r="F259" s="27"/>
      <c r="G259" s="27"/>
      <c r="H259" s="27"/>
      <c r="I259" s="27"/>
      <c r="J259" s="9" t="str">
        <f aca="false">IF(E259="","",IFERROR(IF(N(INDEX(Telas!$G$6:$G$105,MATCH(E259,Telas!$A$6:$A$105,0)))=0,"",INDEX(Telas!$G$6:$G$105,MATCH(E259,Telas!$A$6:$A$105,0))),""))</f>
        <v/>
      </c>
      <c r="K259" s="9" t="str">
        <f aca="false">IF(C259="","",IF(AND(ISNUMBER(H259),N(F259)&gt;0),H259/F259,IF(N(J259)=0,"",IF(AND(ISNUMBER(G259),N(F259)&gt;0),G259/F259/J259,IF(ISNUMBER(I259),I259/J259,"")))))</f>
        <v/>
      </c>
      <c r="L259" s="27"/>
    </row>
    <row r="260" customFormat="false" ht="15" hidden="false" customHeight="false" outlineLevel="0" collapsed="false">
      <c r="A260" s="27"/>
      <c r="B260" s="27"/>
      <c r="C260" s="27"/>
      <c r="D260" s="27"/>
      <c r="E260" s="27"/>
      <c r="F260" s="27"/>
      <c r="G260" s="27"/>
      <c r="H260" s="27"/>
      <c r="I260" s="27"/>
      <c r="J260" s="9" t="str">
        <f aca="false">IF(E260="","",IFERROR(IF(N(INDEX(Telas!$G$6:$G$105,MATCH(E260,Telas!$A$6:$A$105,0)))=0,"",INDEX(Telas!$G$6:$G$105,MATCH(E260,Telas!$A$6:$A$105,0))),""))</f>
        <v/>
      </c>
      <c r="K260" s="9" t="str">
        <f aca="false">IF(C260="","",IF(AND(ISNUMBER(H260),N(F260)&gt;0),H260/F260,IF(N(J260)=0,"",IF(AND(ISNUMBER(G260),N(F260)&gt;0),G260/F260/J260,IF(ISNUMBER(I260),I260/J260,"")))))</f>
        <v/>
      </c>
      <c r="L260" s="27"/>
    </row>
    <row r="261" customFormat="false" ht="15" hidden="false" customHeight="false" outlineLevel="0" collapsed="false">
      <c r="A261" s="27"/>
      <c r="B261" s="27"/>
      <c r="C261" s="27"/>
      <c r="D261" s="27"/>
      <c r="E261" s="27"/>
      <c r="F261" s="27"/>
      <c r="G261" s="27"/>
      <c r="H261" s="27"/>
      <c r="I261" s="27"/>
      <c r="J261" s="9" t="str">
        <f aca="false">IF(E261="","",IFERROR(IF(N(INDEX(Telas!$G$6:$G$105,MATCH(E261,Telas!$A$6:$A$105,0)))=0,"",INDEX(Telas!$G$6:$G$105,MATCH(E261,Telas!$A$6:$A$105,0))),""))</f>
        <v/>
      </c>
      <c r="K261" s="9" t="str">
        <f aca="false">IF(C261="","",IF(AND(ISNUMBER(H261),N(F261)&gt;0),H261/F261,IF(N(J261)=0,"",IF(AND(ISNUMBER(G261),N(F261)&gt;0),G261/F261/J261,IF(ISNUMBER(I261),I261/J261,"")))))</f>
        <v/>
      </c>
      <c r="L261" s="27"/>
    </row>
    <row r="262" customFormat="false" ht="15" hidden="false" customHeight="false" outlineLevel="0" collapsed="false">
      <c r="A262" s="27"/>
      <c r="B262" s="27"/>
      <c r="C262" s="27"/>
      <c r="D262" s="27"/>
      <c r="E262" s="27"/>
      <c r="F262" s="27"/>
      <c r="G262" s="27"/>
      <c r="H262" s="27"/>
      <c r="I262" s="27"/>
      <c r="J262" s="9" t="str">
        <f aca="false">IF(E262="","",IFERROR(IF(N(INDEX(Telas!$G$6:$G$105,MATCH(E262,Telas!$A$6:$A$105,0)))=0,"",INDEX(Telas!$G$6:$G$105,MATCH(E262,Telas!$A$6:$A$105,0))),""))</f>
        <v/>
      </c>
      <c r="K262" s="9" t="str">
        <f aca="false">IF(C262="","",IF(AND(ISNUMBER(H262),N(F262)&gt;0),H262/F262,IF(N(J262)=0,"",IF(AND(ISNUMBER(G262),N(F262)&gt;0),G262/F262/J262,IF(ISNUMBER(I262),I262/J262,"")))))</f>
        <v/>
      </c>
      <c r="L262" s="27"/>
    </row>
    <row r="263" customFormat="false" ht="15" hidden="false" customHeight="false" outlineLevel="0" collapsed="false">
      <c r="A263" s="27"/>
      <c r="B263" s="27"/>
      <c r="C263" s="27"/>
      <c r="D263" s="27"/>
      <c r="E263" s="27"/>
      <c r="F263" s="27"/>
      <c r="G263" s="27"/>
      <c r="H263" s="27"/>
      <c r="I263" s="27"/>
      <c r="J263" s="9" t="str">
        <f aca="false">IF(E263="","",IFERROR(IF(N(INDEX(Telas!$G$6:$G$105,MATCH(E263,Telas!$A$6:$A$105,0)))=0,"",INDEX(Telas!$G$6:$G$105,MATCH(E263,Telas!$A$6:$A$105,0))),""))</f>
        <v/>
      </c>
      <c r="K263" s="9" t="str">
        <f aca="false">IF(C263="","",IF(AND(ISNUMBER(H263),N(F263)&gt;0),H263/F263,IF(N(J263)=0,"",IF(AND(ISNUMBER(G263),N(F263)&gt;0),G263/F263/J263,IF(ISNUMBER(I263),I263/J263,"")))))</f>
        <v/>
      </c>
      <c r="L263" s="27"/>
    </row>
    <row r="264" customFormat="false" ht="15" hidden="false" customHeight="false" outlineLevel="0" collapsed="false">
      <c r="A264" s="27"/>
      <c r="B264" s="27"/>
      <c r="C264" s="27"/>
      <c r="D264" s="27"/>
      <c r="E264" s="27"/>
      <c r="F264" s="27"/>
      <c r="G264" s="27"/>
      <c r="H264" s="27"/>
      <c r="I264" s="27"/>
      <c r="J264" s="9" t="str">
        <f aca="false">IF(E264="","",IFERROR(IF(N(INDEX(Telas!$G$6:$G$105,MATCH(E264,Telas!$A$6:$A$105,0)))=0,"",INDEX(Telas!$G$6:$G$105,MATCH(E264,Telas!$A$6:$A$105,0))),""))</f>
        <v/>
      </c>
      <c r="K264" s="9" t="str">
        <f aca="false">IF(C264="","",IF(AND(ISNUMBER(H264),N(F264)&gt;0),H264/F264,IF(N(J264)=0,"",IF(AND(ISNUMBER(G264),N(F264)&gt;0),G264/F264/J264,IF(ISNUMBER(I264),I264/J264,"")))))</f>
        <v/>
      </c>
      <c r="L264" s="27"/>
    </row>
    <row r="265" customFormat="false" ht="15" hidden="false" customHeight="false" outlineLevel="0" collapsed="false">
      <c r="A265" s="27"/>
      <c r="B265" s="27"/>
      <c r="C265" s="27"/>
      <c r="D265" s="27"/>
      <c r="E265" s="27"/>
      <c r="F265" s="27"/>
      <c r="G265" s="27"/>
      <c r="H265" s="27"/>
      <c r="I265" s="27"/>
      <c r="J265" s="9" t="str">
        <f aca="false">IF(E265="","",IFERROR(IF(N(INDEX(Telas!$G$6:$G$105,MATCH(E265,Telas!$A$6:$A$105,0)))=0,"",INDEX(Telas!$G$6:$G$105,MATCH(E265,Telas!$A$6:$A$105,0))),""))</f>
        <v/>
      </c>
      <c r="K265" s="9" t="str">
        <f aca="false">IF(C265="","",IF(AND(ISNUMBER(H265),N(F265)&gt;0),H265/F265,IF(N(J265)=0,"",IF(AND(ISNUMBER(G265),N(F265)&gt;0),G265/F265/J265,IF(ISNUMBER(I265),I265/J265,"")))))</f>
        <v/>
      </c>
      <c r="L265" s="27"/>
    </row>
    <row r="266" customFormat="false" ht="15" hidden="false" customHeight="false" outlineLevel="0" collapsed="false">
      <c r="A266" s="27"/>
      <c r="B266" s="27"/>
      <c r="C266" s="27"/>
      <c r="D266" s="27"/>
      <c r="E266" s="27"/>
      <c r="F266" s="27"/>
      <c r="G266" s="27"/>
      <c r="H266" s="27"/>
      <c r="I266" s="27"/>
      <c r="J266" s="9" t="str">
        <f aca="false">IF(E266="","",IFERROR(IF(N(INDEX(Telas!$G$6:$G$105,MATCH(E266,Telas!$A$6:$A$105,0)))=0,"",INDEX(Telas!$G$6:$G$105,MATCH(E266,Telas!$A$6:$A$105,0))),""))</f>
        <v/>
      </c>
      <c r="K266" s="9" t="str">
        <f aca="false">IF(C266="","",IF(AND(ISNUMBER(H266),N(F266)&gt;0),H266/F266,IF(N(J266)=0,"",IF(AND(ISNUMBER(G266),N(F266)&gt;0),G266/F266/J266,IF(ISNUMBER(I266),I266/J266,"")))))</f>
        <v/>
      </c>
      <c r="L266" s="27"/>
    </row>
    <row r="267" customFormat="false" ht="15" hidden="false" customHeight="false" outlineLevel="0" collapsed="false">
      <c r="A267" s="27"/>
      <c r="B267" s="27"/>
      <c r="C267" s="27"/>
      <c r="D267" s="27"/>
      <c r="E267" s="27"/>
      <c r="F267" s="27"/>
      <c r="G267" s="27"/>
      <c r="H267" s="27"/>
      <c r="I267" s="27"/>
      <c r="J267" s="9" t="str">
        <f aca="false">IF(E267="","",IFERROR(IF(N(INDEX(Telas!$G$6:$G$105,MATCH(E267,Telas!$A$6:$A$105,0)))=0,"",INDEX(Telas!$G$6:$G$105,MATCH(E267,Telas!$A$6:$A$105,0))),""))</f>
        <v/>
      </c>
      <c r="K267" s="9" t="str">
        <f aca="false">IF(C267="","",IF(AND(ISNUMBER(H267),N(F267)&gt;0),H267/F267,IF(N(J267)=0,"",IF(AND(ISNUMBER(G267),N(F267)&gt;0),G267/F267/J267,IF(ISNUMBER(I267),I267/J267,"")))))</f>
        <v/>
      </c>
      <c r="L267" s="27"/>
    </row>
    <row r="268" customFormat="false" ht="15" hidden="false" customHeight="false" outlineLevel="0" collapsed="false">
      <c r="A268" s="27"/>
      <c r="B268" s="27"/>
      <c r="C268" s="27"/>
      <c r="D268" s="27"/>
      <c r="E268" s="27"/>
      <c r="F268" s="27"/>
      <c r="G268" s="27"/>
      <c r="H268" s="27"/>
      <c r="I268" s="27"/>
      <c r="J268" s="9" t="str">
        <f aca="false">IF(E268="","",IFERROR(IF(N(INDEX(Telas!$G$6:$G$105,MATCH(E268,Telas!$A$6:$A$105,0)))=0,"",INDEX(Telas!$G$6:$G$105,MATCH(E268,Telas!$A$6:$A$105,0))),""))</f>
        <v/>
      </c>
      <c r="K268" s="9" t="str">
        <f aca="false">IF(C268="","",IF(AND(ISNUMBER(H268),N(F268)&gt;0),H268/F268,IF(N(J268)=0,"",IF(AND(ISNUMBER(G268),N(F268)&gt;0),G268/F268/J268,IF(ISNUMBER(I268),I268/J268,"")))))</f>
        <v/>
      </c>
      <c r="L268" s="27"/>
    </row>
    <row r="269" customFormat="false" ht="15" hidden="false" customHeight="false" outlineLevel="0" collapsed="false">
      <c r="A269" s="27"/>
      <c r="B269" s="27"/>
      <c r="C269" s="27"/>
      <c r="D269" s="27"/>
      <c r="E269" s="27"/>
      <c r="F269" s="27"/>
      <c r="G269" s="27"/>
      <c r="H269" s="27"/>
      <c r="I269" s="27"/>
      <c r="J269" s="9" t="str">
        <f aca="false">IF(E269="","",IFERROR(IF(N(INDEX(Telas!$G$6:$G$105,MATCH(E269,Telas!$A$6:$A$105,0)))=0,"",INDEX(Telas!$G$6:$G$105,MATCH(E269,Telas!$A$6:$A$105,0))),""))</f>
        <v/>
      </c>
      <c r="K269" s="9" t="str">
        <f aca="false">IF(C269="","",IF(AND(ISNUMBER(H269),N(F269)&gt;0),H269/F269,IF(N(J269)=0,"",IF(AND(ISNUMBER(G269),N(F269)&gt;0),G269/F269/J269,IF(ISNUMBER(I269),I269/J269,"")))))</f>
        <v/>
      </c>
      <c r="L269" s="27"/>
    </row>
    <row r="270" customFormat="false" ht="15" hidden="false" customHeight="false" outlineLevel="0" collapsed="false">
      <c r="A270" s="27"/>
      <c r="B270" s="27"/>
      <c r="C270" s="27"/>
      <c r="D270" s="27"/>
      <c r="E270" s="27"/>
      <c r="F270" s="27"/>
      <c r="G270" s="27"/>
      <c r="H270" s="27"/>
      <c r="I270" s="27"/>
      <c r="J270" s="9" t="str">
        <f aca="false">IF(E270="","",IFERROR(IF(N(INDEX(Telas!$G$6:$G$105,MATCH(E270,Telas!$A$6:$A$105,0)))=0,"",INDEX(Telas!$G$6:$G$105,MATCH(E270,Telas!$A$6:$A$105,0))),""))</f>
        <v/>
      </c>
      <c r="K270" s="9" t="str">
        <f aca="false">IF(C270="","",IF(AND(ISNUMBER(H270),N(F270)&gt;0),H270/F270,IF(N(J270)=0,"",IF(AND(ISNUMBER(G270),N(F270)&gt;0),G270/F270/J270,IF(ISNUMBER(I270),I270/J270,"")))))</f>
        <v/>
      </c>
      <c r="L270" s="27"/>
    </row>
    <row r="271" customFormat="false" ht="15" hidden="false" customHeight="false" outlineLevel="0" collapsed="false">
      <c r="A271" s="27"/>
      <c r="B271" s="27"/>
      <c r="C271" s="27"/>
      <c r="D271" s="27"/>
      <c r="E271" s="27"/>
      <c r="F271" s="27"/>
      <c r="G271" s="27"/>
      <c r="H271" s="27"/>
      <c r="I271" s="27"/>
      <c r="J271" s="9" t="str">
        <f aca="false">IF(E271="","",IFERROR(IF(N(INDEX(Telas!$G$6:$G$105,MATCH(E271,Telas!$A$6:$A$105,0)))=0,"",INDEX(Telas!$G$6:$G$105,MATCH(E271,Telas!$A$6:$A$105,0))),""))</f>
        <v/>
      </c>
      <c r="K271" s="9" t="str">
        <f aca="false">IF(C271="","",IF(AND(ISNUMBER(H271),N(F271)&gt;0),H271/F271,IF(N(J271)=0,"",IF(AND(ISNUMBER(G271),N(F271)&gt;0),G271/F271/J271,IF(ISNUMBER(I271),I271/J271,"")))))</f>
        <v/>
      </c>
      <c r="L271" s="27"/>
    </row>
    <row r="272" customFormat="false" ht="15" hidden="false" customHeight="false" outlineLevel="0" collapsed="false">
      <c r="A272" s="27"/>
      <c r="B272" s="27"/>
      <c r="C272" s="27"/>
      <c r="D272" s="27"/>
      <c r="E272" s="27"/>
      <c r="F272" s="27"/>
      <c r="G272" s="27"/>
      <c r="H272" s="27"/>
      <c r="I272" s="27"/>
      <c r="J272" s="9" t="str">
        <f aca="false">IF(E272="","",IFERROR(IF(N(INDEX(Telas!$G$6:$G$105,MATCH(E272,Telas!$A$6:$A$105,0)))=0,"",INDEX(Telas!$G$6:$G$105,MATCH(E272,Telas!$A$6:$A$105,0))),""))</f>
        <v/>
      </c>
      <c r="K272" s="9" t="str">
        <f aca="false">IF(C272="","",IF(AND(ISNUMBER(H272),N(F272)&gt;0),H272/F272,IF(N(J272)=0,"",IF(AND(ISNUMBER(G272),N(F272)&gt;0),G272/F272/J272,IF(ISNUMBER(I272),I272/J272,"")))))</f>
        <v/>
      </c>
      <c r="L272" s="27"/>
    </row>
    <row r="273" customFormat="false" ht="15" hidden="false" customHeight="false" outlineLevel="0" collapsed="false">
      <c r="A273" s="27"/>
      <c r="B273" s="27"/>
      <c r="C273" s="27"/>
      <c r="D273" s="27"/>
      <c r="E273" s="27"/>
      <c r="F273" s="27"/>
      <c r="G273" s="27"/>
      <c r="H273" s="27"/>
      <c r="I273" s="27"/>
      <c r="J273" s="9" t="str">
        <f aca="false">IF(E273="","",IFERROR(IF(N(INDEX(Telas!$G$6:$G$105,MATCH(E273,Telas!$A$6:$A$105,0)))=0,"",INDEX(Telas!$G$6:$G$105,MATCH(E273,Telas!$A$6:$A$105,0))),""))</f>
        <v/>
      </c>
      <c r="K273" s="9" t="str">
        <f aca="false">IF(C273="","",IF(AND(ISNUMBER(H273),N(F273)&gt;0),H273/F273,IF(N(J273)=0,"",IF(AND(ISNUMBER(G273),N(F273)&gt;0),G273/F273/J273,IF(ISNUMBER(I273),I273/J273,"")))))</f>
        <v/>
      </c>
      <c r="L273" s="27"/>
    </row>
    <row r="274" customFormat="false" ht="15" hidden="false" customHeight="false" outlineLevel="0" collapsed="false">
      <c r="A274" s="27"/>
      <c r="B274" s="27"/>
      <c r="C274" s="27"/>
      <c r="D274" s="27"/>
      <c r="E274" s="27"/>
      <c r="F274" s="27"/>
      <c r="G274" s="27"/>
      <c r="H274" s="27"/>
      <c r="I274" s="27"/>
      <c r="J274" s="9" t="str">
        <f aca="false">IF(E274="","",IFERROR(IF(N(INDEX(Telas!$G$6:$G$105,MATCH(E274,Telas!$A$6:$A$105,0)))=0,"",INDEX(Telas!$G$6:$G$105,MATCH(E274,Telas!$A$6:$A$105,0))),""))</f>
        <v/>
      </c>
      <c r="K274" s="9" t="str">
        <f aca="false">IF(C274="","",IF(AND(ISNUMBER(H274),N(F274)&gt;0),H274/F274,IF(N(J274)=0,"",IF(AND(ISNUMBER(G274),N(F274)&gt;0),G274/F274/J274,IF(ISNUMBER(I274),I274/J274,"")))))</f>
        <v/>
      </c>
      <c r="L274" s="27"/>
    </row>
    <row r="275" customFormat="false" ht="15" hidden="false" customHeight="false" outlineLevel="0" collapsed="false">
      <c r="A275" s="27"/>
      <c r="B275" s="27"/>
      <c r="C275" s="27"/>
      <c r="D275" s="27"/>
      <c r="E275" s="27"/>
      <c r="F275" s="27"/>
      <c r="G275" s="27"/>
      <c r="H275" s="27"/>
      <c r="I275" s="27"/>
      <c r="J275" s="9" t="str">
        <f aca="false">IF(E275="","",IFERROR(IF(N(INDEX(Telas!$G$6:$G$105,MATCH(E275,Telas!$A$6:$A$105,0)))=0,"",INDEX(Telas!$G$6:$G$105,MATCH(E275,Telas!$A$6:$A$105,0))),""))</f>
        <v/>
      </c>
      <c r="K275" s="9" t="str">
        <f aca="false">IF(C275="","",IF(AND(ISNUMBER(H275),N(F275)&gt;0),H275/F275,IF(N(J275)=0,"",IF(AND(ISNUMBER(G275),N(F275)&gt;0),G275/F275/J275,IF(ISNUMBER(I275),I275/J275,"")))))</f>
        <v/>
      </c>
      <c r="L275" s="27"/>
    </row>
    <row r="276" customFormat="false" ht="15" hidden="false" customHeight="false" outlineLevel="0" collapsed="false">
      <c r="A276" s="27"/>
      <c r="B276" s="27"/>
      <c r="C276" s="27"/>
      <c r="D276" s="27"/>
      <c r="E276" s="27"/>
      <c r="F276" s="27"/>
      <c r="G276" s="27"/>
      <c r="H276" s="27"/>
      <c r="I276" s="27"/>
      <c r="J276" s="9" t="str">
        <f aca="false">IF(E276="","",IFERROR(IF(N(INDEX(Telas!$G$6:$G$105,MATCH(E276,Telas!$A$6:$A$105,0)))=0,"",INDEX(Telas!$G$6:$G$105,MATCH(E276,Telas!$A$6:$A$105,0))),""))</f>
        <v/>
      </c>
      <c r="K276" s="9" t="str">
        <f aca="false">IF(C276="","",IF(AND(ISNUMBER(H276),N(F276)&gt;0),H276/F276,IF(N(J276)=0,"",IF(AND(ISNUMBER(G276),N(F276)&gt;0),G276/F276/J276,IF(ISNUMBER(I276),I276/J276,"")))))</f>
        <v/>
      </c>
      <c r="L276" s="27"/>
    </row>
    <row r="277" customFormat="false" ht="15" hidden="false" customHeight="false" outlineLevel="0" collapsed="false">
      <c r="A277" s="27"/>
      <c r="B277" s="27"/>
      <c r="C277" s="27"/>
      <c r="D277" s="27"/>
      <c r="E277" s="27"/>
      <c r="F277" s="27"/>
      <c r="G277" s="27"/>
      <c r="H277" s="27"/>
      <c r="I277" s="27"/>
      <c r="J277" s="9" t="str">
        <f aca="false">IF(E277="","",IFERROR(IF(N(INDEX(Telas!$G$6:$G$105,MATCH(E277,Telas!$A$6:$A$105,0)))=0,"",INDEX(Telas!$G$6:$G$105,MATCH(E277,Telas!$A$6:$A$105,0))),""))</f>
        <v/>
      </c>
      <c r="K277" s="9" t="str">
        <f aca="false">IF(C277="","",IF(AND(ISNUMBER(H277),N(F277)&gt;0),H277/F277,IF(N(J277)=0,"",IF(AND(ISNUMBER(G277),N(F277)&gt;0),G277/F277/J277,IF(ISNUMBER(I277),I277/J277,"")))))</f>
        <v/>
      </c>
      <c r="L277" s="27"/>
    </row>
    <row r="278" customFormat="false" ht="15" hidden="false" customHeight="false" outlineLevel="0" collapsed="false">
      <c r="A278" s="27"/>
      <c r="B278" s="27"/>
      <c r="C278" s="27"/>
      <c r="D278" s="27"/>
      <c r="E278" s="27"/>
      <c r="F278" s="27"/>
      <c r="G278" s="27"/>
      <c r="H278" s="27"/>
      <c r="I278" s="27"/>
      <c r="J278" s="9" t="str">
        <f aca="false">IF(E278="","",IFERROR(IF(N(INDEX(Telas!$G$6:$G$105,MATCH(E278,Telas!$A$6:$A$105,0)))=0,"",INDEX(Telas!$G$6:$G$105,MATCH(E278,Telas!$A$6:$A$105,0))),""))</f>
        <v/>
      </c>
      <c r="K278" s="9" t="str">
        <f aca="false">IF(C278="","",IF(AND(ISNUMBER(H278),N(F278)&gt;0),H278/F278,IF(N(J278)=0,"",IF(AND(ISNUMBER(G278),N(F278)&gt;0),G278/F278/J278,IF(ISNUMBER(I278),I278/J278,"")))))</f>
        <v/>
      </c>
      <c r="L278" s="27"/>
    </row>
    <row r="279" customFormat="false" ht="15" hidden="false" customHeight="false" outlineLevel="0" collapsed="false">
      <c r="A279" s="27"/>
      <c r="B279" s="27"/>
      <c r="C279" s="27"/>
      <c r="D279" s="27"/>
      <c r="E279" s="27"/>
      <c r="F279" s="27"/>
      <c r="G279" s="27"/>
      <c r="H279" s="27"/>
      <c r="I279" s="27"/>
      <c r="J279" s="9" t="str">
        <f aca="false">IF(E279="","",IFERROR(IF(N(INDEX(Telas!$G$6:$G$105,MATCH(E279,Telas!$A$6:$A$105,0)))=0,"",INDEX(Telas!$G$6:$G$105,MATCH(E279,Telas!$A$6:$A$105,0))),""))</f>
        <v/>
      </c>
      <c r="K279" s="9" t="str">
        <f aca="false">IF(C279="","",IF(AND(ISNUMBER(H279),N(F279)&gt;0),H279/F279,IF(N(J279)=0,"",IF(AND(ISNUMBER(G279),N(F279)&gt;0),G279/F279/J279,IF(ISNUMBER(I279),I279/J279,"")))))</f>
        <v/>
      </c>
      <c r="L279" s="27"/>
    </row>
    <row r="280" customFormat="false" ht="15" hidden="false" customHeight="false" outlineLevel="0" collapsed="false">
      <c r="A280" s="27"/>
      <c r="B280" s="27"/>
      <c r="C280" s="27"/>
      <c r="D280" s="27"/>
      <c r="E280" s="27"/>
      <c r="F280" s="27"/>
      <c r="G280" s="27"/>
      <c r="H280" s="27"/>
      <c r="I280" s="27"/>
      <c r="J280" s="9" t="str">
        <f aca="false">IF(E280="","",IFERROR(IF(N(INDEX(Telas!$G$6:$G$105,MATCH(E280,Telas!$A$6:$A$105,0)))=0,"",INDEX(Telas!$G$6:$G$105,MATCH(E280,Telas!$A$6:$A$105,0))),""))</f>
        <v/>
      </c>
      <c r="K280" s="9" t="str">
        <f aca="false">IF(C280="","",IF(AND(ISNUMBER(H280),N(F280)&gt;0),H280/F280,IF(N(J280)=0,"",IF(AND(ISNUMBER(G280),N(F280)&gt;0),G280/F280/J280,IF(ISNUMBER(I280),I280/J280,"")))))</f>
        <v/>
      </c>
      <c r="L280" s="27"/>
    </row>
    <row r="281" customFormat="false" ht="15" hidden="false" customHeight="false" outlineLevel="0" collapsed="false">
      <c r="A281" s="27"/>
      <c r="B281" s="27"/>
      <c r="C281" s="27"/>
      <c r="D281" s="27"/>
      <c r="E281" s="27"/>
      <c r="F281" s="27"/>
      <c r="G281" s="27"/>
      <c r="H281" s="27"/>
      <c r="I281" s="27"/>
      <c r="J281" s="9" t="str">
        <f aca="false">IF(E281="","",IFERROR(IF(N(INDEX(Telas!$G$6:$G$105,MATCH(E281,Telas!$A$6:$A$105,0)))=0,"",INDEX(Telas!$G$6:$G$105,MATCH(E281,Telas!$A$6:$A$105,0))),""))</f>
        <v/>
      </c>
      <c r="K281" s="9" t="str">
        <f aca="false">IF(C281="","",IF(AND(ISNUMBER(H281),N(F281)&gt;0),H281/F281,IF(N(J281)=0,"",IF(AND(ISNUMBER(G281),N(F281)&gt;0),G281/F281/J281,IF(ISNUMBER(I281),I281/J281,"")))))</f>
        <v/>
      </c>
      <c r="L281" s="27"/>
    </row>
    <row r="282" customFormat="false" ht="15" hidden="false" customHeight="false" outlineLevel="0" collapsed="false">
      <c r="A282" s="27"/>
      <c r="B282" s="27"/>
      <c r="C282" s="27"/>
      <c r="D282" s="27"/>
      <c r="E282" s="27"/>
      <c r="F282" s="27"/>
      <c r="G282" s="27"/>
      <c r="H282" s="27"/>
      <c r="I282" s="27"/>
      <c r="J282" s="9" t="str">
        <f aca="false">IF(E282="","",IFERROR(IF(N(INDEX(Telas!$G$6:$G$105,MATCH(E282,Telas!$A$6:$A$105,0)))=0,"",INDEX(Telas!$G$6:$G$105,MATCH(E282,Telas!$A$6:$A$105,0))),""))</f>
        <v/>
      </c>
      <c r="K282" s="9" t="str">
        <f aca="false">IF(C282="","",IF(AND(ISNUMBER(H282),N(F282)&gt;0),H282/F282,IF(N(J282)=0,"",IF(AND(ISNUMBER(G282),N(F282)&gt;0),G282/F282/J282,IF(ISNUMBER(I282),I282/J282,"")))))</f>
        <v/>
      </c>
      <c r="L282" s="27"/>
    </row>
    <row r="283" customFormat="false" ht="15" hidden="false" customHeight="false" outlineLevel="0" collapsed="false">
      <c r="A283" s="27"/>
      <c r="B283" s="27"/>
      <c r="C283" s="27"/>
      <c r="D283" s="27"/>
      <c r="E283" s="27"/>
      <c r="F283" s="27"/>
      <c r="G283" s="27"/>
      <c r="H283" s="27"/>
      <c r="I283" s="27"/>
      <c r="J283" s="9" t="str">
        <f aca="false">IF(E283="","",IFERROR(IF(N(INDEX(Telas!$G$6:$G$105,MATCH(E283,Telas!$A$6:$A$105,0)))=0,"",INDEX(Telas!$G$6:$G$105,MATCH(E283,Telas!$A$6:$A$105,0))),""))</f>
        <v/>
      </c>
      <c r="K283" s="9" t="str">
        <f aca="false">IF(C283="","",IF(AND(ISNUMBER(H283),N(F283)&gt;0),H283/F283,IF(N(J283)=0,"",IF(AND(ISNUMBER(G283),N(F283)&gt;0),G283/F283/J283,IF(ISNUMBER(I283),I283/J283,"")))))</f>
        <v/>
      </c>
      <c r="L283" s="27"/>
    </row>
    <row r="284" customFormat="false" ht="15" hidden="false" customHeight="false" outlineLevel="0" collapsed="false">
      <c r="A284" s="27"/>
      <c r="B284" s="27"/>
      <c r="C284" s="27"/>
      <c r="D284" s="27"/>
      <c r="E284" s="27"/>
      <c r="F284" s="27"/>
      <c r="G284" s="27"/>
      <c r="H284" s="27"/>
      <c r="I284" s="27"/>
      <c r="J284" s="9" t="str">
        <f aca="false">IF(E284="","",IFERROR(IF(N(INDEX(Telas!$G$6:$G$105,MATCH(E284,Telas!$A$6:$A$105,0)))=0,"",INDEX(Telas!$G$6:$G$105,MATCH(E284,Telas!$A$6:$A$105,0))),""))</f>
        <v/>
      </c>
      <c r="K284" s="9" t="str">
        <f aca="false">IF(C284="","",IF(AND(ISNUMBER(H284),N(F284)&gt;0),H284/F284,IF(N(J284)=0,"",IF(AND(ISNUMBER(G284),N(F284)&gt;0),G284/F284/J284,IF(ISNUMBER(I284),I284/J284,"")))))</f>
        <v/>
      </c>
      <c r="L284" s="27"/>
    </row>
    <row r="285" customFormat="false" ht="15" hidden="false" customHeight="false" outlineLevel="0" collapsed="false">
      <c r="A285" s="27"/>
      <c r="B285" s="27"/>
      <c r="C285" s="27"/>
      <c r="D285" s="27"/>
      <c r="E285" s="27"/>
      <c r="F285" s="27"/>
      <c r="G285" s="27"/>
      <c r="H285" s="27"/>
      <c r="I285" s="27"/>
      <c r="J285" s="9" t="str">
        <f aca="false">IF(E285="","",IFERROR(IF(N(INDEX(Telas!$G$6:$G$105,MATCH(E285,Telas!$A$6:$A$105,0)))=0,"",INDEX(Telas!$G$6:$G$105,MATCH(E285,Telas!$A$6:$A$105,0))),""))</f>
        <v/>
      </c>
      <c r="K285" s="9" t="str">
        <f aca="false">IF(C285="","",IF(AND(ISNUMBER(H285),N(F285)&gt;0),H285/F285,IF(N(J285)=0,"",IF(AND(ISNUMBER(G285),N(F285)&gt;0),G285/F285/J285,IF(ISNUMBER(I285),I285/J285,"")))))</f>
        <v/>
      </c>
      <c r="L285" s="27"/>
    </row>
    <row r="286" customFormat="false" ht="15" hidden="false" customHeight="false" outlineLevel="0" collapsed="false">
      <c r="A286" s="27"/>
      <c r="B286" s="27"/>
      <c r="C286" s="27"/>
      <c r="D286" s="27"/>
      <c r="E286" s="27"/>
      <c r="F286" s="27"/>
      <c r="G286" s="27"/>
      <c r="H286" s="27"/>
      <c r="I286" s="27"/>
      <c r="J286" s="9" t="str">
        <f aca="false">IF(E286="","",IFERROR(IF(N(INDEX(Telas!$G$6:$G$105,MATCH(E286,Telas!$A$6:$A$105,0)))=0,"",INDEX(Telas!$G$6:$G$105,MATCH(E286,Telas!$A$6:$A$105,0))),""))</f>
        <v/>
      </c>
      <c r="K286" s="9" t="str">
        <f aca="false">IF(C286="","",IF(AND(ISNUMBER(H286),N(F286)&gt;0),H286/F286,IF(N(J286)=0,"",IF(AND(ISNUMBER(G286),N(F286)&gt;0),G286/F286/J286,IF(ISNUMBER(I286),I286/J286,"")))))</f>
        <v/>
      </c>
      <c r="L286" s="27"/>
    </row>
    <row r="287" customFormat="false" ht="15" hidden="false" customHeight="false" outlineLevel="0" collapsed="false">
      <c r="A287" s="27"/>
      <c r="B287" s="27"/>
      <c r="C287" s="27"/>
      <c r="D287" s="27"/>
      <c r="E287" s="27"/>
      <c r="F287" s="27"/>
      <c r="G287" s="27"/>
      <c r="H287" s="27"/>
      <c r="I287" s="27"/>
      <c r="J287" s="9" t="str">
        <f aca="false">IF(E287="","",IFERROR(IF(N(INDEX(Telas!$G$6:$G$105,MATCH(E287,Telas!$A$6:$A$105,0)))=0,"",INDEX(Telas!$G$6:$G$105,MATCH(E287,Telas!$A$6:$A$105,0))),""))</f>
        <v/>
      </c>
      <c r="K287" s="9" t="str">
        <f aca="false">IF(C287="","",IF(AND(ISNUMBER(H287),N(F287)&gt;0),H287/F287,IF(N(J287)=0,"",IF(AND(ISNUMBER(G287),N(F287)&gt;0),G287/F287/J287,IF(ISNUMBER(I287),I287/J287,"")))))</f>
        <v/>
      </c>
      <c r="L287" s="27"/>
    </row>
    <row r="288" customFormat="false" ht="15" hidden="false" customHeight="false" outlineLevel="0" collapsed="false">
      <c r="A288" s="27"/>
      <c r="B288" s="27"/>
      <c r="C288" s="27"/>
      <c r="D288" s="27"/>
      <c r="E288" s="27"/>
      <c r="F288" s="27"/>
      <c r="G288" s="27"/>
      <c r="H288" s="27"/>
      <c r="I288" s="27"/>
      <c r="J288" s="9" t="str">
        <f aca="false">IF(E288="","",IFERROR(IF(N(INDEX(Telas!$G$6:$G$105,MATCH(E288,Telas!$A$6:$A$105,0)))=0,"",INDEX(Telas!$G$6:$G$105,MATCH(E288,Telas!$A$6:$A$105,0))),""))</f>
        <v/>
      </c>
      <c r="K288" s="9" t="str">
        <f aca="false">IF(C288="","",IF(AND(ISNUMBER(H288),N(F288)&gt;0),H288/F288,IF(N(J288)=0,"",IF(AND(ISNUMBER(G288),N(F288)&gt;0),G288/F288/J288,IF(ISNUMBER(I288),I288/J288,"")))))</f>
        <v/>
      </c>
      <c r="L288" s="27"/>
    </row>
    <row r="289" customFormat="false" ht="15" hidden="false" customHeight="false" outlineLevel="0" collapsed="false">
      <c r="A289" s="27"/>
      <c r="B289" s="27"/>
      <c r="C289" s="27"/>
      <c r="D289" s="27"/>
      <c r="E289" s="27"/>
      <c r="F289" s="27"/>
      <c r="G289" s="27"/>
      <c r="H289" s="27"/>
      <c r="I289" s="27"/>
      <c r="J289" s="9" t="str">
        <f aca="false">IF(E289="","",IFERROR(IF(N(INDEX(Telas!$G$6:$G$105,MATCH(E289,Telas!$A$6:$A$105,0)))=0,"",INDEX(Telas!$G$6:$G$105,MATCH(E289,Telas!$A$6:$A$105,0))),""))</f>
        <v/>
      </c>
      <c r="K289" s="9" t="str">
        <f aca="false">IF(C289="","",IF(AND(ISNUMBER(H289),N(F289)&gt;0),H289/F289,IF(N(J289)=0,"",IF(AND(ISNUMBER(G289),N(F289)&gt;0),G289/F289/J289,IF(ISNUMBER(I289),I289/J289,"")))))</f>
        <v/>
      </c>
      <c r="L289" s="27"/>
    </row>
    <row r="290" customFormat="false" ht="15" hidden="false" customHeight="false" outlineLevel="0" collapsed="false">
      <c r="A290" s="27"/>
      <c r="B290" s="27"/>
      <c r="C290" s="27"/>
      <c r="D290" s="27"/>
      <c r="E290" s="27"/>
      <c r="F290" s="27"/>
      <c r="G290" s="27"/>
      <c r="H290" s="27"/>
      <c r="I290" s="27"/>
      <c r="J290" s="9" t="str">
        <f aca="false">IF(E290="","",IFERROR(IF(N(INDEX(Telas!$G$6:$G$105,MATCH(E290,Telas!$A$6:$A$105,0)))=0,"",INDEX(Telas!$G$6:$G$105,MATCH(E290,Telas!$A$6:$A$105,0))),""))</f>
        <v/>
      </c>
      <c r="K290" s="9" t="str">
        <f aca="false">IF(C290="","",IF(AND(ISNUMBER(H290),N(F290)&gt;0),H290/F290,IF(N(J290)=0,"",IF(AND(ISNUMBER(G290),N(F290)&gt;0),G290/F290/J290,IF(ISNUMBER(I290),I290/J290,"")))))</f>
        <v/>
      </c>
      <c r="L290" s="27"/>
    </row>
    <row r="291" customFormat="false" ht="15" hidden="false" customHeight="false" outlineLevel="0" collapsed="false">
      <c r="A291" s="27"/>
      <c r="B291" s="27"/>
      <c r="C291" s="27"/>
      <c r="D291" s="27"/>
      <c r="E291" s="27"/>
      <c r="F291" s="27"/>
      <c r="G291" s="27"/>
      <c r="H291" s="27"/>
      <c r="I291" s="27"/>
      <c r="J291" s="9" t="str">
        <f aca="false">IF(E291="","",IFERROR(IF(N(INDEX(Telas!$G$6:$G$105,MATCH(E291,Telas!$A$6:$A$105,0)))=0,"",INDEX(Telas!$G$6:$G$105,MATCH(E291,Telas!$A$6:$A$105,0))),""))</f>
        <v/>
      </c>
      <c r="K291" s="9" t="str">
        <f aca="false">IF(C291="","",IF(AND(ISNUMBER(H291),N(F291)&gt;0),H291/F291,IF(N(J291)=0,"",IF(AND(ISNUMBER(G291),N(F291)&gt;0),G291/F291/J291,IF(ISNUMBER(I291),I291/J291,"")))))</f>
        <v/>
      </c>
      <c r="L291" s="27"/>
    </row>
    <row r="292" customFormat="false" ht="15" hidden="false" customHeight="false" outlineLevel="0" collapsed="false">
      <c r="A292" s="27"/>
      <c r="B292" s="27"/>
      <c r="C292" s="27"/>
      <c r="D292" s="27"/>
      <c r="E292" s="27"/>
      <c r="F292" s="27"/>
      <c r="G292" s="27"/>
      <c r="H292" s="27"/>
      <c r="I292" s="27"/>
      <c r="J292" s="9" t="str">
        <f aca="false">IF(E292="","",IFERROR(IF(N(INDEX(Telas!$G$6:$G$105,MATCH(E292,Telas!$A$6:$A$105,0)))=0,"",INDEX(Telas!$G$6:$G$105,MATCH(E292,Telas!$A$6:$A$105,0))),""))</f>
        <v/>
      </c>
      <c r="K292" s="9" t="str">
        <f aca="false">IF(C292="","",IF(AND(ISNUMBER(H292),N(F292)&gt;0),H292/F292,IF(N(J292)=0,"",IF(AND(ISNUMBER(G292),N(F292)&gt;0),G292/F292/J292,IF(ISNUMBER(I292),I292/J292,"")))))</f>
        <v/>
      </c>
      <c r="L292" s="27"/>
    </row>
    <row r="293" customFormat="false" ht="15" hidden="false" customHeight="false" outlineLevel="0" collapsed="false">
      <c r="A293" s="27"/>
      <c r="B293" s="27"/>
      <c r="C293" s="27"/>
      <c r="D293" s="27"/>
      <c r="E293" s="27"/>
      <c r="F293" s="27"/>
      <c r="G293" s="27"/>
      <c r="H293" s="27"/>
      <c r="I293" s="27"/>
      <c r="J293" s="9" t="str">
        <f aca="false">IF(E293="","",IFERROR(IF(N(INDEX(Telas!$G$6:$G$105,MATCH(E293,Telas!$A$6:$A$105,0)))=0,"",INDEX(Telas!$G$6:$G$105,MATCH(E293,Telas!$A$6:$A$105,0))),""))</f>
        <v/>
      </c>
      <c r="K293" s="9" t="str">
        <f aca="false">IF(C293="","",IF(AND(ISNUMBER(H293),N(F293)&gt;0),H293/F293,IF(N(J293)=0,"",IF(AND(ISNUMBER(G293),N(F293)&gt;0),G293/F293/J293,IF(ISNUMBER(I293),I293/J293,"")))))</f>
        <v/>
      </c>
      <c r="L293" s="27"/>
    </row>
    <row r="294" customFormat="false" ht="15" hidden="false" customHeight="false" outlineLevel="0" collapsed="false">
      <c r="A294" s="27"/>
      <c r="B294" s="27"/>
      <c r="C294" s="27"/>
      <c r="D294" s="27"/>
      <c r="E294" s="27"/>
      <c r="F294" s="27"/>
      <c r="G294" s="27"/>
      <c r="H294" s="27"/>
      <c r="I294" s="27"/>
      <c r="J294" s="9" t="str">
        <f aca="false">IF(E294="","",IFERROR(IF(N(INDEX(Telas!$G$6:$G$105,MATCH(E294,Telas!$A$6:$A$105,0)))=0,"",INDEX(Telas!$G$6:$G$105,MATCH(E294,Telas!$A$6:$A$105,0))),""))</f>
        <v/>
      </c>
      <c r="K294" s="9" t="str">
        <f aca="false">IF(C294="","",IF(AND(ISNUMBER(H294),N(F294)&gt;0),H294/F294,IF(N(J294)=0,"",IF(AND(ISNUMBER(G294),N(F294)&gt;0),G294/F294/J294,IF(ISNUMBER(I294),I294/J294,"")))))</f>
        <v/>
      </c>
      <c r="L294" s="27"/>
    </row>
    <row r="295" customFormat="false" ht="15" hidden="false" customHeight="false" outlineLevel="0" collapsed="false">
      <c r="A295" s="27"/>
      <c r="B295" s="27"/>
      <c r="C295" s="27"/>
      <c r="D295" s="27"/>
      <c r="E295" s="27"/>
      <c r="F295" s="27"/>
      <c r="G295" s="27"/>
      <c r="H295" s="27"/>
      <c r="I295" s="27"/>
      <c r="J295" s="9" t="str">
        <f aca="false">IF(E295="","",IFERROR(IF(N(INDEX(Telas!$G$6:$G$105,MATCH(E295,Telas!$A$6:$A$105,0)))=0,"",INDEX(Telas!$G$6:$G$105,MATCH(E295,Telas!$A$6:$A$105,0))),""))</f>
        <v/>
      </c>
      <c r="K295" s="9" t="str">
        <f aca="false">IF(C295="","",IF(AND(ISNUMBER(H295),N(F295)&gt;0),H295/F295,IF(N(J295)=0,"",IF(AND(ISNUMBER(G295),N(F295)&gt;0),G295/F295/J295,IF(ISNUMBER(I295),I295/J295,"")))))</f>
        <v/>
      </c>
      <c r="L295" s="27"/>
    </row>
    <row r="296" customFormat="false" ht="15" hidden="false" customHeight="false" outlineLevel="0" collapsed="false">
      <c r="A296" s="27"/>
      <c r="B296" s="27"/>
      <c r="C296" s="27"/>
      <c r="D296" s="27"/>
      <c r="E296" s="27"/>
      <c r="F296" s="27"/>
      <c r="G296" s="27"/>
      <c r="H296" s="27"/>
      <c r="I296" s="27"/>
      <c r="J296" s="9" t="str">
        <f aca="false">IF(E296="","",IFERROR(IF(N(INDEX(Telas!$G$6:$G$105,MATCH(E296,Telas!$A$6:$A$105,0)))=0,"",INDEX(Telas!$G$6:$G$105,MATCH(E296,Telas!$A$6:$A$105,0))),""))</f>
        <v/>
      </c>
      <c r="K296" s="9" t="str">
        <f aca="false">IF(C296="","",IF(AND(ISNUMBER(H296),N(F296)&gt;0),H296/F296,IF(N(J296)=0,"",IF(AND(ISNUMBER(G296),N(F296)&gt;0),G296/F296/J296,IF(ISNUMBER(I296),I296/J296,"")))))</f>
        <v/>
      </c>
      <c r="L296" s="27"/>
    </row>
    <row r="297" customFormat="false" ht="15" hidden="false" customHeight="false" outlineLevel="0" collapsed="false">
      <c r="A297" s="27"/>
      <c r="B297" s="27"/>
      <c r="C297" s="27"/>
      <c r="D297" s="27"/>
      <c r="E297" s="27"/>
      <c r="F297" s="27"/>
      <c r="G297" s="27"/>
      <c r="H297" s="27"/>
      <c r="I297" s="27"/>
      <c r="J297" s="9" t="str">
        <f aca="false">IF(E297="","",IFERROR(IF(N(INDEX(Telas!$G$6:$G$105,MATCH(E297,Telas!$A$6:$A$105,0)))=0,"",INDEX(Telas!$G$6:$G$105,MATCH(E297,Telas!$A$6:$A$105,0))),""))</f>
        <v/>
      </c>
      <c r="K297" s="9" t="str">
        <f aca="false">IF(C297="","",IF(AND(ISNUMBER(H297),N(F297)&gt;0),H297/F297,IF(N(J297)=0,"",IF(AND(ISNUMBER(G297),N(F297)&gt;0),G297/F297/J297,IF(ISNUMBER(I297),I297/J297,"")))))</f>
        <v/>
      </c>
      <c r="L297" s="27"/>
    </row>
    <row r="298" customFormat="false" ht="15" hidden="false" customHeight="false" outlineLevel="0" collapsed="false">
      <c r="A298" s="27"/>
      <c r="B298" s="27"/>
      <c r="C298" s="27"/>
      <c r="D298" s="27"/>
      <c r="E298" s="27"/>
      <c r="F298" s="27"/>
      <c r="G298" s="27"/>
      <c r="H298" s="27"/>
      <c r="I298" s="27"/>
      <c r="J298" s="9" t="str">
        <f aca="false">IF(E298="","",IFERROR(IF(N(INDEX(Telas!$G$6:$G$105,MATCH(E298,Telas!$A$6:$A$105,0)))=0,"",INDEX(Telas!$G$6:$G$105,MATCH(E298,Telas!$A$6:$A$105,0))),""))</f>
        <v/>
      </c>
      <c r="K298" s="9" t="str">
        <f aca="false">IF(C298="","",IF(AND(ISNUMBER(H298),N(F298)&gt;0),H298/F298,IF(N(J298)=0,"",IF(AND(ISNUMBER(G298),N(F298)&gt;0),G298/F298/J298,IF(ISNUMBER(I298),I298/J298,"")))))</f>
        <v/>
      </c>
      <c r="L298" s="27"/>
    </row>
    <row r="299" customFormat="false" ht="15" hidden="false" customHeight="false" outlineLevel="0" collapsed="false">
      <c r="A299" s="27"/>
      <c r="B299" s="27"/>
      <c r="C299" s="27"/>
      <c r="D299" s="27"/>
      <c r="E299" s="27"/>
      <c r="F299" s="27"/>
      <c r="G299" s="27"/>
      <c r="H299" s="27"/>
      <c r="I299" s="27"/>
      <c r="J299" s="9" t="str">
        <f aca="false">IF(E299="","",IFERROR(IF(N(INDEX(Telas!$G$6:$G$105,MATCH(E299,Telas!$A$6:$A$105,0)))=0,"",INDEX(Telas!$G$6:$G$105,MATCH(E299,Telas!$A$6:$A$105,0))),""))</f>
        <v/>
      </c>
      <c r="K299" s="9" t="str">
        <f aca="false">IF(C299="","",IF(AND(ISNUMBER(H299),N(F299)&gt;0),H299/F299,IF(N(J299)=0,"",IF(AND(ISNUMBER(G299),N(F299)&gt;0),G299/F299/J299,IF(ISNUMBER(I299),I299/J299,"")))))</f>
        <v/>
      </c>
      <c r="L299" s="27"/>
    </row>
    <row r="300" customFormat="false" ht="15" hidden="false" customHeight="false" outlineLevel="0" collapsed="false">
      <c r="A300" s="27"/>
      <c r="B300" s="27"/>
      <c r="C300" s="27"/>
      <c r="D300" s="27"/>
      <c r="E300" s="27"/>
      <c r="F300" s="27"/>
      <c r="G300" s="27"/>
      <c r="H300" s="27"/>
      <c r="I300" s="27"/>
      <c r="J300" s="9" t="str">
        <f aca="false">IF(E300="","",IFERROR(IF(N(INDEX(Telas!$G$6:$G$105,MATCH(E300,Telas!$A$6:$A$105,0)))=0,"",INDEX(Telas!$G$6:$G$105,MATCH(E300,Telas!$A$6:$A$105,0))),""))</f>
        <v/>
      </c>
      <c r="K300" s="9" t="str">
        <f aca="false">IF(C300="","",IF(AND(ISNUMBER(H300),N(F300)&gt;0),H300/F300,IF(N(J300)=0,"",IF(AND(ISNUMBER(G300),N(F300)&gt;0),G300/F300/J300,IF(ISNUMBER(I300),I300/J300,"")))))</f>
        <v/>
      </c>
      <c r="L300" s="27"/>
    </row>
    <row r="301" customFormat="false" ht="15" hidden="false" customHeight="false" outlineLevel="0" collapsed="false">
      <c r="A301" s="27"/>
      <c r="B301" s="27"/>
      <c r="C301" s="27"/>
      <c r="D301" s="27"/>
      <c r="E301" s="27"/>
      <c r="F301" s="27"/>
      <c r="G301" s="27"/>
      <c r="H301" s="27"/>
      <c r="I301" s="27"/>
      <c r="J301" s="9" t="str">
        <f aca="false">IF(E301="","",IFERROR(IF(N(INDEX(Telas!$G$6:$G$105,MATCH(E301,Telas!$A$6:$A$105,0)))=0,"",INDEX(Telas!$G$6:$G$105,MATCH(E301,Telas!$A$6:$A$105,0))),""))</f>
        <v/>
      </c>
      <c r="K301" s="9" t="str">
        <f aca="false">IF(C301="","",IF(AND(ISNUMBER(H301),N(F301)&gt;0),H301/F301,IF(N(J301)=0,"",IF(AND(ISNUMBER(G301),N(F301)&gt;0),G301/F301/J301,IF(ISNUMBER(I301),I301/J301,"")))))</f>
        <v/>
      </c>
      <c r="L301" s="27"/>
    </row>
    <row r="302" customFormat="false" ht="15" hidden="false" customHeight="false" outlineLevel="0" collapsed="false">
      <c r="A302" s="27"/>
      <c r="B302" s="27"/>
      <c r="C302" s="27"/>
      <c r="D302" s="27"/>
      <c r="E302" s="27"/>
      <c r="F302" s="27"/>
      <c r="G302" s="27"/>
      <c r="H302" s="27"/>
      <c r="I302" s="27"/>
      <c r="J302" s="9" t="str">
        <f aca="false">IF(E302="","",IFERROR(IF(N(INDEX(Telas!$G$6:$G$105,MATCH(E302,Telas!$A$6:$A$105,0)))=0,"",INDEX(Telas!$G$6:$G$105,MATCH(E302,Telas!$A$6:$A$105,0))),""))</f>
        <v/>
      </c>
      <c r="K302" s="9" t="str">
        <f aca="false">IF(C302="","",IF(AND(ISNUMBER(H302),N(F302)&gt;0),H302/F302,IF(N(J302)=0,"",IF(AND(ISNUMBER(G302),N(F302)&gt;0),G302/F302/J302,IF(ISNUMBER(I302),I302/J302,"")))))</f>
        <v/>
      </c>
      <c r="L302" s="27"/>
    </row>
    <row r="303" customFormat="false" ht="15" hidden="false" customHeight="false" outlineLevel="0" collapsed="false">
      <c r="A303" s="27"/>
      <c r="B303" s="27"/>
      <c r="C303" s="27"/>
      <c r="D303" s="27"/>
      <c r="E303" s="27"/>
      <c r="F303" s="27"/>
      <c r="G303" s="27"/>
      <c r="H303" s="27"/>
      <c r="I303" s="27"/>
      <c r="J303" s="9" t="str">
        <f aca="false">IF(E303="","",IFERROR(IF(N(INDEX(Telas!$G$6:$G$105,MATCH(E303,Telas!$A$6:$A$105,0)))=0,"",INDEX(Telas!$G$6:$G$105,MATCH(E303,Telas!$A$6:$A$105,0))),""))</f>
        <v/>
      </c>
      <c r="K303" s="9" t="str">
        <f aca="false">IF(C303="","",IF(AND(ISNUMBER(H303),N(F303)&gt;0),H303/F303,IF(N(J303)=0,"",IF(AND(ISNUMBER(G303),N(F303)&gt;0),G303/F303/J303,IF(ISNUMBER(I303),I303/J303,"")))))</f>
        <v/>
      </c>
      <c r="L303" s="27"/>
    </row>
    <row r="304" customFormat="false" ht="15" hidden="false" customHeight="false" outlineLevel="0" collapsed="false">
      <c r="A304" s="27"/>
      <c r="B304" s="27"/>
      <c r="C304" s="27"/>
      <c r="D304" s="27"/>
      <c r="E304" s="27"/>
      <c r="F304" s="27"/>
      <c r="G304" s="27"/>
      <c r="H304" s="27"/>
      <c r="I304" s="27"/>
      <c r="J304" s="9" t="str">
        <f aca="false">IF(E304="","",IFERROR(IF(N(INDEX(Telas!$G$6:$G$105,MATCH(E304,Telas!$A$6:$A$105,0)))=0,"",INDEX(Telas!$G$6:$G$105,MATCH(E304,Telas!$A$6:$A$105,0))),""))</f>
        <v/>
      </c>
      <c r="K304" s="9" t="str">
        <f aca="false">IF(C304="","",IF(AND(ISNUMBER(H304),N(F304)&gt;0),H304/F304,IF(N(J304)=0,"",IF(AND(ISNUMBER(G304),N(F304)&gt;0),G304/F304/J304,IF(ISNUMBER(I304),I304/J304,"")))))</f>
        <v/>
      </c>
      <c r="L304" s="27"/>
    </row>
    <row r="305" customFormat="false" ht="15" hidden="false" customHeight="false" outlineLevel="0" collapsed="false">
      <c r="A305" s="27"/>
      <c r="B305" s="27"/>
      <c r="C305" s="27"/>
      <c r="D305" s="27"/>
      <c r="E305" s="27"/>
      <c r="F305" s="27"/>
      <c r="G305" s="27"/>
      <c r="H305" s="27"/>
      <c r="I305" s="27"/>
      <c r="J305" s="9" t="str">
        <f aca="false">IF(E305="","",IFERROR(IF(N(INDEX(Telas!$G$6:$G$105,MATCH(E305,Telas!$A$6:$A$105,0)))=0,"",INDEX(Telas!$G$6:$G$105,MATCH(E305,Telas!$A$6:$A$105,0))),""))</f>
        <v/>
      </c>
      <c r="K305" s="9" t="str">
        <f aca="false">IF(C305="","",IF(AND(ISNUMBER(H305),N(F305)&gt;0),H305/F305,IF(N(J305)=0,"",IF(AND(ISNUMBER(G305),N(F305)&gt;0),G305/F305/J305,IF(ISNUMBER(I305),I305/J305,"")))))</f>
        <v/>
      </c>
      <c r="L305" s="27"/>
    </row>
  </sheetData>
  <dataValidations count="3">
    <dataValidation allowBlank="true" errorStyle="stop" operator="between" showDropDown="false" showErrorMessage="false" showInputMessage="false" sqref="C6:C305" type="list">
      <formula1>Recetas!$A$6:$A$115</formula1>
      <formula2>0</formula2>
    </dataValidation>
    <dataValidation allowBlank="true" errorStyle="stop" operator="between" showDropDown="false" showErrorMessage="false" showInputMessage="false" sqref="D6:D305" type="list">
      <formula1>"Tela principal,Tela 2,Tela 3"</formula1>
      <formula2>0</formula2>
    </dataValidation>
    <dataValidation allowBlank="true" errorStyle="stop" operator="between" showDropDown="false" showErrorMessage="false" showInputMessage="false" sqref="E6:E305" type="list">
      <formula1>Telas!$A$6:$A$105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9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1" min="11" style="0" width="14"/>
    <col collapsed="false" customWidth="true" hidden="false" outlineLevel="0" max="12" min="12" style="0" width="60"/>
  </cols>
  <sheetData>
    <row r="1" customFormat="false" ht="17.35" hidden="false" customHeight="false" outlineLevel="0" collapsed="false">
      <c r="A1" s="1" t="s">
        <v>458</v>
      </c>
    </row>
    <row r="2" customFormat="false" ht="15" hidden="false" customHeight="false" outlineLevel="0" collapsed="false">
      <c r="A2" s="2" t="s">
        <v>459</v>
      </c>
    </row>
    <row r="5" customFormat="false" ht="45" hidden="false" customHeight="true" outlineLevel="0" collapsed="false">
      <c r="A5" s="6" t="s">
        <v>460</v>
      </c>
      <c r="B5" s="6" t="s">
        <v>461</v>
      </c>
      <c r="C5" s="6" t="s">
        <v>462</v>
      </c>
      <c r="D5" s="6" t="s">
        <v>463</v>
      </c>
      <c r="E5" s="6" t="s">
        <v>464</v>
      </c>
      <c r="F5" s="6" t="s">
        <v>465</v>
      </c>
      <c r="G5" s="6" t="s">
        <v>466</v>
      </c>
      <c r="H5" s="6" t="s">
        <v>467</v>
      </c>
      <c r="I5" s="6" t="s">
        <v>468</v>
      </c>
      <c r="J5" s="6" t="s">
        <v>469</v>
      </c>
      <c r="K5" s="6" t="s">
        <v>245</v>
      </c>
      <c r="L5" s="6" t="s">
        <v>415</v>
      </c>
    </row>
    <row r="6" customFormat="false" ht="15" hidden="false" customHeight="false" outlineLevel="0" collapsed="false">
      <c r="A6" s="27" t="s">
        <v>120</v>
      </c>
      <c r="B6" s="27" t="s">
        <v>470</v>
      </c>
      <c r="C6" s="27"/>
      <c r="D6" s="15" t="n">
        <v>3531</v>
      </c>
      <c r="E6" s="15"/>
      <c r="F6" s="10" t="n">
        <f aca="false">IF(ISNUMBER(D6),D6,IF(ISNUMBER(E6),E6/1.19,""))</f>
        <v>3531</v>
      </c>
      <c r="G6" s="27" t="n">
        <v>0.197</v>
      </c>
      <c r="H6" s="27"/>
      <c r="I6" s="10" t="n">
        <f aca="false">IF(AND(ISNUMBER(F6),N(G6)&gt;0),F6*G6,"")</f>
        <v>695.607</v>
      </c>
      <c r="J6" s="33" t="n">
        <f aca="false">IF(N(G6)&gt;0,1/G6,"")</f>
        <v>5.0761421319797</v>
      </c>
      <c r="K6" s="27" t="s">
        <v>249</v>
      </c>
      <c r="L6" s="27" t="s">
        <v>471</v>
      </c>
    </row>
    <row r="7" customFormat="false" ht="15" hidden="false" customHeight="false" outlineLevel="0" collapsed="false">
      <c r="A7" s="27" t="s">
        <v>472</v>
      </c>
      <c r="B7" s="27"/>
      <c r="C7" s="27"/>
      <c r="D7" s="15" t="n">
        <v>5600</v>
      </c>
      <c r="E7" s="15"/>
      <c r="F7" s="10" t="n">
        <f aca="false">IF(ISNUMBER(D7),D7,IF(ISNUMBER(E7),E7/1.19,""))</f>
        <v>5600</v>
      </c>
      <c r="G7" s="27"/>
      <c r="H7" s="27"/>
      <c r="I7" s="10" t="str">
        <f aca="false">IF(AND(ISNUMBER(F7),N(G7)&gt;0),F7*G7,"")</f>
        <v/>
      </c>
      <c r="J7" s="33" t="str">
        <f aca="false">IF(N(G7)&gt;0,1/G7,"")</f>
        <v/>
      </c>
      <c r="K7" s="27" t="s">
        <v>249</v>
      </c>
      <c r="L7" s="27" t="s">
        <v>473</v>
      </c>
    </row>
    <row r="8" customFormat="false" ht="15" hidden="false" customHeight="false" outlineLevel="0" collapsed="false">
      <c r="A8" s="27" t="s">
        <v>103</v>
      </c>
      <c r="B8" s="27"/>
      <c r="C8" s="27"/>
      <c r="D8" s="15" t="n">
        <v>5600</v>
      </c>
      <c r="E8" s="15"/>
      <c r="F8" s="10" t="n">
        <f aca="false">IF(ISNUMBER(D8),D8,IF(ISNUMBER(E8),E8/1.19,""))</f>
        <v>5600</v>
      </c>
      <c r="G8" s="27"/>
      <c r="H8" s="27"/>
      <c r="I8" s="10" t="str">
        <f aca="false">IF(AND(ISNUMBER(F8),N(G8)&gt;0),F8*G8,"")</f>
        <v/>
      </c>
      <c r="J8" s="33" t="str">
        <f aca="false">IF(N(G8)&gt;0,1/G8,"")</f>
        <v/>
      </c>
      <c r="K8" s="27" t="s">
        <v>249</v>
      </c>
      <c r="L8" s="27" t="s">
        <v>473</v>
      </c>
    </row>
    <row r="9" customFormat="false" ht="15" hidden="false" customHeight="false" outlineLevel="0" collapsed="false">
      <c r="A9" s="27" t="s">
        <v>474</v>
      </c>
      <c r="B9" s="27"/>
      <c r="C9" s="27"/>
      <c r="D9" s="15" t="n">
        <v>7500</v>
      </c>
      <c r="E9" s="15"/>
      <c r="F9" s="10" t="n">
        <f aca="false">IF(ISNUMBER(D9),D9,IF(ISNUMBER(E9),E9/1.19,""))</f>
        <v>7500</v>
      </c>
      <c r="G9" s="27"/>
      <c r="H9" s="27"/>
      <c r="I9" s="10" t="str">
        <f aca="false">IF(AND(ISNUMBER(F9),N(G9)&gt;0),F9*G9,"")</f>
        <v/>
      </c>
      <c r="J9" s="33" t="str">
        <f aca="false">IF(N(G9)&gt;0,1/G9,"")</f>
        <v/>
      </c>
      <c r="K9" s="27" t="s">
        <v>249</v>
      </c>
      <c r="L9" s="27" t="s">
        <v>473</v>
      </c>
    </row>
    <row r="10" customFormat="false" ht="15" hidden="false" customHeight="false" outlineLevel="0" collapsed="false">
      <c r="A10" s="27" t="s">
        <v>104</v>
      </c>
      <c r="B10" s="27"/>
      <c r="C10" s="27"/>
      <c r="D10" s="15" t="n">
        <v>7700</v>
      </c>
      <c r="E10" s="15"/>
      <c r="F10" s="10" t="n">
        <f aca="false">IF(ISNUMBER(D10),D10,IF(ISNUMBER(E10),E10/1.19,""))</f>
        <v>7700</v>
      </c>
      <c r="G10" s="27"/>
      <c r="H10" s="27"/>
      <c r="I10" s="10" t="str">
        <f aca="false">IF(AND(ISNUMBER(F10),N(G10)&gt;0),F10*G10,"")</f>
        <v/>
      </c>
      <c r="J10" s="33" t="str">
        <f aca="false">IF(N(G10)&gt;0,1/G10,"")</f>
        <v/>
      </c>
      <c r="K10" s="27" t="s">
        <v>249</v>
      </c>
      <c r="L10" s="27" t="s">
        <v>473</v>
      </c>
    </row>
    <row r="11" customFormat="false" ht="15" hidden="false" customHeight="false" outlineLevel="0" collapsed="false">
      <c r="A11" s="27" t="s">
        <v>475</v>
      </c>
      <c r="B11" s="27"/>
      <c r="C11" s="27"/>
      <c r="D11" s="15" t="n">
        <v>8000</v>
      </c>
      <c r="E11" s="15"/>
      <c r="F11" s="10" t="n">
        <f aca="false">IF(ISNUMBER(D11),D11,IF(ISNUMBER(E11),E11/1.19,""))</f>
        <v>8000</v>
      </c>
      <c r="G11" s="27"/>
      <c r="H11" s="27"/>
      <c r="I11" s="10" t="str">
        <f aca="false">IF(AND(ISNUMBER(F11),N(G11)&gt;0),F11*G11,"")</f>
        <v/>
      </c>
      <c r="J11" s="33" t="str">
        <f aca="false">IF(N(G11)&gt;0,1/G11,"")</f>
        <v/>
      </c>
      <c r="K11" s="27" t="s">
        <v>249</v>
      </c>
      <c r="L11" s="27" t="s">
        <v>473</v>
      </c>
    </row>
    <row r="12" customFormat="false" ht="15" hidden="false" customHeight="false" outlineLevel="0" collapsed="false">
      <c r="A12" s="27" t="s">
        <v>476</v>
      </c>
      <c r="B12" s="27"/>
      <c r="C12" s="27"/>
      <c r="D12" s="15" t="n">
        <v>7800</v>
      </c>
      <c r="E12" s="15"/>
      <c r="F12" s="10" t="n">
        <f aca="false">IF(ISNUMBER(D12),D12,IF(ISNUMBER(E12),E12/1.19,""))</f>
        <v>7800</v>
      </c>
      <c r="G12" s="27"/>
      <c r="H12" s="27"/>
      <c r="I12" s="10" t="str">
        <f aca="false">IF(AND(ISNUMBER(F12),N(G12)&gt;0),F12*G12,"")</f>
        <v/>
      </c>
      <c r="J12" s="33" t="str">
        <f aca="false">IF(N(G12)&gt;0,1/G12,"")</f>
        <v/>
      </c>
      <c r="K12" s="27" t="s">
        <v>249</v>
      </c>
      <c r="L12" s="27" t="s">
        <v>473</v>
      </c>
    </row>
    <row r="13" customFormat="false" ht="15" hidden="false" customHeight="false" outlineLevel="0" collapsed="false">
      <c r="A13" s="27" t="s">
        <v>236</v>
      </c>
      <c r="B13" s="27"/>
      <c r="C13" s="27"/>
      <c r="D13" s="15" t="n">
        <v>6900</v>
      </c>
      <c r="E13" s="15"/>
      <c r="F13" s="10" t="n">
        <f aca="false">IF(ISNUMBER(D13),D13,IF(ISNUMBER(E13),E13/1.19,""))</f>
        <v>6900</v>
      </c>
      <c r="G13" s="27"/>
      <c r="H13" s="27"/>
      <c r="I13" s="10" t="str">
        <f aca="false">IF(AND(ISNUMBER(F13),N(G13)&gt;0),F13*G13,"")</f>
        <v/>
      </c>
      <c r="J13" s="33" t="str">
        <f aca="false">IF(N(G13)&gt;0,1/G13,"")</f>
        <v/>
      </c>
      <c r="K13" s="27" t="s">
        <v>249</v>
      </c>
      <c r="L13" s="27" t="s">
        <v>473</v>
      </c>
    </row>
    <row r="14" customFormat="false" ht="15" hidden="false" customHeight="false" outlineLevel="0" collapsed="false">
      <c r="A14" s="27" t="s">
        <v>477</v>
      </c>
      <c r="B14" s="27"/>
      <c r="C14" s="27"/>
      <c r="D14" s="15" t="n">
        <v>7200</v>
      </c>
      <c r="E14" s="15"/>
      <c r="F14" s="10" t="n">
        <f aca="false">IF(ISNUMBER(D14),D14,IF(ISNUMBER(E14),E14/1.19,""))</f>
        <v>7200</v>
      </c>
      <c r="G14" s="27"/>
      <c r="H14" s="27"/>
      <c r="I14" s="10" t="str">
        <f aca="false">IF(AND(ISNUMBER(F14),N(G14)&gt;0),F14*G14,"")</f>
        <v/>
      </c>
      <c r="J14" s="33" t="str">
        <f aca="false">IF(N(G14)&gt;0,1/G14,"")</f>
        <v/>
      </c>
      <c r="K14" s="27" t="s">
        <v>249</v>
      </c>
      <c r="L14" s="27" t="s">
        <v>473</v>
      </c>
    </row>
    <row r="15" customFormat="false" ht="15" hidden="false" customHeight="false" outlineLevel="0" collapsed="false">
      <c r="A15" s="27" t="s">
        <v>478</v>
      </c>
      <c r="B15" s="27"/>
      <c r="C15" s="27"/>
      <c r="D15" s="15" t="n">
        <v>7900</v>
      </c>
      <c r="E15" s="15"/>
      <c r="F15" s="10" t="n">
        <f aca="false">IF(ISNUMBER(D15),D15,IF(ISNUMBER(E15),E15/1.19,""))</f>
        <v>7900</v>
      </c>
      <c r="G15" s="27"/>
      <c r="H15" s="27"/>
      <c r="I15" s="10" t="str">
        <f aca="false">IF(AND(ISNUMBER(F15),N(G15)&gt;0),F15*G15,"")</f>
        <v/>
      </c>
      <c r="J15" s="33" t="str">
        <f aca="false">IF(N(G15)&gt;0,1/G15,"")</f>
        <v/>
      </c>
      <c r="K15" s="27" t="s">
        <v>249</v>
      </c>
      <c r="L15" s="27" t="s">
        <v>473</v>
      </c>
    </row>
    <row r="16" customFormat="false" ht="15" hidden="false" customHeight="false" outlineLevel="0" collapsed="false">
      <c r="A16" s="27" t="s">
        <v>479</v>
      </c>
      <c r="B16" s="27"/>
      <c r="C16" s="27"/>
      <c r="D16" s="15" t="n">
        <v>6800</v>
      </c>
      <c r="E16" s="15"/>
      <c r="F16" s="10" t="n">
        <f aca="false">IF(ISNUMBER(D16),D16,IF(ISNUMBER(E16),E16/1.19,""))</f>
        <v>6800</v>
      </c>
      <c r="G16" s="27"/>
      <c r="H16" s="27"/>
      <c r="I16" s="10" t="str">
        <f aca="false">IF(AND(ISNUMBER(F16),N(G16)&gt;0),F16*G16,"")</f>
        <v/>
      </c>
      <c r="J16" s="33" t="str">
        <f aca="false">IF(N(G16)&gt;0,1/G16,"")</f>
        <v/>
      </c>
      <c r="K16" s="27" t="s">
        <v>249</v>
      </c>
      <c r="L16" s="27" t="s">
        <v>473</v>
      </c>
    </row>
    <row r="17" customFormat="false" ht="15" hidden="false" customHeight="false" outlineLevel="0" collapsed="false">
      <c r="A17" s="27" t="s">
        <v>480</v>
      </c>
      <c r="B17" s="27"/>
      <c r="C17" s="27"/>
      <c r="D17" s="15" t="n">
        <v>5600</v>
      </c>
      <c r="E17" s="15"/>
      <c r="F17" s="10" t="n">
        <f aca="false">IF(ISNUMBER(D17),D17,IF(ISNUMBER(E17),E17/1.19,""))</f>
        <v>5600</v>
      </c>
      <c r="G17" s="27"/>
      <c r="H17" s="27"/>
      <c r="I17" s="10" t="str">
        <f aca="false">IF(AND(ISNUMBER(F17),N(G17)&gt;0),F17*G17,"")</f>
        <v/>
      </c>
      <c r="J17" s="33" t="str">
        <f aca="false">IF(N(G17)&gt;0,1/G17,"")</f>
        <v/>
      </c>
      <c r="K17" s="27" t="s">
        <v>249</v>
      </c>
      <c r="L17" s="27" t="s">
        <v>473</v>
      </c>
    </row>
    <row r="18" customFormat="false" ht="15" hidden="false" customHeight="false" outlineLevel="0" collapsed="false">
      <c r="A18" s="27" t="s">
        <v>481</v>
      </c>
      <c r="B18" s="27"/>
      <c r="C18" s="27"/>
      <c r="D18" s="15" t="n">
        <v>5800</v>
      </c>
      <c r="E18" s="15"/>
      <c r="F18" s="10" t="n">
        <f aca="false">IF(ISNUMBER(D18),D18,IF(ISNUMBER(E18),E18/1.19,""))</f>
        <v>5800</v>
      </c>
      <c r="G18" s="27"/>
      <c r="H18" s="27"/>
      <c r="I18" s="10" t="str">
        <f aca="false">IF(AND(ISNUMBER(F18),N(G18)&gt;0),F18*G18,"")</f>
        <v/>
      </c>
      <c r="J18" s="33" t="str">
        <f aca="false">IF(N(G18)&gt;0,1/G18,"")</f>
        <v/>
      </c>
      <c r="K18" s="27" t="s">
        <v>249</v>
      </c>
      <c r="L18" s="27" t="s">
        <v>473</v>
      </c>
    </row>
    <row r="19" customFormat="false" ht="15" hidden="false" customHeight="false" outlineLevel="0" collapsed="false">
      <c r="A19" s="27" t="s">
        <v>482</v>
      </c>
      <c r="B19" s="27"/>
      <c r="C19" s="27"/>
      <c r="D19" s="15" t="n">
        <v>7800</v>
      </c>
      <c r="E19" s="15"/>
      <c r="F19" s="10" t="n">
        <f aca="false">IF(ISNUMBER(D19),D19,IF(ISNUMBER(E19),E19/1.19,""))</f>
        <v>7800</v>
      </c>
      <c r="G19" s="27"/>
      <c r="H19" s="27"/>
      <c r="I19" s="10" t="str">
        <f aca="false">IF(AND(ISNUMBER(F19),N(G19)&gt;0),F19*G19,"")</f>
        <v/>
      </c>
      <c r="J19" s="33" t="str">
        <f aca="false">IF(N(G19)&gt;0,1/G19,"")</f>
        <v/>
      </c>
      <c r="K19" s="27" t="s">
        <v>249</v>
      </c>
      <c r="L19" s="27" t="s">
        <v>473</v>
      </c>
    </row>
    <row r="20" customFormat="false" ht="15" hidden="false" customHeight="false" outlineLevel="0" collapsed="false">
      <c r="A20" s="27" t="s">
        <v>483</v>
      </c>
      <c r="B20" s="27"/>
      <c r="C20" s="27"/>
      <c r="D20" s="15" t="n">
        <v>5600</v>
      </c>
      <c r="E20" s="15"/>
      <c r="F20" s="10" t="n">
        <f aca="false">IF(ISNUMBER(D20),D20,IF(ISNUMBER(E20),E20/1.19,""))</f>
        <v>5600</v>
      </c>
      <c r="G20" s="27"/>
      <c r="H20" s="27"/>
      <c r="I20" s="10" t="str">
        <f aca="false">IF(AND(ISNUMBER(F20),N(G20)&gt;0),F20*G20,"")</f>
        <v/>
      </c>
      <c r="J20" s="33" t="str">
        <f aca="false">IF(N(G20)&gt;0,1/G20,"")</f>
        <v/>
      </c>
      <c r="K20" s="27" t="s">
        <v>249</v>
      </c>
      <c r="L20" s="27" t="s">
        <v>473</v>
      </c>
    </row>
    <row r="21" customFormat="false" ht="15" hidden="false" customHeight="false" outlineLevel="0" collapsed="false">
      <c r="A21" s="27" t="s">
        <v>484</v>
      </c>
      <c r="B21" s="27"/>
      <c r="C21" s="27"/>
      <c r="D21" s="15" t="n">
        <v>5600</v>
      </c>
      <c r="E21" s="15"/>
      <c r="F21" s="10" t="n">
        <f aca="false">IF(ISNUMBER(D21),D21,IF(ISNUMBER(E21),E21/1.19,""))</f>
        <v>5600</v>
      </c>
      <c r="G21" s="27"/>
      <c r="H21" s="27"/>
      <c r="I21" s="10" t="str">
        <f aca="false">IF(AND(ISNUMBER(F21),N(G21)&gt;0),F21*G21,"")</f>
        <v/>
      </c>
      <c r="J21" s="33" t="str">
        <f aca="false">IF(N(G21)&gt;0,1/G21,"")</f>
        <v/>
      </c>
      <c r="K21" s="27" t="s">
        <v>249</v>
      </c>
      <c r="L21" s="27" t="s">
        <v>473</v>
      </c>
    </row>
    <row r="22" customFormat="false" ht="15" hidden="false" customHeight="false" outlineLevel="0" collapsed="false">
      <c r="A22" s="27" t="s">
        <v>485</v>
      </c>
      <c r="B22" s="27"/>
      <c r="C22" s="27"/>
      <c r="D22" s="15" t="n">
        <v>6200</v>
      </c>
      <c r="E22" s="15"/>
      <c r="F22" s="10" t="n">
        <f aca="false">IF(ISNUMBER(D22),D22,IF(ISNUMBER(E22),E22/1.19,""))</f>
        <v>6200</v>
      </c>
      <c r="G22" s="27"/>
      <c r="H22" s="27"/>
      <c r="I22" s="10" t="str">
        <f aca="false">IF(AND(ISNUMBER(F22),N(G22)&gt;0),F22*G22,"")</f>
        <v/>
      </c>
      <c r="J22" s="33" t="str">
        <f aca="false">IF(N(G22)&gt;0,1/G22,"")</f>
        <v/>
      </c>
      <c r="K22" s="27" t="s">
        <v>249</v>
      </c>
      <c r="L22" s="27" t="s">
        <v>473</v>
      </c>
    </row>
    <row r="23" customFormat="false" ht="15" hidden="false" customHeight="false" outlineLevel="0" collapsed="false">
      <c r="A23" s="27" t="s">
        <v>486</v>
      </c>
      <c r="B23" s="27"/>
      <c r="C23" s="27"/>
      <c r="D23" s="15" t="n">
        <v>2630</v>
      </c>
      <c r="E23" s="15"/>
      <c r="F23" s="10" t="n">
        <f aca="false">IF(ISNUMBER(D23),D23,IF(ISNUMBER(E23),E23/1.19,""))</f>
        <v>2630</v>
      </c>
      <c r="G23" s="27"/>
      <c r="H23" s="27"/>
      <c r="I23" s="10" t="str">
        <f aca="false">IF(AND(ISNUMBER(F23),N(G23)&gt;0),F23*G23,"")</f>
        <v/>
      </c>
      <c r="J23" s="33" t="str">
        <f aca="false">IF(N(G23)&gt;0,1/G23,"")</f>
        <v/>
      </c>
      <c r="K23" s="27" t="s">
        <v>249</v>
      </c>
      <c r="L23" s="27" t="s">
        <v>473</v>
      </c>
    </row>
    <row r="24" customFormat="false" ht="15" hidden="false" customHeight="false" outlineLevel="0" collapsed="false">
      <c r="A24" s="27" t="s">
        <v>202</v>
      </c>
      <c r="B24" s="27"/>
      <c r="C24" s="27"/>
      <c r="D24" s="15" t="n">
        <v>2750</v>
      </c>
      <c r="E24" s="15"/>
      <c r="F24" s="10" t="n">
        <f aca="false">IF(ISNUMBER(D24),D24,IF(ISNUMBER(E24),E24/1.19,""))</f>
        <v>2750</v>
      </c>
      <c r="G24" s="27"/>
      <c r="H24" s="27"/>
      <c r="I24" s="10" t="str">
        <f aca="false">IF(AND(ISNUMBER(F24),N(G24)&gt;0),F24*G24,"")</f>
        <v/>
      </c>
      <c r="J24" s="33" t="str">
        <f aca="false">IF(N(G24)&gt;0,1/G24,"")</f>
        <v/>
      </c>
      <c r="K24" s="27" t="s">
        <v>249</v>
      </c>
      <c r="L24" s="27" t="s">
        <v>473</v>
      </c>
    </row>
    <row r="25" customFormat="false" ht="15" hidden="false" customHeight="false" outlineLevel="0" collapsed="false">
      <c r="A25" s="27" t="s">
        <v>487</v>
      </c>
      <c r="B25" s="27"/>
      <c r="C25" s="27"/>
      <c r="D25" s="15" t="n">
        <v>2790</v>
      </c>
      <c r="E25" s="15"/>
      <c r="F25" s="10" t="n">
        <f aca="false">IF(ISNUMBER(D25),D25,IF(ISNUMBER(E25),E25/1.19,""))</f>
        <v>2790</v>
      </c>
      <c r="G25" s="27"/>
      <c r="H25" s="27"/>
      <c r="I25" s="10" t="str">
        <f aca="false">IF(AND(ISNUMBER(F25),N(G25)&gt;0),F25*G25,"")</f>
        <v/>
      </c>
      <c r="J25" s="33" t="str">
        <f aca="false">IF(N(G25)&gt;0,1/G25,"")</f>
        <v/>
      </c>
      <c r="K25" s="27" t="s">
        <v>249</v>
      </c>
      <c r="L25" s="27" t="s">
        <v>473</v>
      </c>
    </row>
    <row r="26" customFormat="false" ht="15" hidden="false" customHeight="false" outlineLevel="0" collapsed="false">
      <c r="A26" s="27" t="s">
        <v>488</v>
      </c>
      <c r="B26" s="27"/>
      <c r="C26" s="27"/>
      <c r="D26" s="15" t="n">
        <v>2390</v>
      </c>
      <c r="E26" s="15"/>
      <c r="F26" s="10" t="n">
        <f aca="false">IF(ISNUMBER(D26),D26,IF(ISNUMBER(E26),E26/1.19,""))</f>
        <v>2390</v>
      </c>
      <c r="G26" s="27"/>
      <c r="H26" s="27"/>
      <c r="I26" s="10" t="str">
        <f aca="false">IF(AND(ISNUMBER(F26),N(G26)&gt;0),F26*G26,"")</f>
        <v/>
      </c>
      <c r="J26" s="33" t="str">
        <f aca="false">IF(N(G26)&gt;0,1/G26,"")</f>
        <v/>
      </c>
      <c r="K26" s="27" t="s">
        <v>249</v>
      </c>
      <c r="L26" s="27" t="s">
        <v>473</v>
      </c>
    </row>
    <row r="27" customFormat="false" ht="15" hidden="false" customHeight="false" outlineLevel="0" collapsed="false">
      <c r="A27" s="27" t="s">
        <v>489</v>
      </c>
      <c r="B27" s="27"/>
      <c r="C27" s="27"/>
      <c r="D27" s="15" t="n">
        <v>2380</v>
      </c>
      <c r="E27" s="15"/>
      <c r="F27" s="10" t="n">
        <f aca="false">IF(ISNUMBER(D27),D27,IF(ISNUMBER(E27),E27/1.19,""))</f>
        <v>2380</v>
      </c>
      <c r="G27" s="27"/>
      <c r="H27" s="27"/>
      <c r="I27" s="10" t="str">
        <f aca="false">IF(AND(ISNUMBER(F27),N(G27)&gt;0),F27*G27,"")</f>
        <v/>
      </c>
      <c r="J27" s="33" t="str">
        <f aca="false">IF(N(G27)&gt;0,1/G27,"")</f>
        <v/>
      </c>
      <c r="K27" s="27" t="s">
        <v>249</v>
      </c>
      <c r="L27" s="27" t="s">
        <v>473</v>
      </c>
    </row>
    <row r="28" customFormat="false" ht="15" hidden="false" customHeight="false" outlineLevel="0" collapsed="false">
      <c r="A28" s="27" t="s">
        <v>490</v>
      </c>
      <c r="B28" s="27"/>
      <c r="C28" s="27"/>
      <c r="D28" s="15" t="n">
        <v>5900</v>
      </c>
      <c r="E28" s="15"/>
      <c r="F28" s="10" t="n">
        <f aca="false">IF(ISNUMBER(D28),D28,IF(ISNUMBER(E28),E28/1.19,""))</f>
        <v>5900</v>
      </c>
      <c r="G28" s="27"/>
      <c r="H28" s="27"/>
      <c r="I28" s="10" t="str">
        <f aca="false">IF(AND(ISNUMBER(F28),N(G28)&gt;0),F28*G28,"")</f>
        <v/>
      </c>
      <c r="J28" s="33" t="str">
        <f aca="false">IF(N(G28)&gt;0,1/G28,"")</f>
        <v/>
      </c>
      <c r="K28" s="27" t="s">
        <v>249</v>
      </c>
      <c r="L28" s="27" t="s">
        <v>473</v>
      </c>
    </row>
    <row r="29" customFormat="false" ht="15" hidden="false" customHeight="false" outlineLevel="0" collapsed="false">
      <c r="A29" s="27" t="s">
        <v>491</v>
      </c>
      <c r="B29" s="27"/>
      <c r="C29" s="27"/>
      <c r="D29" s="15" t="n">
        <v>4300</v>
      </c>
      <c r="E29" s="15"/>
      <c r="F29" s="10" t="n">
        <f aca="false">IF(ISNUMBER(D29),D29,IF(ISNUMBER(E29),E29/1.19,""))</f>
        <v>4300</v>
      </c>
      <c r="G29" s="27"/>
      <c r="H29" s="27"/>
      <c r="I29" s="10" t="str">
        <f aca="false">IF(AND(ISNUMBER(F29),N(G29)&gt;0),F29*G29,"")</f>
        <v/>
      </c>
      <c r="J29" s="33" t="str">
        <f aca="false">IF(N(G29)&gt;0,1/G29,"")</f>
        <v/>
      </c>
      <c r="K29" s="27" t="s">
        <v>249</v>
      </c>
      <c r="L29" s="27" t="s">
        <v>473</v>
      </c>
    </row>
    <row r="30" customFormat="false" ht="15" hidden="false" customHeight="false" outlineLevel="0" collapsed="false">
      <c r="A30" s="27" t="s">
        <v>150</v>
      </c>
      <c r="B30" s="27"/>
      <c r="C30" s="27"/>
      <c r="D30" s="15" t="n">
        <v>6996</v>
      </c>
      <c r="E30" s="15"/>
      <c r="F30" s="10" t="n">
        <f aca="false">IF(ISNUMBER(D30),D30,IF(ISNUMBER(E30),E30/1.19,""))</f>
        <v>6996</v>
      </c>
      <c r="G30" s="27"/>
      <c r="H30" s="27"/>
      <c r="I30" s="10" t="str">
        <f aca="false">IF(AND(ISNUMBER(F30),N(G30)&gt;0),F30*G30,"")</f>
        <v/>
      </c>
      <c r="J30" s="33" t="str">
        <f aca="false">IF(N(G30)&gt;0,1/G30,"")</f>
        <v/>
      </c>
      <c r="K30" s="27" t="s">
        <v>249</v>
      </c>
      <c r="L30" s="27" t="s">
        <v>473</v>
      </c>
    </row>
    <row r="31" customFormat="false" ht="15" hidden="false" customHeight="false" outlineLevel="0" collapsed="false">
      <c r="A31" s="27" t="s">
        <v>492</v>
      </c>
      <c r="B31" s="27"/>
      <c r="C31" s="27"/>
      <c r="D31" s="15" t="n">
        <v>2302</v>
      </c>
      <c r="E31" s="15"/>
      <c r="F31" s="10" t="n">
        <f aca="false">IF(ISNUMBER(D31),D31,IF(ISNUMBER(E31),E31/1.19,""))</f>
        <v>2302</v>
      </c>
      <c r="G31" s="27"/>
      <c r="H31" s="27"/>
      <c r="I31" s="10" t="str">
        <f aca="false">IF(AND(ISNUMBER(F31),N(G31)&gt;0),F31*G31,"")</f>
        <v/>
      </c>
      <c r="J31" s="33" t="str">
        <f aca="false">IF(N(G31)&gt;0,1/G31,"")</f>
        <v/>
      </c>
      <c r="K31" s="27" t="s">
        <v>249</v>
      </c>
      <c r="L31" s="27" t="s">
        <v>473</v>
      </c>
    </row>
    <row r="32" customFormat="false" ht="15" hidden="false" customHeight="false" outlineLevel="0" collapsed="false">
      <c r="A32" s="27" t="s">
        <v>208</v>
      </c>
      <c r="B32" s="27" t="s">
        <v>470</v>
      </c>
      <c r="C32" s="27"/>
      <c r="D32" s="15" t="n">
        <v>4244</v>
      </c>
      <c r="E32" s="15"/>
      <c r="F32" s="10" t="n">
        <f aca="false">IF(ISNUMBER(D32),D32,IF(ISNUMBER(E32),E32/1.19,""))</f>
        <v>4244</v>
      </c>
      <c r="G32" s="27" t="n">
        <v>0.198</v>
      </c>
      <c r="H32" s="27"/>
      <c r="I32" s="10" t="n">
        <f aca="false">IF(AND(ISNUMBER(F32),N(G32)&gt;0),F32*G32,"")</f>
        <v>840.312</v>
      </c>
      <c r="J32" s="33" t="n">
        <f aca="false">IF(N(G32)&gt;0,1/G32,"")</f>
        <v>5.05050505050505</v>
      </c>
      <c r="K32" s="27" t="s">
        <v>249</v>
      </c>
      <c r="L32" s="27" t="s">
        <v>493</v>
      </c>
    </row>
    <row r="33" customFormat="false" ht="15" hidden="false" customHeight="false" outlineLevel="0" collapsed="false">
      <c r="A33" s="27" t="s">
        <v>235</v>
      </c>
      <c r="B33" s="27"/>
      <c r="C33" s="27"/>
      <c r="D33" s="15" t="n">
        <v>4408</v>
      </c>
      <c r="E33" s="15"/>
      <c r="F33" s="10" t="n">
        <f aca="false">IF(ISNUMBER(D33),D33,IF(ISNUMBER(E33),E33/1.19,""))</f>
        <v>4408</v>
      </c>
      <c r="G33" s="27" t="n">
        <v>0.233</v>
      </c>
      <c r="H33" s="27"/>
      <c r="I33" s="10" t="n">
        <f aca="false">IF(AND(ISNUMBER(F33),N(G33)&gt;0),F33*G33,"")</f>
        <v>1027.064</v>
      </c>
      <c r="J33" s="33" t="n">
        <f aca="false">IF(N(G33)&gt;0,1/G33,"")</f>
        <v>4.29184549356223</v>
      </c>
      <c r="K33" s="27" t="s">
        <v>249</v>
      </c>
      <c r="L33" s="27" t="s">
        <v>494</v>
      </c>
    </row>
    <row r="34" customFormat="false" ht="15" hidden="false" customHeight="false" outlineLevel="0" collapsed="false">
      <c r="A34" s="27" t="s">
        <v>495</v>
      </c>
      <c r="B34" s="27"/>
      <c r="C34" s="27"/>
      <c r="D34" s="15" t="n">
        <v>4408</v>
      </c>
      <c r="E34" s="15"/>
      <c r="F34" s="10" t="n">
        <f aca="false">IF(ISNUMBER(D34),D34,IF(ISNUMBER(E34),E34/1.19,""))</f>
        <v>4408</v>
      </c>
      <c r="G34" s="27" t="n">
        <v>0.254</v>
      </c>
      <c r="H34" s="27"/>
      <c r="I34" s="10" t="n">
        <f aca="false">IF(AND(ISNUMBER(F34),N(G34)&gt;0),F34*G34,"")</f>
        <v>1119.632</v>
      </c>
      <c r="J34" s="33" t="n">
        <f aca="false">IF(N(G34)&gt;0,1/G34,"")</f>
        <v>3.93700787401575</v>
      </c>
      <c r="K34" s="27" t="s">
        <v>249</v>
      </c>
      <c r="L34" s="27" t="s">
        <v>496</v>
      </c>
    </row>
    <row r="35" customFormat="false" ht="15" hidden="false" customHeight="false" outlineLevel="0" collapsed="false">
      <c r="A35" s="27" t="s">
        <v>214</v>
      </c>
      <c r="B35" s="27"/>
      <c r="C35" s="27"/>
      <c r="D35" s="15"/>
      <c r="E35" s="15"/>
      <c r="F35" s="10" t="str">
        <f aca="false">IF(ISNUMBER(D35),D35,IF(ISNUMBER(E35),E35/1.19,""))</f>
        <v/>
      </c>
      <c r="G35" s="27"/>
      <c r="H35" s="27"/>
      <c r="I35" s="10" t="str">
        <f aca="false">IF(AND(ISNUMBER(F35),N(G35)&gt;0),F35*G35,"")</f>
        <v/>
      </c>
      <c r="J35" s="33" t="str">
        <f aca="false">IF(N(G35)&gt;0,1/G35,"")</f>
        <v/>
      </c>
      <c r="K35" s="27" t="s">
        <v>497</v>
      </c>
      <c r="L35" s="27" t="s">
        <v>473</v>
      </c>
    </row>
    <row r="36" customFormat="false" ht="15" hidden="false" customHeight="false" outlineLevel="0" collapsed="false">
      <c r="A36" s="27" t="s">
        <v>498</v>
      </c>
      <c r="B36" s="27"/>
      <c r="C36" s="27"/>
      <c r="D36" s="15" t="n">
        <v>6400</v>
      </c>
      <c r="E36" s="15"/>
      <c r="F36" s="10" t="n">
        <f aca="false">IF(ISNUMBER(D36),D36,IF(ISNUMBER(E36),E36/1.19,""))</f>
        <v>6400</v>
      </c>
      <c r="G36" s="27"/>
      <c r="H36" s="27"/>
      <c r="I36" s="10" t="str">
        <f aca="false">IF(AND(ISNUMBER(F36),N(G36)&gt;0),F36*G36,"")</f>
        <v/>
      </c>
      <c r="J36" s="33" t="str">
        <f aca="false">IF(N(G36)&gt;0,1/G36,"")</f>
        <v/>
      </c>
      <c r="K36" s="27" t="s">
        <v>249</v>
      </c>
      <c r="L36" s="27" t="s">
        <v>499</v>
      </c>
    </row>
    <row r="37" customFormat="false" ht="15" hidden="false" customHeight="false" outlineLevel="0" collapsed="false">
      <c r="A37" s="27" t="s">
        <v>500</v>
      </c>
      <c r="B37" s="27"/>
      <c r="C37" s="27"/>
      <c r="D37" s="15" t="n">
        <v>2975</v>
      </c>
      <c r="E37" s="15"/>
      <c r="F37" s="10" t="n">
        <f aca="false">IF(ISNUMBER(D37),D37,IF(ISNUMBER(E37),E37/1.19,""))</f>
        <v>2975</v>
      </c>
      <c r="G37" s="27"/>
      <c r="H37" s="27"/>
      <c r="I37" s="10" t="str">
        <f aca="false">IF(AND(ISNUMBER(F37),N(G37)&gt;0),F37*G37,"")</f>
        <v/>
      </c>
      <c r="J37" s="33" t="str">
        <f aca="false">IF(N(G37)&gt;0,1/G37,"")</f>
        <v/>
      </c>
      <c r="K37" s="27" t="s">
        <v>249</v>
      </c>
      <c r="L37" s="27" t="s">
        <v>499</v>
      </c>
    </row>
    <row r="38" customFormat="false" ht="15" hidden="false" customHeight="false" outlineLevel="0" collapsed="false">
      <c r="A38" s="27" t="s">
        <v>501</v>
      </c>
      <c r="B38" s="27"/>
      <c r="C38" s="27"/>
      <c r="D38" s="15" t="n">
        <v>8590</v>
      </c>
      <c r="E38" s="15"/>
      <c r="F38" s="10" t="n">
        <f aca="false">IF(ISNUMBER(D38),D38,IF(ISNUMBER(E38),E38/1.19,""))</f>
        <v>8590</v>
      </c>
      <c r="G38" s="27"/>
      <c r="H38" s="27"/>
      <c r="I38" s="10" t="str">
        <f aca="false">IF(AND(ISNUMBER(F38),N(G38)&gt;0),F38*G38,"")</f>
        <v/>
      </c>
      <c r="J38" s="33" t="str">
        <f aca="false">IF(N(G38)&gt;0,1/G38,"")</f>
        <v/>
      </c>
      <c r="K38" s="27" t="s">
        <v>249</v>
      </c>
      <c r="L38" s="27" t="s">
        <v>499</v>
      </c>
    </row>
    <row r="39" customFormat="false" ht="15" hidden="false" customHeight="false" outlineLevel="0" collapsed="false">
      <c r="A39" s="27"/>
      <c r="B39" s="27"/>
      <c r="C39" s="27"/>
      <c r="D39" s="15"/>
      <c r="E39" s="15"/>
      <c r="F39" s="10" t="str">
        <f aca="false">IF(ISNUMBER(D39),D39,IF(ISNUMBER(E39),E39/1.19,""))</f>
        <v/>
      </c>
      <c r="G39" s="27"/>
      <c r="H39" s="27"/>
      <c r="I39" s="10" t="str">
        <f aca="false">IF(AND(ISNUMBER(F39),N(G39)&gt;0),F39*G39,"")</f>
        <v/>
      </c>
      <c r="J39" s="33" t="str">
        <f aca="false">IF(N(G39)&gt;0,1/G39,"")</f>
        <v/>
      </c>
      <c r="K39" s="27"/>
      <c r="L39" s="27"/>
    </row>
    <row r="40" customFormat="false" ht="15" hidden="false" customHeight="false" outlineLevel="0" collapsed="false">
      <c r="A40" s="27"/>
      <c r="B40" s="27"/>
      <c r="C40" s="27"/>
      <c r="D40" s="15"/>
      <c r="E40" s="15"/>
      <c r="F40" s="10" t="str">
        <f aca="false">IF(ISNUMBER(D40),D40,IF(ISNUMBER(E40),E40/1.19,""))</f>
        <v/>
      </c>
      <c r="G40" s="27"/>
      <c r="H40" s="27"/>
      <c r="I40" s="10" t="str">
        <f aca="false">IF(AND(ISNUMBER(F40),N(G40)&gt;0),F40*G40,"")</f>
        <v/>
      </c>
      <c r="J40" s="33" t="str">
        <f aca="false">IF(N(G40)&gt;0,1/G40,"")</f>
        <v/>
      </c>
      <c r="K40" s="27"/>
      <c r="L40" s="27"/>
    </row>
    <row r="41" customFormat="false" ht="15" hidden="false" customHeight="false" outlineLevel="0" collapsed="false">
      <c r="A41" s="27"/>
      <c r="B41" s="27"/>
      <c r="C41" s="27"/>
      <c r="D41" s="15"/>
      <c r="E41" s="15"/>
      <c r="F41" s="10" t="str">
        <f aca="false">IF(ISNUMBER(D41),D41,IF(ISNUMBER(E41),E41/1.19,""))</f>
        <v/>
      </c>
      <c r="G41" s="27"/>
      <c r="H41" s="27"/>
      <c r="I41" s="10" t="str">
        <f aca="false">IF(AND(ISNUMBER(F41),N(G41)&gt;0),F41*G41,"")</f>
        <v/>
      </c>
      <c r="J41" s="33" t="str">
        <f aca="false">IF(N(G41)&gt;0,1/G41,"")</f>
        <v/>
      </c>
      <c r="K41" s="27"/>
      <c r="L41" s="27"/>
    </row>
    <row r="42" customFormat="false" ht="15" hidden="false" customHeight="false" outlineLevel="0" collapsed="false">
      <c r="A42" s="27"/>
      <c r="B42" s="27"/>
      <c r="C42" s="27"/>
      <c r="D42" s="15"/>
      <c r="E42" s="15"/>
      <c r="F42" s="10" t="str">
        <f aca="false">IF(ISNUMBER(D42),D42,IF(ISNUMBER(E42),E42/1.19,""))</f>
        <v/>
      </c>
      <c r="G42" s="27"/>
      <c r="H42" s="27"/>
      <c r="I42" s="10" t="str">
        <f aca="false">IF(AND(ISNUMBER(F42),N(G42)&gt;0),F42*G42,"")</f>
        <v/>
      </c>
      <c r="J42" s="33" t="str">
        <f aca="false">IF(N(G42)&gt;0,1/G42,"")</f>
        <v/>
      </c>
      <c r="K42" s="27"/>
      <c r="L42" s="27"/>
    </row>
    <row r="43" customFormat="false" ht="15" hidden="false" customHeight="false" outlineLevel="0" collapsed="false">
      <c r="A43" s="27"/>
      <c r="B43" s="27"/>
      <c r="C43" s="27"/>
      <c r="D43" s="15"/>
      <c r="E43" s="15"/>
      <c r="F43" s="10" t="str">
        <f aca="false">IF(ISNUMBER(D43),D43,IF(ISNUMBER(E43),E43/1.19,""))</f>
        <v/>
      </c>
      <c r="G43" s="27"/>
      <c r="H43" s="27"/>
      <c r="I43" s="10" t="str">
        <f aca="false">IF(AND(ISNUMBER(F43),N(G43)&gt;0),F43*G43,"")</f>
        <v/>
      </c>
      <c r="J43" s="33" t="str">
        <f aca="false">IF(N(G43)&gt;0,1/G43,"")</f>
        <v/>
      </c>
      <c r="K43" s="27"/>
      <c r="L43" s="27"/>
    </row>
    <row r="44" customFormat="false" ht="15" hidden="false" customHeight="false" outlineLevel="0" collapsed="false">
      <c r="A44" s="27"/>
      <c r="B44" s="27"/>
      <c r="C44" s="27"/>
      <c r="D44" s="15"/>
      <c r="E44" s="15"/>
      <c r="F44" s="10" t="str">
        <f aca="false">IF(ISNUMBER(D44),D44,IF(ISNUMBER(E44),E44/1.19,""))</f>
        <v/>
      </c>
      <c r="G44" s="27"/>
      <c r="H44" s="27"/>
      <c r="I44" s="10" t="str">
        <f aca="false">IF(AND(ISNUMBER(F44),N(G44)&gt;0),F44*G44,"")</f>
        <v/>
      </c>
      <c r="J44" s="33" t="str">
        <f aca="false">IF(N(G44)&gt;0,1/G44,"")</f>
        <v/>
      </c>
      <c r="K44" s="27"/>
      <c r="L44" s="27"/>
    </row>
    <row r="45" customFormat="false" ht="15" hidden="false" customHeight="false" outlineLevel="0" collapsed="false">
      <c r="A45" s="27"/>
      <c r="B45" s="27"/>
      <c r="C45" s="27"/>
      <c r="D45" s="15"/>
      <c r="E45" s="15"/>
      <c r="F45" s="10" t="str">
        <f aca="false">IF(ISNUMBER(D45),D45,IF(ISNUMBER(E45),E45/1.19,""))</f>
        <v/>
      </c>
      <c r="G45" s="27"/>
      <c r="H45" s="27"/>
      <c r="I45" s="10" t="str">
        <f aca="false">IF(AND(ISNUMBER(F45),N(G45)&gt;0),F45*G45,"")</f>
        <v/>
      </c>
      <c r="J45" s="33" t="str">
        <f aca="false">IF(N(G45)&gt;0,1/G45,"")</f>
        <v/>
      </c>
      <c r="K45" s="27"/>
      <c r="L45" s="27"/>
    </row>
    <row r="46" customFormat="false" ht="15" hidden="false" customHeight="false" outlineLevel="0" collapsed="false">
      <c r="A46" s="27"/>
      <c r="B46" s="27"/>
      <c r="C46" s="27"/>
      <c r="D46" s="15"/>
      <c r="E46" s="15"/>
      <c r="F46" s="10" t="str">
        <f aca="false">IF(ISNUMBER(D46),D46,IF(ISNUMBER(E46),E46/1.19,""))</f>
        <v/>
      </c>
      <c r="G46" s="27"/>
      <c r="H46" s="27"/>
      <c r="I46" s="10" t="str">
        <f aca="false">IF(AND(ISNUMBER(F46),N(G46)&gt;0),F46*G46,"")</f>
        <v/>
      </c>
      <c r="J46" s="33" t="str">
        <f aca="false">IF(N(G46)&gt;0,1/G46,"")</f>
        <v/>
      </c>
      <c r="K46" s="27"/>
      <c r="L46" s="27"/>
    </row>
    <row r="47" customFormat="false" ht="15" hidden="false" customHeight="false" outlineLevel="0" collapsed="false">
      <c r="A47" s="27"/>
      <c r="B47" s="27"/>
      <c r="C47" s="27"/>
      <c r="D47" s="15"/>
      <c r="E47" s="15"/>
      <c r="F47" s="10" t="str">
        <f aca="false">IF(ISNUMBER(D47),D47,IF(ISNUMBER(E47),E47/1.19,""))</f>
        <v/>
      </c>
      <c r="G47" s="27"/>
      <c r="H47" s="27"/>
      <c r="I47" s="10" t="str">
        <f aca="false">IF(AND(ISNUMBER(F47),N(G47)&gt;0),F47*G47,"")</f>
        <v/>
      </c>
      <c r="J47" s="33" t="str">
        <f aca="false">IF(N(G47)&gt;0,1/G47,"")</f>
        <v/>
      </c>
      <c r="K47" s="27"/>
      <c r="L47" s="27"/>
    </row>
    <row r="48" customFormat="false" ht="15" hidden="false" customHeight="false" outlineLevel="0" collapsed="false">
      <c r="A48" s="27"/>
      <c r="B48" s="27"/>
      <c r="C48" s="27"/>
      <c r="D48" s="15"/>
      <c r="E48" s="15"/>
      <c r="F48" s="10" t="str">
        <f aca="false">IF(ISNUMBER(D48),D48,IF(ISNUMBER(E48),E48/1.19,""))</f>
        <v/>
      </c>
      <c r="G48" s="27"/>
      <c r="H48" s="27"/>
      <c r="I48" s="10" t="str">
        <f aca="false">IF(AND(ISNUMBER(F48),N(G48)&gt;0),F48*G48,"")</f>
        <v/>
      </c>
      <c r="J48" s="33" t="str">
        <f aca="false">IF(N(G48)&gt;0,1/G48,"")</f>
        <v/>
      </c>
      <c r="K48" s="27"/>
      <c r="L48" s="27"/>
    </row>
    <row r="49" customFormat="false" ht="15" hidden="false" customHeight="false" outlineLevel="0" collapsed="false">
      <c r="A49" s="27"/>
      <c r="B49" s="27"/>
      <c r="C49" s="27"/>
      <c r="D49" s="15"/>
      <c r="E49" s="15"/>
      <c r="F49" s="10" t="str">
        <f aca="false">IF(ISNUMBER(D49),D49,IF(ISNUMBER(E49),E49/1.19,""))</f>
        <v/>
      </c>
      <c r="G49" s="27"/>
      <c r="H49" s="27"/>
      <c r="I49" s="10" t="str">
        <f aca="false">IF(AND(ISNUMBER(F49),N(G49)&gt;0),F49*G49,"")</f>
        <v/>
      </c>
      <c r="J49" s="33" t="str">
        <f aca="false">IF(N(G49)&gt;0,1/G49,"")</f>
        <v/>
      </c>
      <c r="K49" s="27"/>
      <c r="L49" s="27"/>
    </row>
    <row r="50" customFormat="false" ht="15" hidden="false" customHeight="false" outlineLevel="0" collapsed="false">
      <c r="A50" s="27"/>
      <c r="B50" s="27"/>
      <c r="C50" s="27"/>
      <c r="D50" s="15"/>
      <c r="E50" s="15"/>
      <c r="F50" s="10" t="str">
        <f aca="false">IF(ISNUMBER(D50),D50,IF(ISNUMBER(E50),E50/1.19,""))</f>
        <v/>
      </c>
      <c r="G50" s="27"/>
      <c r="H50" s="27"/>
      <c r="I50" s="10" t="str">
        <f aca="false">IF(AND(ISNUMBER(F50),N(G50)&gt;0),F50*G50,"")</f>
        <v/>
      </c>
      <c r="J50" s="33" t="str">
        <f aca="false">IF(N(G50)&gt;0,1/G50,"")</f>
        <v/>
      </c>
      <c r="K50" s="27"/>
      <c r="L50" s="27"/>
    </row>
    <row r="51" customFormat="false" ht="15" hidden="false" customHeight="false" outlineLevel="0" collapsed="false">
      <c r="A51" s="27"/>
      <c r="B51" s="27"/>
      <c r="C51" s="27"/>
      <c r="D51" s="15"/>
      <c r="E51" s="15"/>
      <c r="F51" s="10" t="str">
        <f aca="false">IF(ISNUMBER(D51),D51,IF(ISNUMBER(E51),E51/1.19,""))</f>
        <v/>
      </c>
      <c r="G51" s="27"/>
      <c r="H51" s="27"/>
      <c r="I51" s="10" t="str">
        <f aca="false">IF(AND(ISNUMBER(F51),N(G51)&gt;0),F51*G51,"")</f>
        <v/>
      </c>
      <c r="J51" s="33" t="str">
        <f aca="false">IF(N(G51)&gt;0,1/G51,"")</f>
        <v/>
      </c>
      <c r="K51" s="27"/>
      <c r="L51" s="27"/>
    </row>
    <row r="52" customFormat="false" ht="15" hidden="false" customHeight="false" outlineLevel="0" collapsed="false">
      <c r="A52" s="27"/>
      <c r="B52" s="27"/>
      <c r="C52" s="27"/>
      <c r="D52" s="15"/>
      <c r="E52" s="15"/>
      <c r="F52" s="10" t="str">
        <f aca="false">IF(ISNUMBER(D52),D52,IF(ISNUMBER(E52),E52/1.19,""))</f>
        <v/>
      </c>
      <c r="G52" s="27"/>
      <c r="H52" s="27"/>
      <c r="I52" s="10" t="str">
        <f aca="false">IF(AND(ISNUMBER(F52),N(G52)&gt;0),F52*G52,"")</f>
        <v/>
      </c>
      <c r="J52" s="33" t="str">
        <f aca="false">IF(N(G52)&gt;0,1/G52,"")</f>
        <v/>
      </c>
      <c r="K52" s="27"/>
      <c r="L52" s="27"/>
    </row>
    <row r="53" customFormat="false" ht="15" hidden="false" customHeight="false" outlineLevel="0" collapsed="false">
      <c r="A53" s="27"/>
      <c r="B53" s="27"/>
      <c r="C53" s="27"/>
      <c r="D53" s="15"/>
      <c r="E53" s="15"/>
      <c r="F53" s="10" t="str">
        <f aca="false">IF(ISNUMBER(D53),D53,IF(ISNUMBER(E53),E53/1.19,""))</f>
        <v/>
      </c>
      <c r="G53" s="27"/>
      <c r="H53" s="27"/>
      <c r="I53" s="10" t="str">
        <f aca="false">IF(AND(ISNUMBER(F53),N(G53)&gt;0),F53*G53,"")</f>
        <v/>
      </c>
      <c r="J53" s="33" t="str">
        <f aca="false">IF(N(G53)&gt;0,1/G53,"")</f>
        <v/>
      </c>
      <c r="K53" s="27"/>
      <c r="L53" s="27"/>
    </row>
    <row r="54" customFormat="false" ht="15" hidden="false" customHeight="false" outlineLevel="0" collapsed="false">
      <c r="A54" s="27"/>
      <c r="B54" s="27"/>
      <c r="C54" s="27"/>
      <c r="D54" s="15"/>
      <c r="E54" s="15"/>
      <c r="F54" s="10" t="str">
        <f aca="false">IF(ISNUMBER(D54),D54,IF(ISNUMBER(E54),E54/1.19,""))</f>
        <v/>
      </c>
      <c r="G54" s="27"/>
      <c r="H54" s="27"/>
      <c r="I54" s="10" t="str">
        <f aca="false">IF(AND(ISNUMBER(F54),N(G54)&gt;0),F54*G54,"")</f>
        <v/>
      </c>
      <c r="J54" s="33" t="str">
        <f aca="false">IF(N(G54)&gt;0,1/G54,"")</f>
        <v/>
      </c>
      <c r="K54" s="27"/>
      <c r="L54" s="27"/>
    </row>
    <row r="55" customFormat="false" ht="15" hidden="false" customHeight="false" outlineLevel="0" collapsed="false">
      <c r="A55" s="27"/>
      <c r="B55" s="27"/>
      <c r="C55" s="27"/>
      <c r="D55" s="15"/>
      <c r="E55" s="15"/>
      <c r="F55" s="10" t="str">
        <f aca="false">IF(ISNUMBER(D55),D55,IF(ISNUMBER(E55),E55/1.19,""))</f>
        <v/>
      </c>
      <c r="G55" s="27"/>
      <c r="H55" s="27"/>
      <c r="I55" s="10" t="str">
        <f aca="false">IF(AND(ISNUMBER(F55),N(G55)&gt;0),F55*G55,"")</f>
        <v/>
      </c>
      <c r="J55" s="33" t="str">
        <f aca="false">IF(N(G55)&gt;0,1/G55,"")</f>
        <v/>
      </c>
      <c r="K55" s="27"/>
      <c r="L55" s="27"/>
    </row>
    <row r="56" customFormat="false" ht="15" hidden="false" customHeight="false" outlineLevel="0" collapsed="false">
      <c r="A56" s="27"/>
      <c r="B56" s="27"/>
      <c r="C56" s="27"/>
      <c r="D56" s="15"/>
      <c r="E56" s="15"/>
      <c r="F56" s="10" t="str">
        <f aca="false">IF(ISNUMBER(D56),D56,IF(ISNUMBER(E56),E56/1.19,""))</f>
        <v/>
      </c>
      <c r="G56" s="27"/>
      <c r="H56" s="27"/>
      <c r="I56" s="10" t="str">
        <f aca="false">IF(AND(ISNUMBER(F56),N(G56)&gt;0),F56*G56,"")</f>
        <v/>
      </c>
      <c r="J56" s="33" t="str">
        <f aca="false">IF(N(G56)&gt;0,1/G56,"")</f>
        <v/>
      </c>
      <c r="K56" s="27"/>
      <c r="L56" s="27"/>
    </row>
    <row r="57" customFormat="false" ht="15" hidden="false" customHeight="false" outlineLevel="0" collapsed="false">
      <c r="A57" s="27"/>
      <c r="B57" s="27"/>
      <c r="C57" s="27"/>
      <c r="D57" s="15"/>
      <c r="E57" s="15"/>
      <c r="F57" s="10" t="str">
        <f aca="false">IF(ISNUMBER(D57),D57,IF(ISNUMBER(E57),E57/1.19,""))</f>
        <v/>
      </c>
      <c r="G57" s="27"/>
      <c r="H57" s="27"/>
      <c r="I57" s="10" t="str">
        <f aca="false">IF(AND(ISNUMBER(F57),N(G57)&gt;0),F57*G57,"")</f>
        <v/>
      </c>
      <c r="J57" s="33" t="str">
        <f aca="false">IF(N(G57)&gt;0,1/G57,"")</f>
        <v/>
      </c>
      <c r="K57" s="27"/>
      <c r="L57" s="27"/>
    </row>
    <row r="58" customFormat="false" ht="15" hidden="false" customHeight="false" outlineLevel="0" collapsed="false">
      <c r="A58" s="27"/>
      <c r="B58" s="27"/>
      <c r="C58" s="27"/>
      <c r="D58" s="15"/>
      <c r="E58" s="15"/>
      <c r="F58" s="10" t="str">
        <f aca="false">IF(ISNUMBER(D58),D58,IF(ISNUMBER(E58),E58/1.19,""))</f>
        <v/>
      </c>
      <c r="G58" s="27"/>
      <c r="H58" s="27"/>
      <c r="I58" s="10" t="str">
        <f aca="false">IF(AND(ISNUMBER(F58),N(G58)&gt;0),F58*G58,"")</f>
        <v/>
      </c>
      <c r="J58" s="33" t="str">
        <f aca="false">IF(N(G58)&gt;0,1/G58,"")</f>
        <v/>
      </c>
      <c r="K58" s="27"/>
      <c r="L58" s="27"/>
    </row>
    <row r="59" customFormat="false" ht="15" hidden="false" customHeight="false" outlineLevel="0" collapsed="false">
      <c r="A59" s="27"/>
      <c r="B59" s="27"/>
      <c r="C59" s="27"/>
      <c r="D59" s="15"/>
      <c r="E59" s="15"/>
      <c r="F59" s="10" t="str">
        <f aca="false">IF(ISNUMBER(D59),D59,IF(ISNUMBER(E59),E59/1.19,""))</f>
        <v/>
      </c>
      <c r="G59" s="27"/>
      <c r="H59" s="27"/>
      <c r="I59" s="10" t="str">
        <f aca="false">IF(AND(ISNUMBER(F59),N(G59)&gt;0),F59*G59,"")</f>
        <v/>
      </c>
      <c r="J59" s="33" t="str">
        <f aca="false">IF(N(G59)&gt;0,1/G59,"")</f>
        <v/>
      </c>
      <c r="K59" s="27"/>
      <c r="L59" s="27"/>
    </row>
    <row r="60" customFormat="false" ht="15" hidden="false" customHeight="false" outlineLevel="0" collapsed="false">
      <c r="A60" s="27"/>
      <c r="B60" s="27"/>
      <c r="C60" s="27"/>
      <c r="D60" s="15"/>
      <c r="E60" s="15"/>
      <c r="F60" s="10" t="str">
        <f aca="false">IF(ISNUMBER(D60),D60,IF(ISNUMBER(E60),E60/1.19,""))</f>
        <v/>
      </c>
      <c r="G60" s="27"/>
      <c r="H60" s="27"/>
      <c r="I60" s="10" t="str">
        <f aca="false">IF(AND(ISNUMBER(F60),N(G60)&gt;0),F60*G60,"")</f>
        <v/>
      </c>
      <c r="J60" s="33" t="str">
        <f aca="false">IF(N(G60)&gt;0,1/G60,"")</f>
        <v/>
      </c>
      <c r="K60" s="27"/>
      <c r="L60" s="27"/>
    </row>
    <row r="61" customFormat="false" ht="15" hidden="false" customHeight="false" outlineLevel="0" collapsed="false">
      <c r="A61" s="27"/>
      <c r="B61" s="27"/>
      <c r="C61" s="27"/>
      <c r="D61" s="15"/>
      <c r="E61" s="15"/>
      <c r="F61" s="10" t="str">
        <f aca="false">IF(ISNUMBER(D61),D61,IF(ISNUMBER(E61),E61/1.19,""))</f>
        <v/>
      </c>
      <c r="G61" s="27"/>
      <c r="H61" s="27"/>
      <c r="I61" s="10" t="str">
        <f aca="false">IF(AND(ISNUMBER(F61),N(G61)&gt;0),F61*G61,"")</f>
        <v/>
      </c>
      <c r="J61" s="33" t="str">
        <f aca="false">IF(N(G61)&gt;0,1/G61,"")</f>
        <v/>
      </c>
      <c r="K61" s="27"/>
      <c r="L61" s="27"/>
    </row>
    <row r="62" customFormat="false" ht="15" hidden="false" customHeight="false" outlineLevel="0" collapsed="false">
      <c r="A62" s="27"/>
      <c r="B62" s="27"/>
      <c r="C62" s="27"/>
      <c r="D62" s="15"/>
      <c r="E62" s="15"/>
      <c r="F62" s="10" t="str">
        <f aca="false">IF(ISNUMBER(D62),D62,IF(ISNUMBER(E62),E62/1.19,""))</f>
        <v/>
      </c>
      <c r="G62" s="27"/>
      <c r="H62" s="27"/>
      <c r="I62" s="10" t="str">
        <f aca="false">IF(AND(ISNUMBER(F62),N(G62)&gt;0),F62*G62,"")</f>
        <v/>
      </c>
      <c r="J62" s="33" t="str">
        <f aca="false">IF(N(G62)&gt;0,1/G62,"")</f>
        <v/>
      </c>
      <c r="K62" s="27"/>
      <c r="L62" s="27"/>
    </row>
    <row r="63" customFormat="false" ht="15" hidden="false" customHeight="false" outlineLevel="0" collapsed="false">
      <c r="A63" s="27"/>
      <c r="B63" s="27"/>
      <c r="C63" s="27"/>
      <c r="D63" s="15"/>
      <c r="E63" s="15"/>
      <c r="F63" s="10" t="str">
        <f aca="false">IF(ISNUMBER(D63),D63,IF(ISNUMBER(E63),E63/1.19,""))</f>
        <v/>
      </c>
      <c r="G63" s="27"/>
      <c r="H63" s="27"/>
      <c r="I63" s="10" t="str">
        <f aca="false">IF(AND(ISNUMBER(F63),N(G63)&gt;0),F63*G63,"")</f>
        <v/>
      </c>
      <c r="J63" s="33" t="str">
        <f aca="false">IF(N(G63)&gt;0,1/G63,"")</f>
        <v/>
      </c>
      <c r="K63" s="27"/>
      <c r="L63" s="27"/>
    </row>
    <row r="64" customFormat="false" ht="15" hidden="false" customHeight="false" outlineLevel="0" collapsed="false">
      <c r="A64" s="27"/>
      <c r="B64" s="27"/>
      <c r="C64" s="27"/>
      <c r="D64" s="15"/>
      <c r="E64" s="15"/>
      <c r="F64" s="10" t="str">
        <f aca="false">IF(ISNUMBER(D64),D64,IF(ISNUMBER(E64),E64/1.19,""))</f>
        <v/>
      </c>
      <c r="G64" s="27"/>
      <c r="H64" s="27"/>
      <c r="I64" s="10" t="str">
        <f aca="false">IF(AND(ISNUMBER(F64),N(G64)&gt;0),F64*G64,"")</f>
        <v/>
      </c>
      <c r="J64" s="33" t="str">
        <f aca="false">IF(N(G64)&gt;0,1/G64,"")</f>
        <v/>
      </c>
      <c r="K64" s="27"/>
      <c r="L64" s="27"/>
    </row>
    <row r="65" customFormat="false" ht="15" hidden="false" customHeight="false" outlineLevel="0" collapsed="false">
      <c r="A65" s="27"/>
      <c r="B65" s="27"/>
      <c r="C65" s="27"/>
      <c r="D65" s="15"/>
      <c r="E65" s="15"/>
      <c r="F65" s="10" t="str">
        <f aca="false">IF(ISNUMBER(D65),D65,IF(ISNUMBER(E65),E65/1.19,""))</f>
        <v/>
      </c>
      <c r="G65" s="27"/>
      <c r="H65" s="27"/>
      <c r="I65" s="10" t="str">
        <f aca="false">IF(AND(ISNUMBER(F65),N(G65)&gt;0),F65*G65,"")</f>
        <v/>
      </c>
      <c r="J65" s="33" t="str">
        <f aca="false">IF(N(G65)&gt;0,1/G65,"")</f>
        <v/>
      </c>
      <c r="K65" s="27"/>
      <c r="L65" s="27"/>
    </row>
    <row r="66" customFormat="false" ht="15" hidden="false" customHeight="false" outlineLevel="0" collapsed="false">
      <c r="A66" s="27"/>
      <c r="B66" s="27"/>
      <c r="C66" s="27"/>
      <c r="D66" s="15"/>
      <c r="E66" s="15"/>
      <c r="F66" s="10" t="str">
        <f aca="false">IF(ISNUMBER(D66),D66,IF(ISNUMBER(E66),E66/1.19,""))</f>
        <v/>
      </c>
      <c r="G66" s="27"/>
      <c r="H66" s="27"/>
      <c r="I66" s="10" t="str">
        <f aca="false">IF(AND(ISNUMBER(F66),N(G66)&gt;0),F66*G66,"")</f>
        <v/>
      </c>
      <c r="J66" s="33" t="str">
        <f aca="false">IF(N(G66)&gt;0,1/G66,"")</f>
        <v/>
      </c>
      <c r="K66" s="27"/>
      <c r="L66" s="27"/>
    </row>
    <row r="67" customFormat="false" ht="15" hidden="false" customHeight="false" outlineLevel="0" collapsed="false">
      <c r="A67" s="27"/>
      <c r="B67" s="27"/>
      <c r="C67" s="27"/>
      <c r="D67" s="15"/>
      <c r="E67" s="15"/>
      <c r="F67" s="10" t="str">
        <f aca="false">IF(ISNUMBER(D67),D67,IF(ISNUMBER(E67),E67/1.19,""))</f>
        <v/>
      </c>
      <c r="G67" s="27"/>
      <c r="H67" s="27"/>
      <c r="I67" s="10" t="str">
        <f aca="false">IF(AND(ISNUMBER(F67),N(G67)&gt;0),F67*G67,"")</f>
        <v/>
      </c>
      <c r="J67" s="33" t="str">
        <f aca="false">IF(N(G67)&gt;0,1/G67,"")</f>
        <v/>
      </c>
      <c r="K67" s="27"/>
      <c r="L67" s="27"/>
    </row>
    <row r="68" customFormat="false" ht="15" hidden="false" customHeight="false" outlineLevel="0" collapsed="false">
      <c r="A68" s="27"/>
      <c r="B68" s="27"/>
      <c r="C68" s="27"/>
      <c r="D68" s="15"/>
      <c r="E68" s="15"/>
      <c r="F68" s="10" t="str">
        <f aca="false">IF(ISNUMBER(D68),D68,IF(ISNUMBER(E68),E68/1.19,""))</f>
        <v/>
      </c>
      <c r="G68" s="27"/>
      <c r="H68" s="27"/>
      <c r="I68" s="10" t="str">
        <f aca="false">IF(AND(ISNUMBER(F68),N(G68)&gt;0),F68*G68,"")</f>
        <v/>
      </c>
      <c r="J68" s="33" t="str">
        <f aca="false">IF(N(G68)&gt;0,1/G68,"")</f>
        <v/>
      </c>
      <c r="K68" s="27"/>
      <c r="L68" s="27"/>
    </row>
    <row r="69" customFormat="false" ht="15" hidden="false" customHeight="false" outlineLevel="0" collapsed="false">
      <c r="A69" s="27"/>
      <c r="B69" s="27"/>
      <c r="C69" s="27"/>
      <c r="D69" s="15"/>
      <c r="E69" s="15"/>
      <c r="F69" s="10" t="str">
        <f aca="false">IF(ISNUMBER(D69),D69,IF(ISNUMBER(E69),E69/1.19,""))</f>
        <v/>
      </c>
      <c r="G69" s="27"/>
      <c r="H69" s="27"/>
      <c r="I69" s="10" t="str">
        <f aca="false">IF(AND(ISNUMBER(F69),N(G69)&gt;0),F69*G69,"")</f>
        <v/>
      </c>
      <c r="J69" s="33" t="str">
        <f aca="false">IF(N(G69)&gt;0,1/G69,"")</f>
        <v/>
      </c>
      <c r="K69" s="27"/>
      <c r="L69" s="27"/>
    </row>
    <row r="70" customFormat="false" ht="15" hidden="false" customHeight="false" outlineLevel="0" collapsed="false">
      <c r="A70" s="27"/>
      <c r="B70" s="27"/>
      <c r="C70" s="27"/>
      <c r="D70" s="15"/>
      <c r="E70" s="15"/>
      <c r="F70" s="10" t="str">
        <f aca="false">IF(ISNUMBER(D70),D70,IF(ISNUMBER(E70),E70/1.19,""))</f>
        <v/>
      </c>
      <c r="G70" s="27"/>
      <c r="H70" s="27"/>
      <c r="I70" s="10" t="str">
        <f aca="false">IF(AND(ISNUMBER(F70),N(G70)&gt;0),F70*G70,"")</f>
        <v/>
      </c>
      <c r="J70" s="33" t="str">
        <f aca="false">IF(N(G70)&gt;0,1/G70,"")</f>
        <v/>
      </c>
      <c r="K70" s="27"/>
      <c r="L70" s="27"/>
    </row>
    <row r="71" customFormat="false" ht="15" hidden="false" customHeight="false" outlineLevel="0" collapsed="false">
      <c r="A71" s="27"/>
      <c r="B71" s="27"/>
      <c r="C71" s="27"/>
      <c r="D71" s="15"/>
      <c r="E71" s="15"/>
      <c r="F71" s="10" t="str">
        <f aca="false">IF(ISNUMBER(D71),D71,IF(ISNUMBER(E71),E71/1.19,""))</f>
        <v/>
      </c>
      <c r="G71" s="27"/>
      <c r="H71" s="27"/>
      <c r="I71" s="10" t="str">
        <f aca="false">IF(AND(ISNUMBER(F71),N(G71)&gt;0),F71*G71,"")</f>
        <v/>
      </c>
      <c r="J71" s="33" t="str">
        <f aca="false">IF(N(G71)&gt;0,1/G71,"")</f>
        <v/>
      </c>
      <c r="K71" s="27"/>
      <c r="L71" s="27"/>
    </row>
    <row r="72" customFormat="false" ht="15" hidden="false" customHeight="false" outlineLevel="0" collapsed="false">
      <c r="A72" s="27"/>
      <c r="B72" s="27"/>
      <c r="C72" s="27"/>
      <c r="D72" s="15"/>
      <c r="E72" s="15"/>
      <c r="F72" s="10" t="str">
        <f aca="false">IF(ISNUMBER(D72),D72,IF(ISNUMBER(E72),E72/1.19,""))</f>
        <v/>
      </c>
      <c r="G72" s="27"/>
      <c r="H72" s="27"/>
      <c r="I72" s="10" t="str">
        <f aca="false">IF(AND(ISNUMBER(F72),N(G72)&gt;0),F72*G72,"")</f>
        <v/>
      </c>
      <c r="J72" s="33" t="str">
        <f aca="false">IF(N(G72)&gt;0,1/G72,"")</f>
        <v/>
      </c>
      <c r="K72" s="27"/>
      <c r="L72" s="27"/>
    </row>
    <row r="73" customFormat="false" ht="15" hidden="false" customHeight="false" outlineLevel="0" collapsed="false">
      <c r="A73" s="27"/>
      <c r="B73" s="27"/>
      <c r="C73" s="27"/>
      <c r="D73" s="15"/>
      <c r="E73" s="15"/>
      <c r="F73" s="10" t="str">
        <f aca="false">IF(ISNUMBER(D73),D73,IF(ISNUMBER(E73),E73/1.19,""))</f>
        <v/>
      </c>
      <c r="G73" s="27"/>
      <c r="H73" s="27"/>
      <c r="I73" s="10" t="str">
        <f aca="false">IF(AND(ISNUMBER(F73),N(G73)&gt;0),F73*G73,"")</f>
        <v/>
      </c>
      <c r="J73" s="33" t="str">
        <f aca="false">IF(N(G73)&gt;0,1/G73,"")</f>
        <v/>
      </c>
      <c r="K73" s="27"/>
      <c r="L73" s="27"/>
    </row>
    <row r="74" customFormat="false" ht="15" hidden="false" customHeight="false" outlineLevel="0" collapsed="false">
      <c r="A74" s="27"/>
      <c r="B74" s="27"/>
      <c r="C74" s="27"/>
      <c r="D74" s="15"/>
      <c r="E74" s="15"/>
      <c r="F74" s="10" t="str">
        <f aca="false">IF(ISNUMBER(D74),D74,IF(ISNUMBER(E74),E74/1.19,""))</f>
        <v/>
      </c>
      <c r="G74" s="27"/>
      <c r="H74" s="27"/>
      <c r="I74" s="10" t="str">
        <f aca="false">IF(AND(ISNUMBER(F74),N(G74)&gt;0),F74*G74,"")</f>
        <v/>
      </c>
      <c r="J74" s="33" t="str">
        <f aca="false">IF(N(G74)&gt;0,1/G74,"")</f>
        <v/>
      </c>
      <c r="K74" s="27"/>
      <c r="L74" s="27"/>
    </row>
    <row r="75" customFormat="false" ht="15" hidden="false" customHeight="false" outlineLevel="0" collapsed="false">
      <c r="A75" s="27"/>
      <c r="B75" s="27"/>
      <c r="C75" s="27"/>
      <c r="D75" s="15"/>
      <c r="E75" s="15"/>
      <c r="F75" s="10" t="str">
        <f aca="false">IF(ISNUMBER(D75),D75,IF(ISNUMBER(E75),E75/1.19,""))</f>
        <v/>
      </c>
      <c r="G75" s="27"/>
      <c r="H75" s="27"/>
      <c r="I75" s="10" t="str">
        <f aca="false">IF(AND(ISNUMBER(F75),N(G75)&gt;0),F75*G75,"")</f>
        <v/>
      </c>
      <c r="J75" s="33" t="str">
        <f aca="false">IF(N(G75)&gt;0,1/G75,"")</f>
        <v/>
      </c>
      <c r="K75" s="27"/>
      <c r="L75" s="27"/>
    </row>
    <row r="76" customFormat="false" ht="15" hidden="false" customHeight="false" outlineLevel="0" collapsed="false">
      <c r="A76" s="27"/>
      <c r="B76" s="27"/>
      <c r="C76" s="27"/>
      <c r="D76" s="15"/>
      <c r="E76" s="15"/>
      <c r="F76" s="10" t="str">
        <f aca="false">IF(ISNUMBER(D76),D76,IF(ISNUMBER(E76),E76/1.19,""))</f>
        <v/>
      </c>
      <c r="G76" s="27"/>
      <c r="H76" s="27"/>
      <c r="I76" s="10" t="str">
        <f aca="false">IF(AND(ISNUMBER(F76),N(G76)&gt;0),F76*G76,"")</f>
        <v/>
      </c>
      <c r="J76" s="33" t="str">
        <f aca="false">IF(N(G76)&gt;0,1/G76,"")</f>
        <v/>
      </c>
      <c r="K76" s="27"/>
      <c r="L76" s="27"/>
    </row>
    <row r="77" customFormat="false" ht="15" hidden="false" customHeight="false" outlineLevel="0" collapsed="false">
      <c r="A77" s="27"/>
      <c r="B77" s="27"/>
      <c r="C77" s="27"/>
      <c r="D77" s="15"/>
      <c r="E77" s="15"/>
      <c r="F77" s="10" t="str">
        <f aca="false">IF(ISNUMBER(D77),D77,IF(ISNUMBER(E77),E77/1.19,""))</f>
        <v/>
      </c>
      <c r="G77" s="27"/>
      <c r="H77" s="27"/>
      <c r="I77" s="10" t="str">
        <f aca="false">IF(AND(ISNUMBER(F77),N(G77)&gt;0),F77*G77,"")</f>
        <v/>
      </c>
      <c r="J77" s="33" t="str">
        <f aca="false">IF(N(G77)&gt;0,1/G77,"")</f>
        <v/>
      </c>
      <c r="K77" s="27"/>
      <c r="L77" s="27"/>
    </row>
    <row r="78" customFormat="false" ht="15" hidden="false" customHeight="false" outlineLevel="0" collapsed="false">
      <c r="A78" s="27"/>
      <c r="B78" s="27"/>
      <c r="C78" s="27"/>
      <c r="D78" s="15"/>
      <c r="E78" s="15"/>
      <c r="F78" s="10" t="str">
        <f aca="false">IF(ISNUMBER(D78),D78,IF(ISNUMBER(E78),E78/1.19,""))</f>
        <v/>
      </c>
      <c r="G78" s="27"/>
      <c r="H78" s="27"/>
      <c r="I78" s="10" t="str">
        <f aca="false">IF(AND(ISNUMBER(F78),N(G78)&gt;0),F78*G78,"")</f>
        <v/>
      </c>
      <c r="J78" s="33" t="str">
        <f aca="false">IF(N(G78)&gt;0,1/G78,"")</f>
        <v/>
      </c>
      <c r="K78" s="27"/>
      <c r="L78" s="27"/>
    </row>
    <row r="79" customFormat="false" ht="15" hidden="false" customHeight="false" outlineLevel="0" collapsed="false">
      <c r="A79" s="27"/>
      <c r="B79" s="27"/>
      <c r="C79" s="27"/>
      <c r="D79" s="15"/>
      <c r="E79" s="15"/>
      <c r="F79" s="10" t="str">
        <f aca="false">IF(ISNUMBER(D79),D79,IF(ISNUMBER(E79),E79/1.19,""))</f>
        <v/>
      </c>
      <c r="G79" s="27"/>
      <c r="H79" s="27"/>
      <c r="I79" s="10" t="str">
        <f aca="false">IF(AND(ISNUMBER(F79),N(G79)&gt;0),F79*G79,"")</f>
        <v/>
      </c>
      <c r="J79" s="33" t="str">
        <f aca="false">IF(N(G79)&gt;0,1/G79,"")</f>
        <v/>
      </c>
      <c r="K79" s="27"/>
      <c r="L79" s="27"/>
    </row>
    <row r="80" customFormat="false" ht="15" hidden="false" customHeight="false" outlineLevel="0" collapsed="false">
      <c r="A80" s="27"/>
      <c r="B80" s="27"/>
      <c r="C80" s="27"/>
      <c r="D80" s="15"/>
      <c r="E80" s="15"/>
      <c r="F80" s="10" t="str">
        <f aca="false">IF(ISNUMBER(D80),D80,IF(ISNUMBER(E80),E80/1.19,""))</f>
        <v/>
      </c>
      <c r="G80" s="27"/>
      <c r="H80" s="27"/>
      <c r="I80" s="10" t="str">
        <f aca="false">IF(AND(ISNUMBER(F80),N(G80)&gt;0),F80*G80,"")</f>
        <v/>
      </c>
      <c r="J80" s="33" t="str">
        <f aca="false">IF(N(G80)&gt;0,1/G80,"")</f>
        <v/>
      </c>
      <c r="K80" s="27"/>
      <c r="L80" s="27"/>
    </row>
    <row r="81" customFormat="false" ht="15" hidden="false" customHeight="false" outlineLevel="0" collapsed="false">
      <c r="A81" s="27"/>
      <c r="B81" s="27"/>
      <c r="C81" s="27"/>
      <c r="D81" s="15"/>
      <c r="E81" s="15"/>
      <c r="F81" s="10" t="str">
        <f aca="false">IF(ISNUMBER(D81),D81,IF(ISNUMBER(E81),E81/1.19,""))</f>
        <v/>
      </c>
      <c r="G81" s="27"/>
      <c r="H81" s="27"/>
      <c r="I81" s="10" t="str">
        <f aca="false">IF(AND(ISNUMBER(F81),N(G81)&gt;0),F81*G81,"")</f>
        <v/>
      </c>
      <c r="J81" s="33" t="str">
        <f aca="false">IF(N(G81)&gt;0,1/G81,"")</f>
        <v/>
      </c>
      <c r="K81" s="27"/>
      <c r="L81" s="27"/>
    </row>
    <row r="82" customFormat="false" ht="15" hidden="false" customHeight="false" outlineLevel="0" collapsed="false">
      <c r="A82" s="27"/>
      <c r="B82" s="27"/>
      <c r="C82" s="27"/>
      <c r="D82" s="15"/>
      <c r="E82" s="15"/>
      <c r="F82" s="10" t="str">
        <f aca="false">IF(ISNUMBER(D82),D82,IF(ISNUMBER(E82),E82/1.19,""))</f>
        <v/>
      </c>
      <c r="G82" s="27"/>
      <c r="H82" s="27"/>
      <c r="I82" s="10" t="str">
        <f aca="false">IF(AND(ISNUMBER(F82),N(G82)&gt;0),F82*G82,"")</f>
        <v/>
      </c>
      <c r="J82" s="33" t="str">
        <f aca="false">IF(N(G82)&gt;0,1/G82,"")</f>
        <v/>
      </c>
      <c r="K82" s="27"/>
      <c r="L82" s="27"/>
    </row>
    <row r="83" customFormat="false" ht="15" hidden="false" customHeight="false" outlineLevel="0" collapsed="false">
      <c r="A83" s="27"/>
      <c r="B83" s="27"/>
      <c r="C83" s="27"/>
      <c r="D83" s="15"/>
      <c r="E83" s="15"/>
      <c r="F83" s="10" t="str">
        <f aca="false">IF(ISNUMBER(D83),D83,IF(ISNUMBER(E83),E83/1.19,""))</f>
        <v/>
      </c>
      <c r="G83" s="27"/>
      <c r="H83" s="27"/>
      <c r="I83" s="10" t="str">
        <f aca="false">IF(AND(ISNUMBER(F83),N(G83)&gt;0),F83*G83,"")</f>
        <v/>
      </c>
      <c r="J83" s="33" t="str">
        <f aca="false">IF(N(G83)&gt;0,1/G83,"")</f>
        <v/>
      </c>
      <c r="K83" s="27"/>
      <c r="L83" s="27"/>
    </row>
    <row r="84" customFormat="false" ht="15" hidden="false" customHeight="false" outlineLevel="0" collapsed="false">
      <c r="A84" s="27"/>
      <c r="B84" s="27"/>
      <c r="C84" s="27"/>
      <c r="D84" s="15"/>
      <c r="E84" s="15"/>
      <c r="F84" s="10" t="str">
        <f aca="false">IF(ISNUMBER(D84),D84,IF(ISNUMBER(E84),E84/1.19,""))</f>
        <v/>
      </c>
      <c r="G84" s="27"/>
      <c r="H84" s="27"/>
      <c r="I84" s="10" t="str">
        <f aca="false">IF(AND(ISNUMBER(F84),N(G84)&gt;0),F84*G84,"")</f>
        <v/>
      </c>
      <c r="J84" s="33" t="str">
        <f aca="false">IF(N(G84)&gt;0,1/G84,"")</f>
        <v/>
      </c>
      <c r="K84" s="27"/>
      <c r="L84" s="27"/>
    </row>
    <row r="85" customFormat="false" ht="15" hidden="false" customHeight="false" outlineLevel="0" collapsed="false">
      <c r="A85" s="27"/>
      <c r="B85" s="27"/>
      <c r="C85" s="27"/>
      <c r="D85" s="15"/>
      <c r="E85" s="15"/>
      <c r="F85" s="10" t="str">
        <f aca="false">IF(ISNUMBER(D85),D85,IF(ISNUMBER(E85),E85/1.19,""))</f>
        <v/>
      </c>
      <c r="G85" s="27"/>
      <c r="H85" s="27"/>
      <c r="I85" s="10" t="str">
        <f aca="false">IF(AND(ISNUMBER(F85),N(G85)&gt;0),F85*G85,"")</f>
        <v/>
      </c>
      <c r="J85" s="33" t="str">
        <f aca="false">IF(N(G85)&gt;0,1/G85,"")</f>
        <v/>
      </c>
      <c r="K85" s="27"/>
      <c r="L85" s="27"/>
    </row>
    <row r="86" customFormat="false" ht="15" hidden="false" customHeight="false" outlineLevel="0" collapsed="false">
      <c r="A86" s="27"/>
      <c r="B86" s="27"/>
      <c r="C86" s="27"/>
      <c r="D86" s="15"/>
      <c r="E86" s="15"/>
      <c r="F86" s="10" t="str">
        <f aca="false">IF(ISNUMBER(D86),D86,IF(ISNUMBER(E86),E86/1.19,""))</f>
        <v/>
      </c>
      <c r="G86" s="27"/>
      <c r="H86" s="27"/>
      <c r="I86" s="10" t="str">
        <f aca="false">IF(AND(ISNUMBER(F86),N(G86)&gt;0),F86*G86,"")</f>
        <v/>
      </c>
      <c r="J86" s="33" t="str">
        <f aca="false">IF(N(G86)&gt;0,1/G86,"")</f>
        <v/>
      </c>
      <c r="K86" s="27"/>
      <c r="L86" s="27"/>
    </row>
    <row r="87" customFormat="false" ht="15" hidden="false" customHeight="false" outlineLevel="0" collapsed="false">
      <c r="A87" s="27"/>
      <c r="B87" s="27"/>
      <c r="C87" s="27"/>
      <c r="D87" s="15"/>
      <c r="E87" s="15"/>
      <c r="F87" s="10" t="str">
        <f aca="false">IF(ISNUMBER(D87),D87,IF(ISNUMBER(E87),E87/1.19,""))</f>
        <v/>
      </c>
      <c r="G87" s="27"/>
      <c r="H87" s="27"/>
      <c r="I87" s="10" t="str">
        <f aca="false">IF(AND(ISNUMBER(F87),N(G87)&gt;0),F87*G87,"")</f>
        <v/>
      </c>
      <c r="J87" s="33" t="str">
        <f aca="false">IF(N(G87)&gt;0,1/G87,"")</f>
        <v/>
      </c>
      <c r="K87" s="27"/>
      <c r="L87" s="27"/>
    </row>
    <row r="88" customFormat="false" ht="15" hidden="false" customHeight="false" outlineLevel="0" collapsed="false">
      <c r="A88" s="27"/>
      <c r="B88" s="27"/>
      <c r="C88" s="27"/>
      <c r="D88" s="15"/>
      <c r="E88" s="15"/>
      <c r="F88" s="10" t="str">
        <f aca="false">IF(ISNUMBER(D88),D88,IF(ISNUMBER(E88),E88/1.19,""))</f>
        <v/>
      </c>
      <c r="G88" s="27"/>
      <c r="H88" s="27"/>
      <c r="I88" s="10" t="str">
        <f aca="false">IF(AND(ISNUMBER(F88),N(G88)&gt;0),F88*G88,"")</f>
        <v/>
      </c>
      <c r="J88" s="33" t="str">
        <f aca="false">IF(N(G88)&gt;0,1/G88,"")</f>
        <v/>
      </c>
      <c r="K88" s="27"/>
      <c r="L88" s="27"/>
    </row>
    <row r="89" customFormat="false" ht="15" hidden="false" customHeight="false" outlineLevel="0" collapsed="false">
      <c r="A89" s="27"/>
      <c r="B89" s="27"/>
      <c r="C89" s="27"/>
      <c r="D89" s="15"/>
      <c r="E89" s="15"/>
      <c r="F89" s="10" t="str">
        <f aca="false">IF(ISNUMBER(D89),D89,IF(ISNUMBER(E89),E89/1.19,""))</f>
        <v/>
      </c>
      <c r="G89" s="27"/>
      <c r="H89" s="27"/>
      <c r="I89" s="10" t="str">
        <f aca="false">IF(AND(ISNUMBER(F89),N(G89)&gt;0),F89*G89,"")</f>
        <v/>
      </c>
      <c r="J89" s="33" t="str">
        <f aca="false">IF(N(G89)&gt;0,1/G89,"")</f>
        <v/>
      </c>
      <c r="K89" s="27"/>
      <c r="L89" s="27"/>
    </row>
    <row r="90" customFormat="false" ht="15" hidden="false" customHeight="false" outlineLevel="0" collapsed="false">
      <c r="A90" s="27"/>
      <c r="B90" s="27"/>
      <c r="C90" s="27"/>
      <c r="D90" s="15"/>
      <c r="E90" s="15"/>
      <c r="F90" s="10" t="str">
        <f aca="false">IF(ISNUMBER(D90),D90,IF(ISNUMBER(E90),E90/1.19,""))</f>
        <v/>
      </c>
      <c r="G90" s="27"/>
      <c r="H90" s="27"/>
      <c r="I90" s="10" t="str">
        <f aca="false">IF(AND(ISNUMBER(F90),N(G90)&gt;0),F90*G90,"")</f>
        <v/>
      </c>
      <c r="J90" s="33" t="str">
        <f aca="false">IF(N(G90)&gt;0,1/G90,"")</f>
        <v/>
      </c>
      <c r="K90" s="27"/>
      <c r="L90" s="27"/>
    </row>
    <row r="91" customFormat="false" ht="15" hidden="false" customHeight="false" outlineLevel="0" collapsed="false">
      <c r="A91" s="27"/>
      <c r="B91" s="27"/>
      <c r="C91" s="27"/>
      <c r="D91" s="15"/>
      <c r="E91" s="15"/>
      <c r="F91" s="10" t="str">
        <f aca="false">IF(ISNUMBER(D91),D91,IF(ISNUMBER(E91),E91/1.19,""))</f>
        <v/>
      </c>
      <c r="G91" s="27"/>
      <c r="H91" s="27"/>
      <c r="I91" s="10" t="str">
        <f aca="false">IF(AND(ISNUMBER(F91),N(G91)&gt;0),F91*G91,"")</f>
        <v/>
      </c>
      <c r="J91" s="33" t="str">
        <f aca="false">IF(N(G91)&gt;0,1/G91,"")</f>
        <v/>
      </c>
      <c r="K91" s="27"/>
      <c r="L91" s="27"/>
    </row>
    <row r="92" customFormat="false" ht="15" hidden="false" customHeight="false" outlineLevel="0" collapsed="false">
      <c r="A92" s="27"/>
      <c r="B92" s="27"/>
      <c r="C92" s="27"/>
      <c r="D92" s="15"/>
      <c r="E92" s="15"/>
      <c r="F92" s="10" t="str">
        <f aca="false">IF(ISNUMBER(D92),D92,IF(ISNUMBER(E92),E92/1.19,""))</f>
        <v/>
      </c>
      <c r="G92" s="27"/>
      <c r="H92" s="27"/>
      <c r="I92" s="10" t="str">
        <f aca="false">IF(AND(ISNUMBER(F92),N(G92)&gt;0),F92*G92,"")</f>
        <v/>
      </c>
      <c r="J92" s="33" t="str">
        <f aca="false">IF(N(G92)&gt;0,1/G92,"")</f>
        <v/>
      </c>
      <c r="K92" s="27"/>
      <c r="L92" s="27"/>
    </row>
    <row r="93" customFormat="false" ht="15" hidden="false" customHeight="false" outlineLevel="0" collapsed="false">
      <c r="A93" s="27"/>
      <c r="B93" s="27"/>
      <c r="C93" s="27"/>
      <c r="D93" s="15"/>
      <c r="E93" s="15"/>
      <c r="F93" s="10" t="str">
        <f aca="false">IF(ISNUMBER(D93),D93,IF(ISNUMBER(E93),E93/1.19,""))</f>
        <v/>
      </c>
      <c r="G93" s="27"/>
      <c r="H93" s="27"/>
      <c r="I93" s="10" t="str">
        <f aca="false">IF(AND(ISNUMBER(F93),N(G93)&gt;0),F93*G93,"")</f>
        <v/>
      </c>
      <c r="J93" s="33" t="str">
        <f aca="false">IF(N(G93)&gt;0,1/G93,"")</f>
        <v/>
      </c>
      <c r="K93" s="27"/>
      <c r="L93" s="27"/>
    </row>
    <row r="94" customFormat="false" ht="15" hidden="false" customHeight="false" outlineLevel="0" collapsed="false">
      <c r="A94" s="27"/>
      <c r="B94" s="27"/>
      <c r="C94" s="27"/>
      <c r="D94" s="15"/>
      <c r="E94" s="15"/>
      <c r="F94" s="10" t="str">
        <f aca="false">IF(ISNUMBER(D94),D94,IF(ISNUMBER(E94),E94/1.19,""))</f>
        <v/>
      </c>
      <c r="G94" s="27"/>
      <c r="H94" s="27"/>
      <c r="I94" s="10" t="str">
        <f aca="false">IF(AND(ISNUMBER(F94),N(G94)&gt;0),F94*G94,"")</f>
        <v/>
      </c>
      <c r="J94" s="33" t="str">
        <f aca="false">IF(N(G94)&gt;0,1/G94,"")</f>
        <v/>
      </c>
      <c r="K94" s="27"/>
      <c r="L94" s="27"/>
    </row>
    <row r="95" customFormat="false" ht="15" hidden="false" customHeight="false" outlineLevel="0" collapsed="false">
      <c r="A95" s="27"/>
      <c r="B95" s="27"/>
      <c r="C95" s="27"/>
      <c r="D95" s="15"/>
      <c r="E95" s="15"/>
      <c r="F95" s="10" t="str">
        <f aca="false">IF(ISNUMBER(D95),D95,IF(ISNUMBER(E95),E95/1.19,""))</f>
        <v/>
      </c>
      <c r="G95" s="27"/>
      <c r="H95" s="27"/>
      <c r="I95" s="10" t="str">
        <f aca="false">IF(AND(ISNUMBER(F95),N(G95)&gt;0),F95*G95,"")</f>
        <v/>
      </c>
      <c r="J95" s="33" t="str">
        <f aca="false">IF(N(G95)&gt;0,1/G95,"")</f>
        <v/>
      </c>
      <c r="K95" s="27"/>
      <c r="L95" s="27"/>
    </row>
    <row r="96" customFormat="false" ht="15" hidden="false" customHeight="false" outlineLevel="0" collapsed="false">
      <c r="A96" s="27"/>
      <c r="B96" s="27"/>
      <c r="C96" s="27"/>
      <c r="D96" s="15"/>
      <c r="E96" s="15"/>
      <c r="F96" s="10" t="str">
        <f aca="false">IF(ISNUMBER(D96),D96,IF(ISNUMBER(E96),E96/1.19,""))</f>
        <v/>
      </c>
      <c r="G96" s="27"/>
      <c r="H96" s="27"/>
      <c r="I96" s="10" t="str">
        <f aca="false">IF(AND(ISNUMBER(F96),N(G96)&gt;0),F96*G96,"")</f>
        <v/>
      </c>
      <c r="J96" s="33" t="str">
        <f aca="false">IF(N(G96)&gt;0,1/G96,"")</f>
        <v/>
      </c>
      <c r="K96" s="27"/>
      <c r="L96" s="27"/>
    </row>
    <row r="97" customFormat="false" ht="15" hidden="false" customHeight="false" outlineLevel="0" collapsed="false">
      <c r="A97" s="27"/>
      <c r="B97" s="27"/>
      <c r="C97" s="27"/>
      <c r="D97" s="15"/>
      <c r="E97" s="15"/>
      <c r="F97" s="10" t="str">
        <f aca="false">IF(ISNUMBER(D97),D97,IF(ISNUMBER(E97),E97/1.19,""))</f>
        <v/>
      </c>
      <c r="G97" s="27"/>
      <c r="H97" s="27"/>
      <c r="I97" s="10" t="str">
        <f aca="false">IF(AND(ISNUMBER(F97),N(G97)&gt;0),F97*G97,"")</f>
        <v/>
      </c>
      <c r="J97" s="33" t="str">
        <f aca="false">IF(N(G97)&gt;0,1/G97,"")</f>
        <v/>
      </c>
      <c r="K97" s="27"/>
      <c r="L97" s="27"/>
    </row>
    <row r="98" customFormat="false" ht="15" hidden="false" customHeight="false" outlineLevel="0" collapsed="false">
      <c r="A98" s="27"/>
      <c r="B98" s="27"/>
      <c r="C98" s="27"/>
      <c r="D98" s="15"/>
      <c r="E98" s="15"/>
      <c r="F98" s="10" t="str">
        <f aca="false">IF(ISNUMBER(D98),D98,IF(ISNUMBER(E98),E98/1.19,""))</f>
        <v/>
      </c>
      <c r="G98" s="27"/>
      <c r="H98" s="27"/>
      <c r="I98" s="10" t="str">
        <f aca="false">IF(AND(ISNUMBER(F98),N(G98)&gt;0),F98*G98,"")</f>
        <v/>
      </c>
      <c r="J98" s="33" t="str">
        <f aca="false">IF(N(G98)&gt;0,1/G98,"")</f>
        <v/>
      </c>
      <c r="K98" s="27"/>
      <c r="L98" s="27"/>
    </row>
    <row r="99" customFormat="false" ht="15" hidden="false" customHeight="false" outlineLevel="0" collapsed="false">
      <c r="A99" s="27"/>
      <c r="B99" s="27"/>
      <c r="C99" s="27"/>
      <c r="D99" s="15"/>
      <c r="E99" s="15"/>
      <c r="F99" s="10" t="str">
        <f aca="false">IF(ISNUMBER(D99),D99,IF(ISNUMBER(E99),E99/1.19,""))</f>
        <v/>
      </c>
      <c r="G99" s="27"/>
      <c r="H99" s="27"/>
      <c r="I99" s="10" t="str">
        <f aca="false">IF(AND(ISNUMBER(F99),N(G99)&gt;0),F99*G99,"")</f>
        <v/>
      </c>
      <c r="J99" s="33" t="str">
        <f aca="false">IF(N(G99)&gt;0,1/G99,"")</f>
        <v/>
      </c>
      <c r="K99" s="27"/>
      <c r="L99" s="27"/>
    </row>
    <row r="100" customFormat="false" ht="15" hidden="false" customHeight="false" outlineLevel="0" collapsed="false">
      <c r="A100" s="27"/>
      <c r="B100" s="27"/>
      <c r="C100" s="27"/>
      <c r="D100" s="15"/>
      <c r="E100" s="15"/>
      <c r="F100" s="10" t="str">
        <f aca="false">IF(ISNUMBER(D100),D100,IF(ISNUMBER(E100),E100/1.19,""))</f>
        <v/>
      </c>
      <c r="G100" s="27"/>
      <c r="H100" s="27"/>
      <c r="I100" s="10" t="str">
        <f aca="false">IF(AND(ISNUMBER(F100),N(G100)&gt;0),F100*G100,"")</f>
        <v/>
      </c>
      <c r="J100" s="33" t="str">
        <f aca="false">IF(N(G100)&gt;0,1/G100,"")</f>
        <v/>
      </c>
      <c r="K100" s="27"/>
      <c r="L100" s="27"/>
    </row>
    <row r="101" customFormat="false" ht="15" hidden="false" customHeight="false" outlineLevel="0" collapsed="false">
      <c r="A101" s="27"/>
      <c r="B101" s="27"/>
      <c r="C101" s="27"/>
      <c r="D101" s="15"/>
      <c r="E101" s="15"/>
      <c r="F101" s="10" t="str">
        <f aca="false">IF(ISNUMBER(D101),D101,IF(ISNUMBER(E101),E101/1.19,""))</f>
        <v/>
      </c>
      <c r="G101" s="27"/>
      <c r="H101" s="27"/>
      <c r="I101" s="10" t="str">
        <f aca="false">IF(AND(ISNUMBER(F101),N(G101)&gt;0),F101*G101,"")</f>
        <v/>
      </c>
      <c r="J101" s="33" t="str">
        <f aca="false">IF(N(G101)&gt;0,1/G101,"")</f>
        <v/>
      </c>
      <c r="K101" s="27"/>
      <c r="L101" s="27"/>
    </row>
    <row r="102" customFormat="false" ht="15" hidden="false" customHeight="false" outlineLevel="0" collapsed="false">
      <c r="A102" s="27"/>
      <c r="B102" s="27"/>
      <c r="C102" s="27"/>
      <c r="D102" s="15"/>
      <c r="E102" s="15"/>
      <c r="F102" s="10" t="str">
        <f aca="false">IF(ISNUMBER(D102),D102,IF(ISNUMBER(E102),E102/1.19,""))</f>
        <v/>
      </c>
      <c r="G102" s="27"/>
      <c r="H102" s="27"/>
      <c r="I102" s="10" t="str">
        <f aca="false">IF(AND(ISNUMBER(F102),N(G102)&gt;0),F102*G102,"")</f>
        <v/>
      </c>
      <c r="J102" s="33" t="str">
        <f aca="false">IF(N(G102)&gt;0,1/G102,"")</f>
        <v/>
      </c>
      <c r="K102" s="27"/>
      <c r="L102" s="27"/>
    </row>
    <row r="103" customFormat="false" ht="15" hidden="false" customHeight="false" outlineLevel="0" collapsed="false">
      <c r="A103" s="27"/>
      <c r="B103" s="27"/>
      <c r="C103" s="27"/>
      <c r="D103" s="15"/>
      <c r="E103" s="15"/>
      <c r="F103" s="10" t="str">
        <f aca="false">IF(ISNUMBER(D103),D103,IF(ISNUMBER(E103),E103/1.19,""))</f>
        <v/>
      </c>
      <c r="G103" s="27"/>
      <c r="H103" s="27"/>
      <c r="I103" s="10" t="str">
        <f aca="false">IF(AND(ISNUMBER(F103),N(G103)&gt;0),F103*G103,"")</f>
        <v/>
      </c>
      <c r="J103" s="33" t="str">
        <f aca="false">IF(N(G103)&gt;0,1/G103,"")</f>
        <v/>
      </c>
      <c r="K103" s="27"/>
      <c r="L103" s="27"/>
    </row>
    <row r="104" customFormat="false" ht="15" hidden="false" customHeight="false" outlineLevel="0" collapsed="false">
      <c r="A104" s="27"/>
      <c r="B104" s="27"/>
      <c r="C104" s="27"/>
      <c r="D104" s="15"/>
      <c r="E104" s="15"/>
      <c r="F104" s="10" t="str">
        <f aca="false">IF(ISNUMBER(D104),D104,IF(ISNUMBER(E104),E104/1.19,""))</f>
        <v/>
      </c>
      <c r="G104" s="27"/>
      <c r="H104" s="27"/>
      <c r="I104" s="10" t="str">
        <f aca="false">IF(AND(ISNUMBER(F104),N(G104)&gt;0),F104*G104,"")</f>
        <v/>
      </c>
      <c r="J104" s="33" t="str">
        <f aca="false">IF(N(G104)&gt;0,1/G104,"")</f>
        <v/>
      </c>
      <c r="K104" s="27"/>
      <c r="L104" s="27"/>
    </row>
    <row r="105" customFormat="false" ht="15" hidden="false" customHeight="false" outlineLevel="0" collapsed="false">
      <c r="A105" s="27"/>
      <c r="B105" s="27"/>
      <c r="C105" s="27"/>
      <c r="D105" s="15"/>
      <c r="E105" s="15"/>
      <c r="F105" s="10" t="str">
        <f aca="false">IF(ISNUMBER(D105),D105,IF(ISNUMBER(E105),E105/1.19,""))</f>
        <v/>
      </c>
      <c r="G105" s="27"/>
      <c r="H105" s="27"/>
      <c r="I105" s="10" t="str">
        <f aca="false">IF(AND(ISNUMBER(F105),N(G105)&gt;0),F105*G105,"")</f>
        <v/>
      </c>
      <c r="J105" s="33" t="str">
        <f aca="false">IF(N(G105)&gt;0,1/G105,"")</f>
        <v/>
      </c>
      <c r="K105" s="27"/>
      <c r="L105" s="27"/>
    </row>
  </sheetData>
  <dataValidations count="1">
    <dataValidation allowBlank="true" errorStyle="stop" operator="between" showDropDown="false" showErrorMessage="false" showInputMessage="false" sqref="B6:B105" type="list">
      <formula1>"Nacional,Pro,Importada"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50"/>
  </cols>
  <sheetData>
    <row r="1" customFormat="false" ht="17.35" hidden="false" customHeight="false" outlineLevel="0" collapsed="false">
      <c r="A1" s="1" t="s">
        <v>502</v>
      </c>
    </row>
    <row r="2" customFormat="false" ht="15" hidden="false" customHeight="false" outlineLevel="0" collapsed="false">
      <c r="A2" s="2" t="s">
        <v>503</v>
      </c>
    </row>
    <row r="5" customFormat="false" ht="45" hidden="false" customHeight="true" outlineLevel="0" collapsed="false">
      <c r="A5" s="6" t="s">
        <v>504</v>
      </c>
      <c r="B5" s="6" t="s">
        <v>505</v>
      </c>
      <c r="C5" s="6" t="s">
        <v>506</v>
      </c>
      <c r="D5" s="6" t="s">
        <v>245</v>
      </c>
      <c r="E5" s="6" t="s">
        <v>415</v>
      </c>
    </row>
    <row r="6" customFormat="false" ht="15" hidden="false" customHeight="false" outlineLevel="0" collapsed="false">
      <c r="A6" s="27" t="s">
        <v>196</v>
      </c>
      <c r="B6" s="15" t="n">
        <v>1700</v>
      </c>
      <c r="C6" s="15" t="n">
        <v>1500</v>
      </c>
      <c r="D6" s="27" t="s">
        <v>249</v>
      </c>
      <c r="E6" s="27"/>
    </row>
    <row r="7" customFormat="false" ht="15" hidden="false" customHeight="false" outlineLevel="0" collapsed="false">
      <c r="A7" s="27" t="s">
        <v>94</v>
      </c>
      <c r="B7" s="15" t="n">
        <v>2000</v>
      </c>
      <c r="C7" s="15" t="n">
        <v>1800</v>
      </c>
      <c r="D7" s="27" t="s">
        <v>249</v>
      </c>
      <c r="E7" s="27"/>
    </row>
    <row r="8" customFormat="false" ht="15" hidden="false" customHeight="false" outlineLevel="0" collapsed="false">
      <c r="A8" s="27" t="s">
        <v>507</v>
      </c>
      <c r="B8" s="15" t="n">
        <v>2200</v>
      </c>
      <c r="C8" s="15" t="n">
        <v>1900</v>
      </c>
      <c r="D8" s="27" t="s">
        <v>249</v>
      </c>
      <c r="E8" s="27"/>
    </row>
    <row r="9" customFormat="false" ht="15" hidden="false" customHeight="false" outlineLevel="0" collapsed="false">
      <c r="A9" s="27" t="s">
        <v>148</v>
      </c>
      <c r="B9" s="15" t="n">
        <v>1900</v>
      </c>
      <c r="C9" s="15" t="n">
        <v>1700</v>
      </c>
      <c r="D9" s="27" t="s">
        <v>249</v>
      </c>
      <c r="E9" s="27"/>
    </row>
    <row r="10" customFormat="false" ht="15" hidden="false" customHeight="false" outlineLevel="0" collapsed="false">
      <c r="A10" s="27" t="s">
        <v>170</v>
      </c>
      <c r="B10" s="15" t="n">
        <v>2000</v>
      </c>
      <c r="C10" s="15" t="n">
        <v>1800</v>
      </c>
      <c r="D10" s="27" t="s">
        <v>249</v>
      </c>
      <c r="E10" s="27"/>
    </row>
    <row r="11" customFormat="false" ht="15" hidden="false" customHeight="false" outlineLevel="0" collapsed="false">
      <c r="A11" s="27" t="s">
        <v>192</v>
      </c>
      <c r="B11" s="15" t="n">
        <v>2200</v>
      </c>
      <c r="C11" s="15" t="n">
        <v>1700</v>
      </c>
      <c r="D11" s="27" t="s">
        <v>249</v>
      </c>
      <c r="E11" s="27"/>
    </row>
    <row r="12" customFormat="false" ht="15" hidden="false" customHeight="false" outlineLevel="0" collapsed="false">
      <c r="A12" s="27" t="s">
        <v>177</v>
      </c>
      <c r="B12" s="15" t="n">
        <v>1900</v>
      </c>
      <c r="C12" s="15" t="n">
        <v>1700</v>
      </c>
      <c r="D12" s="27" t="s">
        <v>249</v>
      </c>
      <c r="E12" s="27"/>
    </row>
    <row r="13" customFormat="false" ht="15" hidden="false" customHeight="false" outlineLevel="0" collapsed="false">
      <c r="A13" s="27" t="s">
        <v>185</v>
      </c>
      <c r="B13" s="15" t="n">
        <v>2400</v>
      </c>
      <c r="C13" s="15" t="n">
        <v>2000</v>
      </c>
      <c r="D13" s="27" t="s">
        <v>249</v>
      </c>
      <c r="E13" s="27"/>
    </row>
    <row r="14" customFormat="false" ht="15" hidden="false" customHeight="false" outlineLevel="0" collapsed="false">
      <c r="A14" s="27" t="s">
        <v>163</v>
      </c>
      <c r="B14" s="15" t="n">
        <v>2400</v>
      </c>
      <c r="C14" s="15" t="n">
        <v>2200</v>
      </c>
      <c r="D14" s="27" t="s">
        <v>249</v>
      </c>
      <c r="E14" s="27"/>
    </row>
    <row r="15" customFormat="false" ht="15" hidden="false" customHeight="false" outlineLevel="0" collapsed="false">
      <c r="A15" s="27" t="s">
        <v>508</v>
      </c>
      <c r="B15" s="15" t="n">
        <v>2200</v>
      </c>
      <c r="C15" s="15" t="n">
        <v>2000</v>
      </c>
      <c r="D15" s="27" t="s">
        <v>249</v>
      </c>
      <c r="E15" s="27"/>
    </row>
    <row r="16" customFormat="false" ht="15" hidden="false" customHeight="false" outlineLevel="0" collapsed="false">
      <c r="A16" s="27" t="s">
        <v>509</v>
      </c>
      <c r="B16" s="15" t="n">
        <v>2600</v>
      </c>
      <c r="C16" s="15" t="n">
        <v>2300</v>
      </c>
      <c r="D16" s="27" t="s">
        <v>249</v>
      </c>
      <c r="E16" s="27"/>
    </row>
    <row r="17" customFormat="false" ht="15" hidden="false" customHeight="false" outlineLevel="0" collapsed="false">
      <c r="A17" s="27" t="s">
        <v>201</v>
      </c>
      <c r="B17" s="15" t="n">
        <v>2200</v>
      </c>
      <c r="C17" s="15" t="n">
        <v>2300</v>
      </c>
      <c r="D17" s="27" t="s">
        <v>249</v>
      </c>
      <c r="E17" s="27" t="s">
        <v>510</v>
      </c>
    </row>
    <row r="18" customFormat="false" ht="15" hidden="false" customHeight="false" outlineLevel="0" collapsed="false">
      <c r="A18" s="27" t="s">
        <v>128</v>
      </c>
      <c r="B18" s="15" t="n">
        <v>2300</v>
      </c>
      <c r="C18" s="15" t="n">
        <v>2000</v>
      </c>
      <c r="D18" s="27" t="s">
        <v>249</v>
      </c>
      <c r="E18" s="27"/>
    </row>
    <row r="19" customFormat="false" ht="15" hidden="false" customHeight="false" outlineLevel="0" collapsed="false">
      <c r="A19" s="27" t="s">
        <v>511</v>
      </c>
      <c r="B19" s="15" t="n">
        <v>2400</v>
      </c>
      <c r="C19" s="15" t="n">
        <v>2100</v>
      </c>
      <c r="D19" s="27" t="s">
        <v>249</v>
      </c>
      <c r="E19" s="27"/>
    </row>
    <row r="20" customFormat="false" ht="15" hidden="false" customHeight="false" outlineLevel="0" collapsed="false">
      <c r="A20" s="27" t="s">
        <v>512</v>
      </c>
      <c r="B20" s="15" t="n">
        <v>1800</v>
      </c>
      <c r="C20" s="15" t="n">
        <v>1700</v>
      </c>
      <c r="D20" s="27" t="s">
        <v>249</v>
      </c>
      <c r="E20" s="27"/>
    </row>
    <row r="21" customFormat="false" ht="15" hidden="false" customHeight="false" outlineLevel="0" collapsed="false">
      <c r="A21" s="27" t="s">
        <v>513</v>
      </c>
      <c r="B21" s="15" t="n">
        <v>1800</v>
      </c>
      <c r="C21" s="15" t="n">
        <v>1600</v>
      </c>
      <c r="D21" s="27" t="s">
        <v>249</v>
      </c>
      <c r="E21" s="27"/>
    </row>
    <row r="22" customFormat="false" ht="15" hidden="false" customHeight="false" outlineLevel="0" collapsed="false">
      <c r="A22" s="27" t="s">
        <v>514</v>
      </c>
      <c r="B22" s="15" t="n">
        <v>2000</v>
      </c>
      <c r="C22" s="15" t="n">
        <v>1800</v>
      </c>
      <c r="D22" s="27" t="s">
        <v>249</v>
      </c>
      <c r="E22" s="27"/>
    </row>
    <row r="23" customFormat="false" ht="15" hidden="false" customHeight="false" outlineLevel="0" collapsed="false">
      <c r="A23" s="27" t="s">
        <v>515</v>
      </c>
      <c r="B23" s="15" t="n">
        <v>2600</v>
      </c>
      <c r="C23" s="15" t="n">
        <v>2300</v>
      </c>
      <c r="D23" s="27" t="s">
        <v>249</v>
      </c>
      <c r="E23" s="27"/>
    </row>
    <row r="24" customFormat="false" ht="15" hidden="false" customHeight="false" outlineLevel="0" collapsed="false">
      <c r="A24" s="27" t="s">
        <v>213</v>
      </c>
      <c r="B24" s="15" t="n">
        <v>1200</v>
      </c>
      <c r="C24" s="15" t="n">
        <v>1000</v>
      </c>
      <c r="D24" s="27" t="s">
        <v>249</v>
      </c>
      <c r="E24" s="27"/>
    </row>
    <row r="25" customFormat="false" ht="15" hidden="false" customHeight="false" outlineLevel="0" collapsed="false">
      <c r="A25" s="27" t="s">
        <v>516</v>
      </c>
      <c r="B25" s="15" t="n">
        <v>3500</v>
      </c>
      <c r="C25" s="15" t="n">
        <v>3200</v>
      </c>
      <c r="D25" s="27" t="s">
        <v>249</v>
      </c>
      <c r="E25" s="27"/>
    </row>
    <row r="26" customFormat="false" ht="15" hidden="false" customHeight="false" outlineLevel="0" collapsed="false">
      <c r="A26" s="27" t="s">
        <v>517</v>
      </c>
      <c r="B26" s="15" t="n">
        <v>3200</v>
      </c>
      <c r="C26" s="15" t="n">
        <v>3000</v>
      </c>
      <c r="D26" s="27" t="s">
        <v>249</v>
      </c>
      <c r="E26" s="27"/>
    </row>
    <row r="27" customFormat="false" ht="15" hidden="false" customHeight="false" outlineLevel="0" collapsed="false">
      <c r="A27" s="27" t="s">
        <v>518</v>
      </c>
      <c r="B27" s="15" t="n">
        <v>2200</v>
      </c>
      <c r="C27" s="15" t="n">
        <v>2000</v>
      </c>
      <c r="D27" s="27" t="s">
        <v>249</v>
      </c>
      <c r="E27" s="27"/>
    </row>
    <row r="28" customFormat="false" ht="15" hidden="false" customHeight="false" outlineLevel="0" collapsed="false">
      <c r="A28" s="27" t="s">
        <v>519</v>
      </c>
      <c r="B28" s="15" t="n">
        <v>1000</v>
      </c>
      <c r="C28" s="15" t="n">
        <v>1000</v>
      </c>
      <c r="D28" s="27" t="s">
        <v>249</v>
      </c>
      <c r="E28" s="27"/>
    </row>
    <row r="29" customFormat="false" ht="15" hidden="false" customHeight="false" outlineLevel="0" collapsed="false">
      <c r="A29" s="27" t="s">
        <v>520</v>
      </c>
      <c r="B29" s="15" t="n">
        <v>3200</v>
      </c>
      <c r="C29" s="15" t="n">
        <v>3000</v>
      </c>
      <c r="D29" s="27" t="s">
        <v>249</v>
      </c>
      <c r="E29" s="27"/>
    </row>
    <row r="30" customFormat="false" ht="15" hidden="false" customHeight="false" outlineLevel="0" collapsed="false">
      <c r="A30" s="27" t="s">
        <v>207</v>
      </c>
      <c r="B30" s="15" t="n">
        <v>1800</v>
      </c>
      <c r="C30" s="15" t="n">
        <v>1600</v>
      </c>
      <c r="D30" s="27" t="s">
        <v>249</v>
      </c>
      <c r="E30" s="27"/>
    </row>
    <row r="31" customFormat="false" ht="15" hidden="false" customHeight="false" outlineLevel="0" collapsed="false">
      <c r="A31" s="27" t="s">
        <v>521</v>
      </c>
      <c r="B31" s="15" t="n">
        <v>2000</v>
      </c>
      <c r="C31" s="15" t="n">
        <v>1900</v>
      </c>
      <c r="D31" s="27" t="s">
        <v>249</v>
      </c>
      <c r="E31" s="27"/>
    </row>
    <row r="32" customFormat="false" ht="15" hidden="false" customHeight="false" outlineLevel="0" collapsed="false">
      <c r="A32" s="27" t="s">
        <v>522</v>
      </c>
      <c r="B32" s="15" t="n">
        <v>2500</v>
      </c>
      <c r="C32" s="15" t="n">
        <v>2300</v>
      </c>
      <c r="D32" s="27" t="s">
        <v>249</v>
      </c>
      <c r="E32" s="27"/>
    </row>
    <row r="33" customFormat="false" ht="15" hidden="false" customHeight="false" outlineLevel="0" collapsed="false">
      <c r="A33" s="27" t="s">
        <v>523</v>
      </c>
      <c r="B33" s="15" t="n">
        <v>2200</v>
      </c>
      <c r="C33" s="15" t="n">
        <v>2000</v>
      </c>
      <c r="D33" s="27" t="s">
        <v>249</v>
      </c>
      <c r="E33" s="27"/>
    </row>
    <row r="34" customFormat="false" ht="15" hidden="false" customHeight="false" outlineLevel="0" collapsed="false">
      <c r="A34" s="27" t="s">
        <v>524</v>
      </c>
      <c r="B34" s="15" t="n">
        <v>2200</v>
      </c>
      <c r="C34" s="15" t="n">
        <v>2000</v>
      </c>
      <c r="D34" s="27" t="s">
        <v>249</v>
      </c>
      <c r="E34" s="27"/>
    </row>
    <row r="35" customFormat="false" ht="15" hidden="false" customHeight="false" outlineLevel="0" collapsed="false">
      <c r="A35" s="27" t="s">
        <v>525</v>
      </c>
      <c r="B35" s="15" t="n">
        <v>1900</v>
      </c>
      <c r="C35" s="15" t="n">
        <v>1900</v>
      </c>
      <c r="D35" s="27" t="s">
        <v>249</v>
      </c>
      <c r="E35" s="27"/>
    </row>
    <row r="36" customFormat="false" ht="15" hidden="false" customHeight="false" outlineLevel="0" collapsed="false">
      <c r="A36" s="27" t="s">
        <v>526</v>
      </c>
      <c r="B36" s="15" t="n">
        <v>2400</v>
      </c>
      <c r="C36" s="15" t="n">
        <v>2100</v>
      </c>
      <c r="D36" s="27" t="s">
        <v>249</v>
      </c>
      <c r="E36" s="27"/>
    </row>
    <row r="37" customFormat="false" ht="15" hidden="false" customHeight="false" outlineLevel="0" collapsed="false">
      <c r="A37" s="27" t="s">
        <v>527</v>
      </c>
      <c r="B37" s="15" t="n">
        <v>1700</v>
      </c>
      <c r="C37" s="15" t="n">
        <v>1700</v>
      </c>
      <c r="D37" s="27" t="s">
        <v>249</v>
      </c>
      <c r="E37" s="27"/>
    </row>
    <row r="38" customFormat="false" ht="15" hidden="false" customHeight="false" outlineLevel="0" collapsed="false">
      <c r="A38" s="27" t="s">
        <v>528</v>
      </c>
      <c r="B38" s="15" t="n">
        <v>1800</v>
      </c>
      <c r="C38" s="15" t="n">
        <v>1700</v>
      </c>
      <c r="D38" s="27" t="s">
        <v>249</v>
      </c>
      <c r="E38" s="27"/>
    </row>
    <row r="39" customFormat="false" ht="15" hidden="false" customHeight="false" outlineLevel="0" collapsed="false">
      <c r="A39" s="27" t="s">
        <v>529</v>
      </c>
      <c r="B39" s="15" t="n">
        <v>650</v>
      </c>
      <c r="C39" s="15" t="n">
        <v>650</v>
      </c>
      <c r="D39" s="27" t="s">
        <v>249</v>
      </c>
      <c r="E39" s="27"/>
    </row>
    <row r="40" customFormat="false" ht="15" hidden="false" customHeight="false" outlineLevel="0" collapsed="false">
      <c r="A40" s="27" t="s">
        <v>530</v>
      </c>
      <c r="B40" s="15" t="n">
        <v>2400</v>
      </c>
      <c r="C40" s="15" t="n">
        <v>2400</v>
      </c>
      <c r="D40" s="27" t="s">
        <v>249</v>
      </c>
      <c r="E40" s="27"/>
    </row>
    <row r="41" customFormat="false" ht="15" hidden="false" customHeight="false" outlineLevel="0" collapsed="false">
      <c r="A41" s="27" t="s">
        <v>531</v>
      </c>
      <c r="B41" s="15" t="n">
        <v>1700</v>
      </c>
      <c r="C41" s="15" t="n">
        <v>1600</v>
      </c>
      <c r="D41" s="27" t="s">
        <v>249</v>
      </c>
      <c r="E41" s="27"/>
    </row>
    <row r="42" customFormat="false" ht="15" hidden="false" customHeight="false" outlineLevel="0" collapsed="false">
      <c r="A42" s="27" t="s">
        <v>532</v>
      </c>
      <c r="B42" s="15" t="n">
        <v>2000</v>
      </c>
      <c r="C42" s="15" t="n">
        <v>2000</v>
      </c>
      <c r="D42" s="27" t="s">
        <v>249</v>
      </c>
      <c r="E42" s="27"/>
    </row>
    <row r="43" customFormat="false" ht="15" hidden="false" customHeight="false" outlineLevel="0" collapsed="false">
      <c r="A43" s="27" t="s">
        <v>533</v>
      </c>
      <c r="B43" s="15" t="n">
        <v>8000</v>
      </c>
      <c r="C43" s="15" t="n">
        <v>8000</v>
      </c>
      <c r="D43" s="27" t="s">
        <v>249</v>
      </c>
      <c r="E43" s="27"/>
    </row>
    <row r="44" customFormat="false" ht="15" hidden="false" customHeight="false" outlineLevel="0" collapsed="false">
      <c r="A44" s="27" t="s">
        <v>534</v>
      </c>
      <c r="B44" s="15" t="n">
        <v>2500</v>
      </c>
      <c r="C44" s="15" t="n">
        <v>2400</v>
      </c>
      <c r="D44" s="27" t="s">
        <v>249</v>
      </c>
      <c r="E44" s="27"/>
    </row>
    <row r="45" customFormat="false" ht="15" hidden="false" customHeight="false" outlineLevel="0" collapsed="false">
      <c r="A45" s="27" t="s">
        <v>535</v>
      </c>
      <c r="B45" s="15" t="n">
        <v>5500</v>
      </c>
      <c r="C45" s="15" t="n">
        <v>5000</v>
      </c>
      <c r="D45" s="27" t="s">
        <v>249</v>
      </c>
      <c r="E45" s="27"/>
    </row>
    <row r="46" customFormat="false" ht="15" hidden="false" customHeight="false" outlineLevel="0" collapsed="false">
      <c r="A46" s="27" t="s">
        <v>536</v>
      </c>
      <c r="B46" s="15" t="n">
        <v>6000</v>
      </c>
      <c r="C46" s="15" t="n">
        <v>6000</v>
      </c>
      <c r="D46" s="27" t="s">
        <v>249</v>
      </c>
      <c r="E46" s="27"/>
    </row>
    <row r="47" customFormat="false" ht="15" hidden="false" customHeight="false" outlineLevel="0" collapsed="false">
      <c r="A47" s="27" t="s">
        <v>537</v>
      </c>
      <c r="B47" s="15" t="n">
        <v>5500</v>
      </c>
      <c r="C47" s="15" t="n">
        <v>5500</v>
      </c>
      <c r="D47" s="27" t="s">
        <v>249</v>
      </c>
      <c r="E47" s="27"/>
    </row>
    <row r="48" customFormat="false" ht="15" hidden="false" customHeight="false" outlineLevel="0" collapsed="false">
      <c r="A48" s="27" t="s">
        <v>538</v>
      </c>
      <c r="B48" s="15" t="n">
        <v>3000</v>
      </c>
      <c r="C48" s="15" t="n">
        <v>2900</v>
      </c>
      <c r="D48" s="27" t="s">
        <v>249</v>
      </c>
      <c r="E48" s="27"/>
    </row>
    <row r="49" customFormat="false" ht="15" hidden="false" customHeight="false" outlineLevel="0" collapsed="false">
      <c r="A49" s="27" t="s">
        <v>539</v>
      </c>
      <c r="B49" s="15" t="n">
        <v>3300</v>
      </c>
      <c r="C49" s="15" t="n">
        <v>3300</v>
      </c>
      <c r="D49" s="27" t="s">
        <v>249</v>
      </c>
      <c r="E49" s="27"/>
    </row>
    <row r="50" customFormat="false" ht="15" hidden="false" customHeight="false" outlineLevel="0" collapsed="false">
      <c r="A50" s="27" t="s">
        <v>540</v>
      </c>
      <c r="B50" s="15" t="n">
        <v>1000</v>
      </c>
      <c r="C50" s="15" t="n">
        <v>1000</v>
      </c>
      <c r="D50" s="27" t="s">
        <v>249</v>
      </c>
      <c r="E50" s="27"/>
    </row>
    <row r="51" customFormat="false" ht="15" hidden="false" customHeight="false" outlineLevel="0" collapsed="false">
      <c r="A51" s="27" t="s">
        <v>541</v>
      </c>
      <c r="B51" s="15" t="n">
        <v>500</v>
      </c>
      <c r="C51" s="15" t="n">
        <v>500</v>
      </c>
      <c r="D51" s="27" t="s">
        <v>249</v>
      </c>
      <c r="E51" s="27"/>
    </row>
    <row r="52" customFormat="false" ht="15" hidden="false" customHeight="false" outlineLevel="0" collapsed="false">
      <c r="A52" s="27"/>
      <c r="B52" s="15"/>
      <c r="C52" s="15"/>
      <c r="D52" s="27"/>
      <c r="E52" s="27"/>
    </row>
    <row r="53" customFormat="false" ht="15" hidden="false" customHeight="false" outlineLevel="0" collapsed="false">
      <c r="A53" s="27"/>
      <c r="B53" s="15"/>
      <c r="C53" s="15"/>
      <c r="D53" s="27"/>
      <c r="E53" s="27"/>
    </row>
    <row r="54" customFormat="false" ht="15" hidden="false" customHeight="false" outlineLevel="0" collapsed="false">
      <c r="A54" s="27"/>
      <c r="B54" s="15"/>
      <c r="C54" s="15"/>
      <c r="D54" s="27"/>
      <c r="E54" s="27"/>
    </row>
    <row r="55" customFormat="false" ht="15" hidden="false" customHeight="false" outlineLevel="0" collapsed="false">
      <c r="A55" s="27"/>
      <c r="B55" s="15"/>
      <c r="C55" s="15"/>
      <c r="D55" s="27"/>
      <c r="E55" s="27"/>
    </row>
    <row r="56" customFormat="false" ht="15" hidden="false" customHeight="false" outlineLevel="0" collapsed="false">
      <c r="A56" s="27"/>
      <c r="B56" s="15"/>
      <c r="C56" s="15"/>
      <c r="D56" s="27"/>
      <c r="E56" s="27"/>
    </row>
    <row r="57" customFormat="false" ht="15" hidden="false" customHeight="false" outlineLevel="0" collapsed="false">
      <c r="A57" s="27"/>
      <c r="B57" s="15"/>
      <c r="C57" s="15"/>
      <c r="D57" s="27"/>
      <c r="E57" s="27"/>
    </row>
    <row r="58" customFormat="false" ht="15" hidden="false" customHeight="false" outlineLevel="0" collapsed="false">
      <c r="A58" s="27"/>
      <c r="B58" s="15"/>
      <c r="C58" s="15"/>
      <c r="D58" s="27"/>
      <c r="E58" s="27"/>
    </row>
    <row r="59" customFormat="false" ht="15" hidden="false" customHeight="false" outlineLevel="0" collapsed="false">
      <c r="A59" s="27"/>
      <c r="B59" s="15"/>
      <c r="C59" s="15"/>
      <c r="D59" s="27"/>
      <c r="E59" s="27"/>
    </row>
    <row r="60" customFormat="false" ht="15" hidden="false" customHeight="false" outlineLevel="0" collapsed="false">
      <c r="A60" s="27"/>
      <c r="B60" s="15"/>
      <c r="C60" s="15"/>
      <c r="D60" s="27"/>
      <c r="E60" s="27"/>
    </row>
    <row r="61" customFormat="false" ht="15" hidden="false" customHeight="false" outlineLevel="0" collapsed="false">
      <c r="A61" s="27"/>
      <c r="B61" s="15"/>
      <c r="C61" s="15"/>
      <c r="D61" s="27"/>
      <c r="E61" s="27"/>
    </row>
    <row r="62" customFormat="false" ht="15" hidden="false" customHeight="false" outlineLevel="0" collapsed="false">
      <c r="A62" s="27"/>
      <c r="B62" s="15"/>
      <c r="C62" s="15"/>
      <c r="D62" s="27"/>
      <c r="E62" s="27"/>
    </row>
    <row r="63" customFormat="false" ht="15" hidden="false" customHeight="false" outlineLevel="0" collapsed="false">
      <c r="A63" s="27"/>
      <c r="B63" s="15"/>
      <c r="C63" s="15"/>
      <c r="D63" s="27"/>
      <c r="E63" s="27"/>
    </row>
    <row r="64" customFormat="false" ht="15" hidden="false" customHeight="false" outlineLevel="0" collapsed="false">
      <c r="A64" s="27"/>
      <c r="B64" s="15"/>
      <c r="C64" s="15"/>
      <c r="D64" s="27"/>
      <c r="E64" s="27"/>
    </row>
    <row r="65" customFormat="false" ht="15" hidden="false" customHeight="false" outlineLevel="0" collapsed="false">
      <c r="A65" s="27"/>
      <c r="B65" s="15"/>
      <c r="C65" s="15"/>
      <c r="D65" s="27"/>
      <c r="E65" s="27"/>
    </row>
    <row r="66" customFormat="false" ht="15" hidden="false" customHeight="false" outlineLevel="0" collapsed="false">
      <c r="A66" s="27"/>
      <c r="B66" s="15"/>
      <c r="C66" s="15"/>
      <c r="D66" s="27"/>
      <c r="E66" s="27"/>
    </row>
    <row r="67" customFormat="false" ht="15" hidden="false" customHeight="false" outlineLevel="0" collapsed="false">
      <c r="A67" s="27"/>
      <c r="B67" s="15"/>
      <c r="C67" s="15"/>
      <c r="D67" s="27"/>
      <c r="E67" s="27"/>
    </row>
    <row r="68" customFormat="false" ht="15" hidden="false" customHeight="false" outlineLevel="0" collapsed="false">
      <c r="A68" s="27"/>
      <c r="B68" s="15"/>
      <c r="C68" s="15"/>
      <c r="D68" s="27"/>
      <c r="E68" s="27"/>
    </row>
    <row r="69" customFormat="false" ht="15" hidden="false" customHeight="false" outlineLevel="0" collapsed="false">
      <c r="A69" s="27"/>
      <c r="B69" s="15"/>
      <c r="C69" s="15"/>
      <c r="D69" s="27"/>
      <c r="E69" s="27"/>
    </row>
    <row r="70" customFormat="false" ht="15" hidden="false" customHeight="false" outlineLevel="0" collapsed="false">
      <c r="A70" s="27"/>
      <c r="B70" s="15"/>
      <c r="C70" s="15"/>
      <c r="D70" s="27"/>
      <c r="E70" s="27"/>
    </row>
    <row r="71" customFormat="false" ht="15" hidden="false" customHeight="false" outlineLevel="0" collapsed="false">
      <c r="A71" s="27"/>
      <c r="B71" s="15"/>
      <c r="C71" s="15"/>
      <c r="D71" s="27"/>
      <c r="E71" s="27"/>
    </row>
    <row r="72" customFormat="false" ht="15" hidden="false" customHeight="false" outlineLevel="0" collapsed="false">
      <c r="A72" s="27"/>
      <c r="B72" s="15"/>
      <c r="C72" s="15"/>
      <c r="D72" s="27"/>
      <c r="E72" s="27"/>
    </row>
    <row r="73" customFormat="false" ht="15" hidden="false" customHeight="false" outlineLevel="0" collapsed="false">
      <c r="A73" s="27"/>
      <c r="B73" s="15"/>
      <c r="C73" s="15"/>
      <c r="D73" s="27"/>
      <c r="E73" s="27"/>
    </row>
    <row r="74" customFormat="false" ht="15" hidden="false" customHeight="false" outlineLevel="0" collapsed="false">
      <c r="A74" s="27"/>
      <c r="B74" s="15"/>
      <c r="C74" s="15"/>
      <c r="D74" s="27"/>
      <c r="E74" s="27"/>
    </row>
    <row r="75" customFormat="false" ht="15" hidden="false" customHeight="false" outlineLevel="0" collapsed="false">
      <c r="A75" s="27"/>
      <c r="B75" s="15"/>
      <c r="C75" s="15"/>
      <c r="D75" s="27"/>
      <c r="E75" s="27"/>
    </row>
    <row r="76" customFormat="false" ht="15" hidden="false" customHeight="false" outlineLevel="0" collapsed="false">
      <c r="A76" s="27"/>
      <c r="B76" s="15"/>
      <c r="C76" s="15"/>
      <c r="D76" s="27"/>
      <c r="E76" s="27"/>
    </row>
    <row r="77" customFormat="false" ht="15" hidden="false" customHeight="false" outlineLevel="0" collapsed="false">
      <c r="A77" s="27"/>
      <c r="B77" s="15"/>
      <c r="C77" s="15"/>
      <c r="D77" s="27"/>
      <c r="E77" s="27"/>
    </row>
    <row r="78" customFormat="false" ht="15" hidden="false" customHeight="false" outlineLevel="0" collapsed="false">
      <c r="A78" s="27"/>
      <c r="B78" s="15"/>
      <c r="C78" s="15"/>
      <c r="D78" s="27"/>
      <c r="E78" s="27"/>
    </row>
    <row r="79" customFormat="false" ht="15" hidden="false" customHeight="false" outlineLevel="0" collapsed="false">
      <c r="A79" s="27"/>
      <c r="B79" s="15"/>
      <c r="C79" s="15"/>
      <c r="D79" s="27"/>
      <c r="E79" s="27"/>
    </row>
    <row r="80" customFormat="false" ht="15" hidden="false" customHeight="false" outlineLevel="0" collapsed="false">
      <c r="A80" s="27"/>
      <c r="B80" s="15"/>
      <c r="C80" s="15"/>
      <c r="D80" s="27"/>
      <c r="E80" s="27"/>
    </row>
    <row r="81" customFormat="false" ht="15" hidden="false" customHeight="false" outlineLevel="0" collapsed="false">
      <c r="A81" s="27"/>
      <c r="B81" s="15"/>
      <c r="C81" s="15"/>
      <c r="D81" s="27"/>
      <c r="E81" s="27"/>
    </row>
    <row r="82" customFormat="false" ht="15" hidden="false" customHeight="false" outlineLevel="0" collapsed="false">
      <c r="A82" s="27"/>
      <c r="B82" s="15"/>
      <c r="C82" s="15"/>
      <c r="D82" s="27"/>
      <c r="E82" s="27"/>
    </row>
    <row r="83" customFormat="false" ht="15" hidden="false" customHeight="false" outlineLevel="0" collapsed="false">
      <c r="A83" s="27"/>
      <c r="B83" s="15"/>
      <c r="C83" s="15"/>
      <c r="D83" s="27"/>
      <c r="E83" s="27"/>
    </row>
    <row r="84" customFormat="false" ht="15" hidden="false" customHeight="false" outlineLevel="0" collapsed="false">
      <c r="A84" s="27"/>
      <c r="B84" s="15"/>
      <c r="C84" s="15"/>
      <c r="D84" s="27"/>
      <c r="E84" s="27"/>
    </row>
    <row r="85" customFormat="false" ht="15" hidden="false" customHeight="false" outlineLevel="0" collapsed="false">
      <c r="A85" s="27"/>
      <c r="B85" s="15"/>
      <c r="C85" s="15"/>
      <c r="D85" s="27"/>
      <c r="E85" s="27"/>
    </row>
    <row r="86" customFormat="false" ht="15" hidden="false" customHeight="false" outlineLevel="0" collapsed="false">
      <c r="A86" s="27"/>
      <c r="B86" s="15"/>
      <c r="C86" s="15"/>
      <c r="D86" s="27"/>
      <c r="E86" s="27"/>
    </row>
    <row r="87" customFormat="false" ht="15" hidden="false" customHeight="false" outlineLevel="0" collapsed="false">
      <c r="A87" s="27"/>
      <c r="B87" s="15"/>
      <c r="C87" s="15"/>
      <c r="D87" s="27"/>
      <c r="E87" s="27"/>
    </row>
    <row r="88" customFormat="false" ht="15" hidden="false" customHeight="false" outlineLevel="0" collapsed="false">
      <c r="A88" s="27"/>
      <c r="B88" s="15"/>
      <c r="C88" s="15"/>
      <c r="D88" s="27"/>
      <c r="E88" s="27"/>
    </row>
    <row r="89" customFormat="false" ht="15" hidden="false" customHeight="false" outlineLevel="0" collapsed="false">
      <c r="A89" s="27"/>
      <c r="B89" s="15"/>
      <c r="C89" s="15"/>
      <c r="D89" s="27"/>
      <c r="E89" s="27"/>
    </row>
    <row r="90" customFormat="false" ht="15" hidden="false" customHeight="false" outlineLevel="0" collapsed="false">
      <c r="A90" s="27"/>
      <c r="B90" s="15"/>
      <c r="C90" s="15"/>
      <c r="D90" s="27"/>
      <c r="E90" s="27"/>
    </row>
    <row r="91" customFormat="false" ht="15" hidden="false" customHeight="false" outlineLevel="0" collapsed="false">
      <c r="A91" s="27"/>
      <c r="B91" s="15"/>
      <c r="C91" s="15"/>
      <c r="D91" s="27"/>
      <c r="E91" s="27"/>
    </row>
    <row r="92" customFormat="false" ht="15" hidden="false" customHeight="false" outlineLevel="0" collapsed="false">
      <c r="A92" s="27"/>
      <c r="B92" s="15"/>
      <c r="C92" s="15"/>
      <c r="D92" s="27"/>
      <c r="E92" s="27"/>
    </row>
    <row r="93" customFormat="false" ht="15" hidden="false" customHeight="false" outlineLevel="0" collapsed="false">
      <c r="A93" s="27"/>
      <c r="B93" s="15"/>
      <c r="C93" s="15"/>
      <c r="D93" s="27"/>
      <c r="E93" s="27"/>
    </row>
    <row r="94" customFormat="false" ht="15" hidden="false" customHeight="false" outlineLevel="0" collapsed="false">
      <c r="A94" s="27"/>
      <c r="B94" s="15"/>
      <c r="C94" s="15"/>
      <c r="D94" s="27"/>
      <c r="E94" s="27"/>
    </row>
    <row r="95" customFormat="false" ht="15" hidden="false" customHeight="false" outlineLevel="0" collapsed="false">
      <c r="A95" s="27"/>
      <c r="B95" s="15"/>
      <c r="C95" s="15"/>
      <c r="D95" s="27"/>
      <c r="E95" s="27"/>
    </row>
    <row r="96" customFormat="false" ht="15" hidden="false" customHeight="false" outlineLevel="0" collapsed="false">
      <c r="A96" s="27"/>
      <c r="B96" s="15"/>
      <c r="C96" s="15"/>
      <c r="D96" s="27"/>
      <c r="E96" s="27"/>
    </row>
    <row r="97" customFormat="false" ht="15" hidden="false" customHeight="false" outlineLevel="0" collapsed="false">
      <c r="A97" s="27"/>
      <c r="B97" s="15"/>
      <c r="C97" s="15"/>
      <c r="D97" s="27"/>
      <c r="E97" s="27"/>
    </row>
    <row r="98" customFormat="false" ht="15" hidden="false" customHeight="false" outlineLevel="0" collapsed="false">
      <c r="A98" s="27"/>
      <c r="B98" s="15"/>
      <c r="C98" s="15"/>
      <c r="D98" s="27"/>
      <c r="E98" s="27"/>
    </row>
    <row r="99" customFormat="false" ht="15" hidden="false" customHeight="false" outlineLevel="0" collapsed="false">
      <c r="A99" s="27"/>
      <c r="B99" s="15"/>
      <c r="C99" s="15"/>
      <c r="D99" s="27"/>
      <c r="E99" s="27"/>
    </row>
    <row r="100" customFormat="false" ht="15" hidden="false" customHeight="false" outlineLevel="0" collapsed="false">
      <c r="A100" s="27"/>
      <c r="B100" s="15"/>
      <c r="C100" s="15"/>
      <c r="D100" s="27"/>
      <c r="E100" s="27"/>
    </row>
    <row r="101" customFormat="false" ht="15" hidden="false" customHeight="false" outlineLevel="0" collapsed="false">
      <c r="A101" s="27"/>
      <c r="B101" s="15"/>
      <c r="C101" s="15"/>
      <c r="D101" s="27"/>
      <c r="E101" s="27"/>
    </row>
    <row r="102" customFormat="false" ht="15" hidden="false" customHeight="false" outlineLevel="0" collapsed="false">
      <c r="A102" s="27"/>
      <c r="B102" s="15"/>
      <c r="C102" s="15"/>
      <c r="D102" s="27"/>
      <c r="E102" s="27"/>
    </row>
    <row r="103" customFormat="false" ht="15" hidden="false" customHeight="false" outlineLevel="0" collapsed="false">
      <c r="A103" s="27"/>
      <c r="B103" s="15"/>
      <c r="C103" s="15"/>
      <c r="D103" s="27"/>
      <c r="E103" s="27"/>
    </row>
    <row r="104" customFormat="false" ht="15" hidden="false" customHeight="false" outlineLevel="0" collapsed="false">
      <c r="A104" s="27"/>
      <c r="B104" s="15"/>
      <c r="C104" s="15"/>
      <c r="D104" s="27"/>
      <c r="E104" s="27"/>
    </row>
    <row r="105" customFormat="false" ht="15" hidden="false" customHeight="false" outlineLevel="0" collapsed="false">
      <c r="A105" s="27"/>
      <c r="B105" s="15"/>
      <c r="C105" s="15"/>
      <c r="D105" s="27"/>
      <c r="E105" s="27"/>
    </row>
    <row r="106" customFormat="false" ht="15" hidden="false" customHeight="false" outlineLevel="0" collapsed="false">
      <c r="A106" s="27"/>
      <c r="B106" s="15"/>
      <c r="C106" s="15"/>
      <c r="D106" s="27"/>
      <c r="E106" s="27"/>
    </row>
    <row r="107" customFormat="false" ht="15" hidden="false" customHeight="false" outlineLevel="0" collapsed="false">
      <c r="A107" s="27"/>
      <c r="B107" s="15"/>
      <c r="C107" s="15"/>
      <c r="D107" s="27"/>
      <c r="E107" s="27"/>
    </row>
    <row r="108" customFormat="false" ht="15" hidden="false" customHeight="false" outlineLevel="0" collapsed="false">
      <c r="A108" s="27"/>
      <c r="B108" s="15"/>
      <c r="C108" s="15"/>
      <c r="D108" s="27"/>
      <c r="E108" s="27"/>
    </row>
    <row r="109" customFormat="false" ht="15" hidden="false" customHeight="false" outlineLevel="0" collapsed="false">
      <c r="A109" s="27"/>
      <c r="B109" s="15"/>
      <c r="C109" s="15"/>
      <c r="D109" s="27"/>
      <c r="E109" s="27"/>
    </row>
    <row r="110" customFormat="false" ht="15" hidden="false" customHeight="false" outlineLevel="0" collapsed="false">
      <c r="A110" s="27"/>
      <c r="B110" s="15"/>
      <c r="C110" s="15"/>
      <c r="D110" s="27"/>
      <c r="E110" s="27"/>
    </row>
    <row r="111" customFormat="false" ht="15" hidden="false" customHeight="false" outlineLevel="0" collapsed="false">
      <c r="A111" s="27"/>
      <c r="B111" s="15"/>
      <c r="C111" s="15"/>
      <c r="D111" s="27"/>
      <c r="E111" s="27"/>
    </row>
    <row r="112" customFormat="false" ht="15" hidden="false" customHeight="false" outlineLevel="0" collapsed="false">
      <c r="A112" s="27"/>
      <c r="B112" s="15"/>
      <c r="C112" s="15"/>
      <c r="D112" s="27"/>
      <c r="E112" s="27"/>
    </row>
    <row r="113" customFormat="false" ht="15" hidden="false" customHeight="false" outlineLevel="0" collapsed="false">
      <c r="A113" s="27"/>
      <c r="B113" s="15"/>
      <c r="C113" s="15"/>
      <c r="D113" s="27"/>
      <c r="E113" s="27"/>
    </row>
    <row r="114" customFormat="false" ht="15" hidden="false" customHeight="false" outlineLevel="0" collapsed="false">
      <c r="A114" s="27"/>
      <c r="B114" s="15"/>
      <c r="C114" s="15"/>
      <c r="D114" s="27"/>
      <c r="E114" s="27"/>
    </row>
    <row r="115" customFormat="false" ht="15" hidden="false" customHeight="false" outlineLevel="0" collapsed="false">
      <c r="A115" s="27"/>
      <c r="B115" s="15"/>
      <c r="C115" s="15"/>
      <c r="D115" s="27"/>
      <c r="E115" s="27"/>
    </row>
    <row r="116" customFormat="false" ht="15" hidden="false" customHeight="false" outlineLevel="0" collapsed="false">
      <c r="A116" s="27"/>
      <c r="B116" s="15"/>
      <c r="C116" s="15"/>
      <c r="D116" s="27"/>
      <c r="E116" s="27"/>
    </row>
    <row r="117" customFormat="false" ht="15" hidden="false" customHeight="false" outlineLevel="0" collapsed="false">
      <c r="A117" s="27"/>
      <c r="B117" s="15"/>
      <c r="C117" s="15"/>
      <c r="D117" s="27"/>
      <c r="E117" s="27"/>
    </row>
    <row r="118" customFormat="false" ht="15" hidden="false" customHeight="false" outlineLevel="0" collapsed="false">
      <c r="A118" s="27"/>
      <c r="B118" s="15"/>
      <c r="C118" s="15"/>
      <c r="D118" s="27"/>
      <c r="E118" s="27"/>
    </row>
    <row r="119" customFormat="false" ht="15" hidden="false" customHeight="false" outlineLevel="0" collapsed="false">
      <c r="A119" s="27"/>
      <c r="B119" s="15"/>
      <c r="C119" s="15"/>
      <c r="D119" s="27"/>
      <c r="E119" s="27"/>
    </row>
    <row r="120" customFormat="false" ht="15" hidden="false" customHeight="false" outlineLevel="0" collapsed="false">
      <c r="A120" s="27"/>
      <c r="B120" s="15"/>
      <c r="C120" s="15"/>
      <c r="D120" s="27"/>
      <c r="E120" s="27"/>
    </row>
    <row r="121" customFormat="false" ht="15" hidden="false" customHeight="false" outlineLevel="0" collapsed="false">
      <c r="A121" s="27"/>
      <c r="B121" s="15"/>
      <c r="C121" s="15"/>
      <c r="D121" s="27"/>
      <c r="E121" s="27"/>
    </row>
    <row r="122" customFormat="false" ht="15" hidden="false" customHeight="false" outlineLevel="0" collapsed="false">
      <c r="A122" s="27"/>
      <c r="B122" s="15"/>
      <c r="C122" s="15"/>
      <c r="D122" s="27"/>
      <c r="E122" s="27"/>
    </row>
    <row r="123" customFormat="false" ht="15" hidden="false" customHeight="false" outlineLevel="0" collapsed="false">
      <c r="A123" s="27"/>
      <c r="B123" s="15"/>
      <c r="C123" s="15"/>
      <c r="D123" s="27"/>
      <c r="E123" s="27"/>
    </row>
    <row r="124" customFormat="false" ht="15" hidden="false" customHeight="false" outlineLevel="0" collapsed="false">
      <c r="A124" s="27"/>
      <c r="B124" s="15"/>
      <c r="C124" s="15"/>
      <c r="D124" s="27"/>
      <c r="E124" s="27"/>
    </row>
    <row r="125" customFormat="false" ht="15" hidden="false" customHeight="false" outlineLevel="0" collapsed="false">
      <c r="A125" s="27"/>
      <c r="B125" s="15"/>
      <c r="C125" s="15"/>
      <c r="D125" s="27"/>
      <c r="E125" s="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5" min="5" style="0" width="50"/>
  </cols>
  <sheetData>
    <row r="1" customFormat="false" ht="17.35" hidden="false" customHeight="false" outlineLevel="0" collapsed="false">
      <c r="A1" s="1" t="s">
        <v>542</v>
      </c>
    </row>
    <row r="2" customFormat="false" ht="15" hidden="false" customHeight="false" outlineLevel="0" collapsed="false">
      <c r="A2" s="2" t="s">
        <v>543</v>
      </c>
    </row>
    <row r="5" customFormat="false" ht="45" hidden="false" customHeight="true" outlineLevel="0" collapsed="false">
      <c r="A5" s="6" t="s">
        <v>544</v>
      </c>
      <c r="B5" s="6" t="s">
        <v>545</v>
      </c>
      <c r="C5" s="6" t="s">
        <v>546</v>
      </c>
      <c r="D5" s="6" t="s">
        <v>245</v>
      </c>
      <c r="E5" s="6" t="s">
        <v>415</v>
      </c>
    </row>
    <row r="6" customFormat="false" ht="15" hidden="false" customHeight="false" outlineLevel="0" collapsed="false">
      <c r="A6" s="27" t="s">
        <v>547</v>
      </c>
      <c r="B6" s="27" t="s">
        <v>548</v>
      </c>
      <c r="C6" s="15" t="n">
        <v>350</v>
      </c>
      <c r="D6" s="27" t="s">
        <v>249</v>
      </c>
      <c r="E6" s="27" t="s">
        <v>549</v>
      </c>
    </row>
    <row r="7" customFormat="false" ht="15" hidden="false" customHeight="false" outlineLevel="0" collapsed="false">
      <c r="A7" s="27" t="s">
        <v>550</v>
      </c>
      <c r="B7" s="27" t="s">
        <v>548</v>
      </c>
      <c r="C7" s="15" t="n">
        <v>8500</v>
      </c>
      <c r="D7" s="27" t="s">
        <v>249</v>
      </c>
      <c r="E7" s="27" t="s">
        <v>551</v>
      </c>
    </row>
    <row r="8" customFormat="false" ht="15" hidden="false" customHeight="false" outlineLevel="0" collapsed="false">
      <c r="A8" s="27" t="s">
        <v>552</v>
      </c>
      <c r="B8" s="27" t="s">
        <v>548</v>
      </c>
      <c r="C8" s="15" t="n">
        <v>150</v>
      </c>
      <c r="D8" s="27" t="s">
        <v>249</v>
      </c>
      <c r="E8" s="27" t="s">
        <v>549</v>
      </c>
    </row>
    <row r="9" customFormat="false" ht="15" hidden="false" customHeight="false" outlineLevel="0" collapsed="false">
      <c r="A9" s="27" t="s">
        <v>553</v>
      </c>
      <c r="B9" s="27" t="s">
        <v>548</v>
      </c>
      <c r="C9" s="15" t="n">
        <v>80</v>
      </c>
      <c r="D9" s="27" t="s">
        <v>249</v>
      </c>
      <c r="E9" s="27" t="s">
        <v>549</v>
      </c>
    </row>
    <row r="10" customFormat="false" ht="15" hidden="false" customHeight="false" outlineLevel="0" collapsed="false">
      <c r="A10" s="27" t="s">
        <v>554</v>
      </c>
      <c r="B10" s="27" t="s">
        <v>548</v>
      </c>
      <c r="C10" s="15" t="n">
        <v>65</v>
      </c>
      <c r="D10" s="27" t="s">
        <v>249</v>
      </c>
      <c r="E10" s="27"/>
    </row>
    <row r="11" customFormat="false" ht="15" hidden="false" customHeight="false" outlineLevel="0" collapsed="false">
      <c r="A11" s="27" t="s">
        <v>555</v>
      </c>
      <c r="B11" s="27" t="s">
        <v>548</v>
      </c>
      <c r="C11" s="15" t="n">
        <v>600</v>
      </c>
      <c r="D11" s="27" t="s">
        <v>249</v>
      </c>
      <c r="E11" s="27" t="s">
        <v>549</v>
      </c>
    </row>
    <row r="12" customFormat="false" ht="15" hidden="false" customHeight="false" outlineLevel="0" collapsed="false">
      <c r="A12" s="27" t="s">
        <v>556</v>
      </c>
      <c r="B12" s="27" t="s">
        <v>548</v>
      </c>
      <c r="C12" s="15" t="n">
        <v>200</v>
      </c>
      <c r="D12" s="27" t="s">
        <v>249</v>
      </c>
      <c r="E12" s="27" t="s">
        <v>549</v>
      </c>
    </row>
    <row r="13" customFormat="false" ht="15" hidden="false" customHeight="false" outlineLevel="0" collapsed="false">
      <c r="A13" s="27" t="s">
        <v>557</v>
      </c>
      <c r="B13" s="27" t="s">
        <v>548</v>
      </c>
      <c r="C13" s="15" t="n">
        <v>5454</v>
      </c>
      <c r="D13" s="27" t="s">
        <v>249</v>
      </c>
      <c r="E13" s="27"/>
    </row>
    <row r="14" customFormat="false" ht="15" hidden="false" customHeight="false" outlineLevel="0" collapsed="false">
      <c r="A14" s="27" t="s">
        <v>558</v>
      </c>
      <c r="B14" s="27" t="s">
        <v>548</v>
      </c>
      <c r="C14" s="15" t="n">
        <v>900</v>
      </c>
      <c r="D14" s="27" t="s">
        <v>249</v>
      </c>
      <c r="E14" s="27" t="s">
        <v>549</v>
      </c>
    </row>
    <row r="15" customFormat="false" ht="15" hidden="false" customHeight="false" outlineLevel="0" collapsed="false">
      <c r="A15" s="27" t="s">
        <v>559</v>
      </c>
      <c r="B15" s="27" t="s">
        <v>548</v>
      </c>
      <c r="C15" s="15" t="n">
        <v>400</v>
      </c>
      <c r="D15" s="27" t="s">
        <v>249</v>
      </c>
      <c r="E15" s="27" t="s">
        <v>549</v>
      </c>
    </row>
    <row r="16" customFormat="false" ht="15" hidden="false" customHeight="false" outlineLevel="0" collapsed="false">
      <c r="A16" s="27"/>
      <c r="B16" s="27"/>
      <c r="C16" s="15"/>
      <c r="D16" s="27"/>
      <c r="E16" s="27"/>
    </row>
    <row r="17" customFormat="false" ht="15" hidden="false" customHeight="false" outlineLevel="0" collapsed="false">
      <c r="A17" s="27"/>
      <c r="B17" s="27"/>
      <c r="C17" s="15"/>
      <c r="D17" s="27"/>
      <c r="E17" s="27"/>
    </row>
    <row r="18" customFormat="false" ht="15" hidden="false" customHeight="false" outlineLevel="0" collapsed="false">
      <c r="A18" s="27"/>
      <c r="B18" s="27"/>
      <c r="C18" s="15"/>
      <c r="D18" s="27"/>
      <c r="E18" s="27"/>
    </row>
    <row r="19" customFormat="false" ht="15" hidden="false" customHeight="false" outlineLevel="0" collapsed="false">
      <c r="A19" s="27"/>
      <c r="B19" s="27"/>
      <c r="C19" s="15"/>
      <c r="D19" s="27"/>
      <c r="E19" s="27"/>
    </row>
    <row r="20" customFormat="false" ht="15" hidden="false" customHeight="false" outlineLevel="0" collapsed="false">
      <c r="A20" s="27"/>
      <c r="B20" s="27"/>
      <c r="C20" s="15"/>
      <c r="D20" s="27"/>
      <c r="E20" s="27"/>
    </row>
    <row r="21" customFormat="false" ht="15" hidden="false" customHeight="false" outlineLevel="0" collapsed="false">
      <c r="A21" s="27"/>
      <c r="B21" s="27"/>
      <c r="C21" s="15"/>
      <c r="D21" s="27"/>
      <c r="E21" s="27"/>
    </row>
    <row r="22" customFormat="false" ht="15" hidden="false" customHeight="false" outlineLevel="0" collapsed="false">
      <c r="A22" s="27"/>
      <c r="B22" s="27"/>
      <c r="C22" s="15"/>
      <c r="D22" s="27"/>
      <c r="E22" s="27"/>
    </row>
    <row r="23" customFormat="false" ht="15" hidden="false" customHeight="false" outlineLevel="0" collapsed="false">
      <c r="A23" s="27"/>
      <c r="B23" s="27"/>
      <c r="C23" s="15"/>
      <c r="D23" s="27"/>
      <c r="E23" s="27"/>
    </row>
    <row r="24" customFormat="false" ht="15" hidden="false" customHeight="false" outlineLevel="0" collapsed="false">
      <c r="A24" s="27"/>
      <c r="B24" s="27"/>
      <c r="C24" s="15"/>
      <c r="D24" s="27"/>
      <c r="E24" s="27"/>
    </row>
    <row r="25" customFormat="false" ht="15" hidden="false" customHeight="false" outlineLevel="0" collapsed="false">
      <c r="A25" s="27"/>
      <c r="B25" s="27"/>
      <c r="C25" s="15"/>
      <c r="D25" s="27"/>
      <c r="E25" s="27"/>
    </row>
    <row r="26" customFormat="false" ht="15" hidden="false" customHeight="false" outlineLevel="0" collapsed="false">
      <c r="A26" s="27"/>
      <c r="B26" s="27"/>
      <c r="C26" s="15"/>
      <c r="D26" s="27"/>
      <c r="E26" s="27"/>
    </row>
    <row r="27" customFormat="false" ht="15" hidden="false" customHeight="false" outlineLevel="0" collapsed="false">
      <c r="A27" s="27"/>
      <c r="B27" s="27"/>
      <c r="C27" s="15"/>
      <c r="D27" s="27"/>
      <c r="E27" s="27"/>
    </row>
    <row r="28" customFormat="false" ht="15" hidden="false" customHeight="false" outlineLevel="0" collapsed="false">
      <c r="A28" s="27"/>
      <c r="B28" s="27"/>
      <c r="C28" s="15"/>
      <c r="D28" s="27"/>
      <c r="E28" s="27"/>
    </row>
    <row r="29" customFormat="false" ht="15" hidden="false" customHeight="false" outlineLevel="0" collapsed="false">
      <c r="A29" s="27"/>
      <c r="B29" s="27"/>
      <c r="C29" s="15"/>
      <c r="D29" s="27"/>
      <c r="E29" s="27"/>
    </row>
    <row r="30" customFormat="false" ht="15" hidden="false" customHeight="false" outlineLevel="0" collapsed="false">
      <c r="A30" s="27"/>
      <c r="B30" s="27"/>
      <c r="C30" s="15"/>
      <c r="D30" s="27"/>
      <c r="E30" s="27"/>
    </row>
    <row r="31" customFormat="false" ht="15" hidden="false" customHeight="false" outlineLevel="0" collapsed="false">
      <c r="A31" s="27"/>
      <c r="B31" s="27"/>
      <c r="C31" s="15"/>
      <c r="D31" s="27"/>
      <c r="E31" s="27"/>
    </row>
    <row r="32" customFormat="false" ht="15" hidden="false" customHeight="false" outlineLevel="0" collapsed="false">
      <c r="A32" s="27"/>
      <c r="B32" s="27"/>
      <c r="C32" s="15"/>
      <c r="D32" s="27"/>
      <c r="E32" s="27"/>
    </row>
    <row r="33" customFormat="false" ht="15" hidden="false" customHeight="false" outlineLevel="0" collapsed="false">
      <c r="A33" s="27"/>
      <c r="B33" s="27"/>
      <c r="C33" s="15"/>
      <c r="D33" s="27"/>
      <c r="E33" s="27"/>
    </row>
    <row r="34" customFormat="false" ht="15" hidden="false" customHeight="false" outlineLevel="0" collapsed="false">
      <c r="A34" s="27"/>
      <c r="B34" s="27"/>
      <c r="C34" s="15"/>
      <c r="D34" s="27"/>
      <c r="E34" s="27"/>
    </row>
    <row r="35" customFormat="false" ht="15" hidden="false" customHeight="false" outlineLevel="0" collapsed="false">
      <c r="A35" s="27"/>
      <c r="B35" s="27"/>
      <c r="C35" s="15"/>
      <c r="D35" s="27"/>
      <c r="E35" s="27"/>
    </row>
    <row r="36" customFormat="false" ht="15" hidden="false" customHeight="false" outlineLevel="0" collapsed="false">
      <c r="A36" s="27"/>
      <c r="B36" s="27"/>
      <c r="C36" s="15"/>
      <c r="D36" s="27"/>
      <c r="E36" s="27"/>
    </row>
    <row r="37" customFormat="false" ht="15" hidden="false" customHeight="false" outlineLevel="0" collapsed="false">
      <c r="A37" s="27"/>
      <c r="B37" s="27"/>
      <c r="C37" s="15"/>
      <c r="D37" s="27"/>
      <c r="E37" s="27"/>
    </row>
    <row r="38" customFormat="false" ht="15" hidden="false" customHeight="false" outlineLevel="0" collapsed="false">
      <c r="A38" s="27"/>
      <c r="B38" s="27"/>
      <c r="C38" s="15"/>
      <c r="D38" s="27"/>
      <c r="E38" s="27"/>
    </row>
    <row r="39" customFormat="false" ht="15" hidden="false" customHeight="false" outlineLevel="0" collapsed="false">
      <c r="A39" s="27"/>
      <c r="B39" s="27"/>
      <c r="C39" s="15"/>
      <c r="D39" s="27"/>
      <c r="E39" s="27"/>
    </row>
    <row r="40" customFormat="false" ht="15" hidden="false" customHeight="false" outlineLevel="0" collapsed="false">
      <c r="A40" s="27"/>
      <c r="B40" s="27"/>
      <c r="C40" s="15"/>
      <c r="D40" s="27"/>
      <c r="E40" s="27"/>
    </row>
    <row r="41" customFormat="false" ht="15" hidden="false" customHeight="false" outlineLevel="0" collapsed="false">
      <c r="A41" s="27"/>
      <c r="B41" s="27"/>
      <c r="C41" s="15"/>
      <c r="D41" s="27"/>
      <c r="E41" s="27"/>
    </row>
    <row r="42" customFormat="false" ht="15" hidden="false" customHeight="false" outlineLevel="0" collapsed="false">
      <c r="A42" s="27"/>
      <c r="B42" s="27"/>
      <c r="C42" s="15"/>
      <c r="D42" s="27"/>
      <c r="E42" s="27"/>
    </row>
    <row r="43" customFormat="false" ht="15" hidden="false" customHeight="false" outlineLevel="0" collapsed="false">
      <c r="A43" s="27"/>
      <c r="B43" s="27"/>
      <c r="C43" s="15"/>
      <c r="D43" s="27"/>
      <c r="E43" s="27"/>
    </row>
    <row r="44" customFormat="false" ht="15" hidden="false" customHeight="false" outlineLevel="0" collapsed="false">
      <c r="A44" s="27"/>
      <c r="B44" s="27"/>
      <c r="C44" s="15"/>
      <c r="D44" s="27"/>
      <c r="E44" s="27"/>
    </row>
    <row r="45" customFormat="false" ht="15" hidden="false" customHeight="false" outlineLevel="0" collapsed="false">
      <c r="A45" s="27"/>
      <c r="B45" s="27"/>
      <c r="C45" s="15"/>
      <c r="D45" s="27"/>
      <c r="E45" s="27"/>
    </row>
    <row r="46" customFormat="false" ht="15" hidden="false" customHeight="false" outlineLevel="0" collapsed="false">
      <c r="A46" s="27"/>
      <c r="B46" s="27"/>
      <c r="C46" s="15"/>
      <c r="D46" s="27"/>
      <c r="E46" s="27"/>
    </row>
    <row r="47" customFormat="false" ht="15" hidden="false" customHeight="false" outlineLevel="0" collapsed="false">
      <c r="A47" s="27"/>
      <c r="B47" s="27"/>
      <c r="C47" s="15"/>
      <c r="D47" s="27"/>
      <c r="E47" s="27"/>
    </row>
    <row r="48" customFormat="false" ht="15" hidden="false" customHeight="false" outlineLevel="0" collapsed="false">
      <c r="A48" s="27"/>
      <c r="B48" s="27"/>
      <c r="C48" s="15"/>
      <c r="D48" s="27"/>
      <c r="E48" s="27"/>
    </row>
    <row r="49" customFormat="false" ht="15" hidden="false" customHeight="false" outlineLevel="0" collapsed="false">
      <c r="A49" s="27"/>
      <c r="B49" s="27"/>
      <c r="C49" s="15"/>
      <c r="D49" s="27"/>
      <c r="E49" s="27"/>
    </row>
    <row r="50" customFormat="false" ht="15" hidden="false" customHeight="false" outlineLevel="0" collapsed="false">
      <c r="A50" s="27"/>
      <c r="B50" s="27"/>
      <c r="C50" s="15"/>
      <c r="D50" s="27"/>
      <c r="E50" s="27"/>
    </row>
    <row r="51" customFormat="false" ht="15" hidden="false" customHeight="false" outlineLevel="0" collapsed="false">
      <c r="A51" s="27"/>
      <c r="B51" s="27"/>
      <c r="C51" s="15"/>
      <c r="D51" s="27"/>
      <c r="E51" s="27"/>
    </row>
    <row r="52" customFormat="false" ht="15" hidden="false" customHeight="false" outlineLevel="0" collapsed="false">
      <c r="A52" s="27"/>
      <c r="B52" s="27"/>
      <c r="C52" s="15"/>
      <c r="D52" s="27"/>
      <c r="E52" s="27"/>
    </row>
    <row r="53" customFormat="false" ht="15" hidden="false" customHeight="false" outlineLevel="0" collapsed="false">
      <c r="A53" s="27"/>
      <c r="B53" s="27"/>
      <c r="C53" s="15"/>
      <c r="D53" s="27"/>
      <c r="E53" s="27"/>
    </row>
    <row r="54" customFormat="false" ht="15" hidden="false" customHeight="false" outlineLevel="0" collapsed="false">
      <c r="A54" s="27"/>
      <c r="B54" s="27"/>
      <c r="C54" s="15"/>
      <c r="D54" s="27"/>
      <c r="E54" s="27"/>
    </row>
    <row r="55" customFormat="false" ht="15" hidden="false" customHeight="false" outlineLevel="0" collapsed="false">
      <c r="A55" s="27"/>
      <c r="B55" s="27"/>
      <c r="C55" s="15"/>
      <c r="D55" s="27"/>
      <c r="E55" s="27"/>
    </row>
    <row r="56" customFormat="false" ht="15" hidden="false" customHeight="false" outlineLevel="0" collapsed="false">
      <c r="A56" s="27"/>
      <c r="B56" s="27"/>
      <c r="C56" s="15"/>
      <c r="D56" s="27"/>
      <c r="E56" s="27"/>
    </row>
    <row r="57" customFormat="false" ht="15" hidden="false" customHeight="false" outlineLevel="0" collapsed="false">
      <c r="A57" s="27"/>
      <c r="B57" s="27"/>
      <c r="C57" s="15"/>
      <c r="D57" s="27"/>
      <c r="E57" s="27"/>
    </row>
    <row r="58" customFormat="false" ht="15" hidden="false" customHeight="false" outlineLevel="0" collapsed="false">
      <c r="A58" s="27"/>
      <c r="B58" s="27"/>
      <c r="C58" s="15"/>
      <c r="D58" s="27"/>
      <c r="E58" s="27"/>
    </row>
    <row r="59" customFormat="false" ht="15" hidden="false" customHeight="false" outlineLevel="0" collapsed="false">
      <c r="A59" s="27"/>
      <c r="B59" s="27"/>
      <c r="C59" s="15"/>
      <c r="D59" s="27"/>
      <c r="E59" s="27"/>
    </row>
    <row r="60" customFormat="false" ht="15" hidden="false" customHeight="false" outlineLevel="0" collapsed="false">
      <c r="A60" s="27"/>
      <c r="B60" s="27"/>
      <c r="C60" s="15"/>
      <c r="D60" s="27"/>
      <c r="E60" s="27"/>
    </row>
    <row r="61" customFormat="false" ht="15" hidden="false" customHeight="false" outlineLevel="0" collapsed="false">
      <c r="A61" s="27"/>
      <c r="B61" s="27"/>
      <c r="C61" s="15"/>
      <c r="D61" s="27"/>
      <c r="E61" s="27"/>
    </row>
    <row r="62" customFormat="false" ht="15" hidden="false" customHeight="false" outlineLevel="0" collapsed="false">
      <c r="A62" s="27"/>
      <c r="B62" s="27"/>
      <c r="C62" s="15"/>
      <c r="D62" s="27"/>
      <c r="E62" s="27"/>
    </row>
    <row r="63" customFormat="false" ht="15" hidden="false" customHeight="false" outlineLevel="0" collapsed="false">
      <c r="A63" s="27"/>
      <c r="B63" s="27"/>
      <c r="C63" s="15"/>
      <c r="D63" s="27"/>
      <c r="E63" s="27"/>
    </row>
    <row r="64" customFormat="false" ht="15" hidden="false" customHeight="false" outlineLevel="0" collapsed="false">
      <c r="A64" s="27"/>
      <c r="B64" s="27"/>
      <c r="C64" s="15"/>
      <c r="D64" s="27"/>
      <c r="E64" s="27"/>
    </row>
    <row r="65" customFormat="false" ht="15" hidden="false" customHeight="false" outlineLevel="0" collapsed="false">
      <c r="A65" s="27"/>
      <c r="B65" s="27"/>
      <c r="C65" s="15"/>
      <c r="D65" s="27"/>
      <c r="E65" s="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1" t="s">
        <v>560</v>
      </c>
    </row>
    <row r="2" customFormat="false" ht="15" hidden="false" customHeight="false" outlineLevel="0" collapsed="false">
      <c r="A2" s="2" t="s">
        <v>561</v>
      </c>
    </row>
    <row r="4" customFormat="false" ht="15" hidden="false" customHeight="false" outlineLevel="0" collapsed="false">
      <c r="A4" s="34" t="s">
        <v>562</v>
      </c>
    </row>
    <row r="5" customFormat="false" ht="15" hidden="false" customHeight="false" outlineLevel="0" collapsed="false">
      <c r="A5" s="35" t="s">
        <v>563</v>
      </c>
      <c r="B5" s="36" t="n">
        <v>0.255</v>
      </c>
      <c r="C5" s="21" t="s">
        <v>564</v>
      </c>
    </row>
    <row r="6" customFormat="false" ht="15" hidden="false" customHeight="false" outlineLevel="0" collapsed="false">
      <c r="A6" s="35" t="s">
        <v>565</v>
      </c>
      <c r="B6" s="36" t="n">
        <v>0.133</v>
      </c>
      <c r="C6" s="21" t="s">
        <v>566</v>
      </c>
    </row>
    <row r="7" customFormat="false" ht="15" hidden="false" customHeight="false" outlineLevel="0" collapsed="false">
      <c r="A7" s="35" t="s">
        <v>567</v>
      </c>
      <c r="B7" s="36" t="n">
        <v>0.046</v>
      </c>
      <c r="C7" s="21" t="s">
        <v>566</v>
      </c>
    </row>
    <row r="8" customFormat="false" ht="28.35" hidden="false" customHeight="false" outlineLevel="0" collapsed="false">
      <c r="A8" s="18" t="s">
        <v>568</v>
      </c>
      <c r="B8" s="37" t="n">
        <f aca="false">B5+B6+B7</f>
        <v>0.434</v>
      </c>
      <c r="C8" s="21" t="s">
        <v>569</v>
      </c>
    </row>
    <row r="10" customFormat="false" ht="15" hidden="false" customHeight="false" outlineLevel="0" collapsed="false">
      <c r="A10" s="34" t="s">
        <v>570</v>
      </c>
    </row>
    <row r="11" customFormat="false" ht="15" hidden="false" customHeight="false" outlineLevel="0" collapsed="false">
      <c r="A11" s="35" t="s">
        <v>571</v>
      </c>
      <c r="B11" s="36" t="n">
        <v>0.15</v>
      </c>
      <c r="C11" s="21" t="s">
        <v>572</v>
      </c>
    </row>
    <row r="12" customFormat="false" ht="28.35" hidden="false" customHeight="false" outlineLevel="0" collapsed="false">
      <c r="A12" s="18" t="s">
        <v>573</v>
      </c>
      <c r="B12" s="38" t="n">
        <f aca="false">IFERROR(1/(1-B8-B11),"")</f>
        <v>2.40384615384615</v>
      </c>
      <c r="C12" s="21" t="s">
        <v>574</v>
      </c>
    </row>
    <row r="14" customFormat="false" ht="15" hidden="false" customHeight="false" outlineLevel="0" collapsed="false">
      <c r="A14" s="34" t="s">
        <v>575</v>
      </c>
    </row>
    <row r="15" customFormat="false" ht="15" hidden="false" customHeight="false" outlineLevel="0" collapsed="false">
      <c r="A15" s="35" t="s">
        <v>576</v>
      </c>
      <c r="B15" s="15" t="n">
        <v>50420</v>
      </c>
      <c r="C15" s="21" t="s">
        <v>577</v>
      </c>
    </row>
    <row r="16" customFormat="false" ht="15" hidden="false" customHeight="false" outlineLevel="0" collapsed="false">
      <c r="A16" s="35" t="s">
        <v>578</v>
      </c>
      <c r="B16" s="27"/>
      <c r="C16" s="21" t="s">
        <v>579</v>
      </c>
    </row>
    <row r="17" customFormat="false" ht="15" hidden="false" customHeight="false" outlineLevel="0" collapsed="false">
      <c r="A17" s="35" t="s">
        <v>580</v>
      </c>
      <c r="B17" s="15" t="n">
        <v>72119</v>
      </c>
      <c r="C17" s="21" t="s">
        <v>581</v>
      </c>
    </row>
    <row r="18" customFormat="false" ht="15" hidden="false" customHeight="false" outlineLevel="0" collapsed="false">
      <c r="A18" s="35" t="s">
        <v>582</v>
      </c>
      <c r="B18" s="27"/>
      <c r="C18" s="21" t="s">
        <v>583</v>
      </c>
    </row>
    <row r="19" customFormat="false" ht="15" hidden="false" customHeight="false" outlineLevel="0" collapsed="false">
      <c r="A19" s="18" t="s">
        <v>584</v>
      </c>
      <c r="B19" s="39" t="n">
        <f aca="false">IFERROR(B15/B16,0)+N(B18)*N(B17)/1000</f>
        <v>0</v>
      </c>
      <c r="C19" s="21" t="s">
        <v>585</v>
      </c>
    </row>
    <row r="21" customFormat="false" ht="15" hidden="false" customHeight="false" outlineLevel="0" collapsed="false">
      <c r="A21" s="34" t="s">
        <v>586</v>
      </c>
    </row>
    <row r="22" customFormat="false" ht="28.35" hidden="false" customHeight="false" outlineLevel="0" collapsed="false">
      <c r="A22" s="35" t="s">
        <v>587</v>
      </c>
      <c r="B22" s="36" t="n">
        <v>0</v>
      </c>
      <c r="C22" s="21" t="s">
        <v>588</v>
      </c>
    </row>
    <row r="24" customFormat="false" ht="15" hidden="false" customHeight="false" outlineLevel="0" collapsed="false">
      <c r="A24" s="34" t="s">
        <v>589</v>
      </c>
    </row>
    <row r="25" customFormat="false" ht="60" hidden="false" customHeight="true" outlineLevel="0" collapsed="false">
      <c r="A25" s="40" t="s">
        <v>590</v>
      </c>
      <c r="B25" s="40"/>
      <c r="C25" s="40"/>
    </row>
  </sheetData>
  <mergeCells count="1">
    <mergeCell ref="A25:C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0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591</v>
      </c>
    </row>
    <row r="2" customFormat="false" ht="15" hidden="false" customHeight="false" outlineLevel="0" collapsed="false">
      <c r="A2" s="2" t="s">
        <v>592</v>
      </c>
    </row>
    <row r="3" customFormat="false" ht="15" hidden="false" customHeight="false" outlineLevel="0" collapsed="false">
      <c r="A3" s="22" t="str">
        <f aca="false">"Con costo completo: "&amp;COUNTIF(F6:F300,"Completa")&amp;" de "&amp;COUNTA(A6:A300)&amp;" productos  ·  cubren el "&amp;TEXT(IFERROR(SUMIF(F6:F300,"Completa",D6:D300)/SUM(D6:D300),0),"0%")&amp;" de las unidades vendidas"</f>
        <v>Con costo completo: 1 de 131 productos  ·  cubren el 1% de las unidades vendidas</v>
      </c>
    </row>
    <row r="5" customFormat="false" ht="45" hidden="false" customHeight="true" outlineLevel="0" collapsed="false">
      <c r="A5" s="6" t="s">
        <v>240</v>
      </c>
      <c r="B5" s="6" t="s">
        <v>241</v>
      </c>
      <c r="C5" s="6" t="s">
        <v>242</v>
      </c>
      <c r="D5" s="6" t="s">
        <v>593</v>
      </c>
      <c r="E5" s="6" t="s">
        <v>594</v>
      </c>
      <c r="F5" s="6" t="s">
        <v>245</v>
      </c>
    </row>
    <row r="6" customFormat="false" ht="15" hidden="false" customHeight="false" outlineLevel="0" collapsed="false">
      <c r="A6" s="0" t="s">
        <v>595</v>
      </c>
      <c r="B6" s="0" t="s">
        <v>596</v>
      </c>
      <c r="C6" s="0" t="s">
        <v>597</v>
      </c>
      <c r="D6" s="0" t="n">
        <v>496</v>
      </c>
      <c r="E6" s="41" t="n">
        <v>26379</v>
      </c>
      <c r="F6" s="0" t="str">
        <f aca="false">IF(COUNTIF(Productos!$A$6:$A$145,A6)=0,IF(C6="KIT/DÚO","Kit (después)","No está"),IF(COUNTIFS(Productos!$A$6:$A$145,A6,Productos!$V$6:$V$145,"&gt;0")&gt;0,"Completa","Faltan datos"))</f>
        <v>Kit (después)</v>
      </c>
    </row>
    <row r="7" customFormat="false" ht="15" hidden="false" customHeight="false" outlineLevel="0" collapsed="false">
      <c r="A7" s="0" t="s">
        <v>598</v>
      </c>
      <c r="B7" s="0" t="s">
        <v>599</v>
      </c>
      <c r="C7" s="0" t="s">
        <v>600</v>
      </c>
      <c r="D7" s="0" t="n">
        <v>387</v>
      </c>
      <c r="E7" s="41" t="n">
        <v>2094</v>
      </c>
      <c r="F7" s="0" t="str">
        <f aca="false">IF(COUNTIF(Productos!$A$6:$A$145,A7)=0,IF(C7="KIT/DÚO","Kit (después)","No está"),IF(COUNTIFS(Productos!$A$6:$A$145,A7,Productos!$V$6:$V$145,"&gt;0")&gt;0,"Completa","Faltan datos"))</f>
        <v>No está</v>
      </c>
    </row>
    <row r="8" customFormat="false" ht="15" hidden="false" customHeight="false" outlineLevel="0" collapsed="false">
      <c r="A8" s="0" t="s">
        <v>601</v>
      </c>
      <c r="B8" s="0" t="s">
        <v>602</v>
      </c>
      <c r="C8" s="0" t="s">
        <v>597</v>
      </c>
      <c r="D8" s="0" t="n">
        <v>214</v>
      </c>
      <c r="E8" s="41" t="n">
        <v>29580</v>
      </c>
      <c r="F8" s="0" t="str">
        <f aca="false">IF(COUNTIF(Productos!$A$6:$A$145,A8)=0,IF(C8="KIT/DÚO","Kit (después)","No está"),IF(COUNTIFS(Productos!$A$6:$A$145,A8,Productos!$V$6:$V$145,"&gt;0")&gt;0,"Completa","Faltan datos"))</f>
        <v>Kit (después)</v>
      </c>
    </row>
    <row r="9" customFormat="false" ht="15" hidden="false" customHeight="false" outlineLevel="0" collapsed="false">
      <c r="A9" s="0" t="s">
        <v>603</v>
      </c>
      <c r="B9" s="0" t="s">
        <v>604</v>
      </c>
      <c r="C9" s="0" t="s">
        <v>600</v>
      </c>
      <c r="D9" s="0" t="n">
        <v>214</v>
      </c>
      <c r="E9" s="41" t="n">
        <v>2941</v>
      </c>
      <c r="F9" s="0" t="str">
        <f aca="false">IF(COUNTIF(Productos!$A$6:$A$145,A9)=0,IF(C9="KIT/DÚO","Kit (después)","No está"),IF(COUNTIFS(Productos!$A$6:$A$145,A9,Productos!$V$6:$V$145,"&gt;0")&gt;0,"Completa","Faltan datos"))</f>
        <v>No está</v>
      </c>
    </row>
    <row r="10" customFormat="false" ht="15" hidden="false" customHeight="false" outlineLevel="0" collapsed="false">
      <c r="A10" s="0" t="s">
        <v>605</v>
      </c>
      <c r="B10" s="0" t="s">
        <v>606</v>
      </c>
      <c r="C10" s="0" t="s">
        <v>607</v>
      </c>
      <c r="D10" s="0" t="n">
        <v>209</v>
      </c>
      <c r="E10" s="41" t="n">
        <v>9734</v>
      </c>
      <c r="F10" s="0" t="str">
        <f aca="false">IF(COUNTIF(Productos!$A$6:$A$145,A10)=0,IF(C10="KIT/DÚO","Kit (después)","No está"),IF(COUNTIFS(Productos!$A$6:$A$145,A10,Productos!$V$6:$V$145,"&gt;0")&gt;0,"Completa","Faltan datos"))</f>
        <v>No está</v>
      </c>
    </row>
    <row r="11" customFormat="false" ht="15" hidden="false" customHeight="false" outlineLevel="0" collapsed="false">
      <c r="A11" s="0" t="s">
        <v>608</v>
      </c>
      <c r="B11" s="0" t="s">
        <v>609</v>
      </c>
      <c r="C11" s="0" t="s">
        <v>600</v>
      </c>
      <c r="D11" s="0" t="n">
        <v>207</v>
      </c>
      <c r="E11" s="41" t="n">
        <v>2941</v>
      </c>
      <c r="F11" s="0" t="str">
        <f aca="false">IF(COUNTIF(Productos!$A$6:$A$145,A11)=0,IF(C11="KIT/DÚO","Kit (después)","No está"),IF(COUNTIFS(Productos!$A$6:$A$145,A11,Productos!$V$6:$V$145,"&gt;0")&gt;0,"Completa","Faltan datos"))</f>
        <v>No está</v>
      </c>
    </row>
    <row r="12" customFormat="false" ht="15" hidden="false" customHeight="false" outlineLevel="0" collapsed="false">
      <c r="A12" s="0" t="s">
        <v>246</v>
      </c>
      <c r="B12" s="0" t="s">
        <v>247</v>
      </c>
      <c r="C12" s="0" t="s">
        <v>610</v>
      </c>
      <c r="D12" s="0" t="n">
        <v>198</v>
      </c>
      <c r="E12" s="41" t="n">
        <v>15994</v>
      </c>
      <c r="F12" s="0" t="str">
        <f aca="false">IF(COUNTIF(Productos!$A$6:$A$145,A12)=0,IF(C12="KIT/DÚO","Kit (después)","No está"),IF(COUNTIFS(Productos!$A$6:$A$145,A12,Productos!$V$6:$V$145,"&gt;0")&gt;0,"Completa","Faltan datos"))</f>
        <v>Faltan datos</v>
      </c>
    </row>
    <row r="13" customFormat="false" ht="15" hidden="false" customHeight="false" outlineLevel="0" collapsed="false">
      <c r="A13" s="0" t="s">
        <v>251</v>
      </c>
      <c r="B13" s="0" t="s">
        <v>252</v>
      </c>
      <c r="C13" s="0" t="s">
        <v>610</v>
      </c>
      <c r="D13" s="0" t="n">
        <v>190</v>
      </c>
      <c r="E13" s="41" t="n">
        <v>16073</v>
      </c>
      <c r="F13" s="0" t="str">
        <f aca="false">IF(COUNTIF(Productos!$A$6:$A$145,A13)=0,IF(C13="KIT/DÚO","Kit (después)","No está"),IF(COUNTIFS(Productos!$A$6:$A$145,A13,Productos!$V$6:$V$145,"&gt;0")&gt;0,"Completa","Faltan datos"))</f>
        <v>Faltan datos</v>
      </c>
    </row>
    <row r="14" customFormat="false" ht="15" hidden="false" customHeight="false" outlineLevel="0" collapsed="false">
      <c r="A14" s="0" t="s">
        <v>611</v>
      </c>
      <c r="B14" s="0" t="s">
        <v>612</v>
      </c>
      <c r="C14" s="0" t="s">
        <v>600</v>
      </c>
      <c r="D14" s="0" t="n">
        <v>161</v>
      </c>
      <c r="E14" s="41" t="n">
        <v>2521</v>
      </c>
      <c r="F14" s="0" t="str">
        <f aca="false">IF(COUNTIF(Productos!$A$6:$A$145,A14)=0,IF(C14="KIT/DÚO","Kit (después)","No está"),IF(COUNTIFS(Productos!$A$6:$A$145,A14,Productos!$V$6:$V$145,"&gt;0")&gt;0,"Completa","Faltan datos"))</f>
        <v>No está</v>
      </c>
    </row>
    <row r="15" customFormat="false" ht="15" hidden="false" customHeight="false" outlineLevel="0" collapsed="false">
      <c r="A15" s="0" t="s">
        <v>254</v>
      </c>
      <c r="B15" s="0" t="s">
        <v>255</v>
      </c>
      <c r="C15" s="0" t="s">
        <v>610</v>
      </c>
      <c r="D15" s="0" t="n">
        <v>160</v>
      </c>
      <c r="E15" s="41" t="n">
        <v>18403</v>
      </c>
      <c r="F15" s="0" t="str">
        <f aca="false">IF(COUNTIF(Productos!$A$6:$A$145,A15)=0,IF(C15="KIT/DÚO","Kit (después)","No está"),IF(COUNTIFS(Productos!$A$6:$A$145,A15,Productos!$V$6:$V$145,"&gt;0")&gt;0,"Completa","Faltan datos"))</f>
        <v>Faltan datos</v>
      </c>
    </row>
    <row r="16" customFormat="false" ht="15" hidden="false" customHeight="false" outlineLevel="0" collapsed="false">
      <c r="A16" s="0" t="s">
        <v>613</v>
      </c>
      <c r="B16" s="0" t="s">
        <v>614</v>
      </c>
      <c r="C16" s="0" t="s">
        <v>597</v>
      </c>
      <c r="D16" s="0" t="n">
        <v>148</v>
      </c>
      <c r="E16" s="41" t="n">
        <v>38898</v>
      </c>
      <c r="F16" s="0" t="str">
        <f aca="false">IF(COUNTIF(Productos!$A$6:$A$145,A16)=0,IF(C16="KIT/DÚO","Kit (después)","No está"),IF(COUNTIFS(Productos!$A$6:$A$145,A16,Productos!$V$6:$V$145,"&gt;0")&gt;0,"Completa","Faltan datos"))</f>
        <v>Kit (después)</v>
      </c>
    </row>
    <row r="17" customFormat="false" ht="15" hidden="false" customHeight="false" outlineLevel="0" collapsed="false">
      <c r="A17" s="0" t="s">
        <v>257</v>
      </c>
      <c r="B17" s="0" t="s">
        <v>258</v>
      </c>
      <c r="C17" s="0" t="s">
        <v>610</v>
      </c>
      <c r="D17" s="0" t="n">
        <v>139</v>
      </c>
      <c r="E17" s="41" t="n">
        <v>17563</v>
      </c>
      <c r="F17" s="0" t="str">
        <f aca="false">IF(COUNTIF(Productos!$A$6:$A$145,A17)=0,IF(C17="KIT/DÚO","Kit (después)","No está"),IF(COUNTIFS(Productos!$A$6:$A$145,A17,Productos!$V$6:$V$145,"&gt;0")&gt;0,"Completa","Faltan datos"))</f>
        <v>Faltan datos</v>
      </c>
    </row>
    <row r="18" customFormat="false" ht="15" hidden="false" customHeight="false" outlineLevel="0" collapsed="false">
      <c r="A18" s="0" t="s">
        <v>615</v>
      </c>
      <c r="B18" s="0" t="s">
        <v>616</v>
      </c>
      <c r="C18" s="0" t="s">
        <v>600</v>
      </c>
      <c r="D18" s="0" t="n">
        <v>130</v>
      </c>
      <c r="E18" s="41" t="n">
        <v>840</v>
      </c>
      <c r="F18" s="0" t="str">
        <f aca="false">IF(COUNTIF(Productos!$A$6:$A$145,A18)=0,IF(C18="KIT/DÚO","Kit (después)","No está"),IF(COUNTIFS(Productos!$A$6:$A$145,A18,Productos!$V$6:$V$145,"&gt;0")&gt;0,"Completa","Faltan datos"))</f>
        <v>No está</v>
      </c>
    </row>
    <row r="19" customFormat="false" ht="15" hidden="false" customHeight="false" outlineLevel="0" collapsed="false">
      <c r="A19" s="0" t="s">
        <v>617</v>
      </c>
      <c r="B19" s="0" t="s">
        <v>618</v>
      </c>
      <c r="C19" s="0" t="s">
        <v>600</v>
      </c>
      <c r="D19" s="0" t="n">
        <v>126</v>
      </c>
      <c r="E19" s="41" t="n">
        <v>4202</v>
      </c>
      <c r="F19" s="0" t="str">
        <f aca="false">IF(COUNTIF(Productos!$A$6:$A$145,A19)=0,IF(C19="KIT/DÚO","Kit (después)","No está"),IF(COUNTIFS(Productos!$A$6:$A$145,A19,Productos!$V$6:$V$145,"&gt;0")&gt;0,"Completa","Faltan datos"))</f>
        <v>No está</v>
      </c>
    </row>
    <row r="20" customFormat="false" ht="15" hidden="false" customHeight="false" outlineLevel="0" collapsed="false">
      <c r="A20" s="0" t="s">
        <v>260</v>
      </c>
      <c r="B20" s="0" t="s">
        <v>261</v>
      </c>
      <c r="C20" s="0" t="s">
        <v>610</v>
      </c>
      <c r="D20" s="0" t="n">
        <v>109</v>
      </c>
      <c r="E20" s="41" t="n">
        <v>18403</v>
      </c>
      <c r="F20" s="0" t="str">
        <f aca="false">IF(COUNTIF(Productos!$A$6:$A$145,A20)=0,IF(C20="KIT/DÚO","Kit (después)","No está"),IF(COUNTIFS(Productos!$A$6:$A$145,A20,Productos!$V$6:$V$145,"&gt;0")&gt;0,"Completa","Faltan datos"))</f>
        <v>Faltan datos</v>
      </c>
    </row>
    <row r="21" customFormat="false" ht="15" hidden="false" customHeight="false" outlineLevel="0" collapsed="false">
      <c r="A21" s="0" t="s">
        <v>263</v>
      </c>
      <c r="B21" s="0" t="s">
        <v>264</v>
      </c>
      <c r="C21" s="0" t="s">
        <v>610</v>
      </c>
      <c r="D21" s="0" t="n">
        <v>109</v>
      </c>
      <c r="E21" s="41" t="n">
        <v>16589</v>
      </c>
      <c r="F21" s="0" t="str">
        <f aca="false">IF(COUNTIF(Productos!$A$6:$A$145,A21)=0,IF(C21="KIT/DÚO","Kit (después)","No está"),IF(COUNTIFS(Productos!$A$6:$A$145,A21,Productos!$V$6:$V$145,"&gt;0")&gt;0,"Completa","Faltan datos"))</f>
        <v>Faltan datos</v>
      </c>
    </row>
    <row r="22" customFormat="false" ht="15" hidden="false" customHeight="false" outlineLevel="0" collapsed="false">
      <c r="A22" s="0" t="s">
        <v>266</v>
      </c>
      <c r="B22" s="0" t="s">
        <v>267</v>
      </c>
      <c r="C22" s="0" t="s">
        <v>619</v>
      </c>
      <c r="D22" s="0" t="n">
        <v>109</v>
      </c>
      <c r="E22" s="41" t="n">
        <v>17004</v>
      </c>
      <c r="F22" s="0" t="str">
        <f aca="false">IF(COUNTIF(Productos!$A$6:$A$145,A22)=0,IF(C22="KIT/DÚO","Kit (después)","No está"),IF(COUNTIFS(Productos!$A$6:$A$145,A22,Productos!$V$6:$V$145,"&gt;0")&gt;0,"Completa","Faltan datos"))</f>
        <v>Faltan datos</v>
      </c>
    </row>
    <row r="23" customFormat="false" ht="15" hidden="false" customHeight="false" outlineLevel="0" collapsed="false">
      <c r="A23" s="0" t="s">
        <v>620</v>
      </c>
      <c r="B23" s="0" t="s">
        <v>621</v>
      </c>
      <c r="C23" s="0" t="s">
        <v>597</v>
      </c>
      <c r="D23" s="0" t="n">
        <v>105</v>
      </c>
      <c r="E23" s="41" t="n">
        <v>23697</v>
      </c>
      <c r="F23" s="0" t="str">
        <f aca="false">IF(COUNTIF(Productos!$A$6:$A$145,A23)=0,IF(C23="KIT/DÚO","Kit (después)","No está"),IF(COUNTIFS(Productos!$A$6:$A$145,A23,Productos!$V$6:$V$145,"&gt;0")&gt;0,"Completa","Faltan datos"))</f>
        <v>Kit (después)</v>
      </c>
    </row>
    <row r="24" customFormat="false" ht="15" hidden="false" customHeight="false" outlineLevel="0" collapsed="false">
      <c r="A24" s="0" t="s">
        <v>269</v>
      </c>
      <c r="B24" s="0" t="s">
        <v>270</v>
      </c>
      <c r="C24" s="0" t="s">
        <v>610</v>
      </c>
      <c r="D24" s="0" t="n">
        <v>100</v>
      </c>
      <c r="E24" s="41" t="n">
        <v>25714</v>
      </c>
      <c r="F24" s="0" t="str">
        <f aca="false">IF(COUNTIF(Productos!$A$6:$A$145,A24)=0,IF(C24="KIT/DÚO","Kit (después)","No está"),IF(COUNTIFS(Productos!$A$6:$A$145,A24,Productos!$V$6:$V$145,"&gt;0")&gt;0,"Completa","Faltan datos"))</f>
        <v>Faltan datos</v>
      </c>
    </row>
    <row r="25" customFormat="false" ht="15" hidden="false" customHeight="false" outlineLevel="0" collapsed="false">
      <c r="A25" s="0" t="s">
        <v>271</v>
      </c>
      <c r="B25" s="0" t="s">
        <v>272</v>
      </c>
      <c r="C25" s="0" t="s">
        <v>619</v>
      </c>
      <c r="D25" s="0" t="n">
        <v>99</v>
      </c>
      <c r="E25" s="41" t="n">
        <v>18729</v>
      </c>
      <c r="F25" s="0" t="str">
        <f aca="false">IF(COUNTIF(Productos!$A$6:$A$145,A25)=0,IF(C25="KIT/DÚO","Kit (después)","No está"),IF(COUNTIFS(Productos!$A$6:$A$145,A25,Productos!$V$6:$V$145,"&gt;0")&gt;0,"Completa","Faltan datos"))</f>
        <v>Faltan datos</v>
      </c>
    </row>
    <row r="26" customFormat="false" ht="15" hidden="false" customHeight="false" outlineLevel="0" collapsed="false">
      <c r="A26" s="0" t="s">
        <v>273</v>
      </c>
      <c r="B26" s="0" t="s">
        <v>274</v>
      </c>
      <c r="C26" s="0" t="s">
        <v>610</v>
      </c>
      <c r="D26" s="0" t="n">
        <v>96</v>
      </c>
      <c r="E26" s="41" t="n">
        <v>15588</v>
      </c>
      <c r="F26" s="0" t="str">
        <f aca="false">IF(COUNTIF(Productos!$A$6:$A$145,A26)=0,IF(C26="KIT/DÚO","Kit (después)","No está"),IF(COUNTIFS(Productos!$A$6:$A$145,A26,Productos!$V$6:$V$145,"&gt;0")&gt;0,"Completa","Faltan datos"))</f>
        <v>Faltan datos</v>
      </c>
    </row>
    <row r="27" customFormat="false" ht="15" hidden="false" customHeight="false" outlineLevel="0" collapsed="false">
      <c r="A27" s="0" t="s">
        <v>275</v>
      </c>
      <c r="B27" s="0" t="s">
        <v>276</v>
      </c>
      <c r="C27" s="0" t="s">
        <v>610</v>
      </c>
      <c r="D27" s="0" t="n">
        <v>93</v>
      </c>
      <c r="E27" s="41" t="n">
        <v>21765</v>
      </c>
      <c r="F27" s="0" t="str">
        <f aca="false">IF(COUNTIF(Productos!$A$6:$A$145,A27)=0,IF(C27="KIT/DÚO","Kit (después)","No está"),IF(COUNTIFS(Productos!$A$6:$A$145,A27,Productos!$V$6:$V$145,"&gt;0")&gt;0,"Completa","Faltan datos"))</f>
        <v>Faltan datos</v>
      </c>
    </row>
    <row r="28" customFormat="false" ht="15" hidden="false" customHeight="false" outlineLevel="0" collapsed="false">
      <c r="A28" s="0" t="s">
        <v>622</v>
      </c>
      <c r="B28" s="0" t="s">
        <v>623</v>
      </c>
      <c r="C28" s="0" t="s">
        <v>597</v>
      </c>
      <c r="D28" s="0" t="n">
        <v>91</v>
      </c>
      <c r="E28" s="41" t="n">
        <v>26263</v>
      </c>
      <c r="F28" s="0" t="str">
        <f aca="false">IF(COUNTIF(Productos!$A$6:$A$145,A28)=0,IF(C28="KIT/DÚO","Kit (después)","No está"),IF(COUNTIFS(Productos!$A$6:$A$145,A28,Productos!$V$6:$V$145,"&gt;0")&gt;0,"Completa","Faltan datos"))</f>
        <v>Kit (después)</v>
      </c>
    </row>
    <row r="29" customFormat="false" ht="15" hidden="false" customHeight="false" outlineLevel="0" collapsed="false">
      <c r="A29" s="0" t="s">
        <v>277</v>
      </c>
      <c r="B29" s="0" t="s">
        <v>278</v>
      </c>
      <c r="C29" s="0" t="s">
        <v>619</v>
      </c>
      <c r="D29" s="0" t="n">
        <v>76</v>
      </c>
      <c r="E29" s="41" t="n">
        <v>44010</v>
      </c>
      <c r="F29" s="0" t="str">
        <f aca="false">IF(COUNTIF(Productos!$A$6:$A$145,A29)=0,IF(C29="KIT/DÚO","Kit (después)","No está"),IF(COUNTIFS(Productos!$A$6:$A$145,A29,Productos!$V$6:$V$145,"&gt;0")&gt;0,"Completa","Faltan datos"))</f>
        <v>Faltan datos</v>
      </c>
    </row>
    <row r="30" customFormat="false" ht="15" hidden="false" customHeight="false" outlineLevel="0" collapsed="false">
      <c r="A30" s="0" t="s">
        <v>624</v>
      </c>
      <c r="B30" s="0" t="s">
        <v>625</v>
      </c>
      <c r="C30" s="0" t="s">
        <v>600</v>
      </c>
      <c r="D30" s="0" t="n">
        <v>72</v>
      </c>
      <c r="E30" s="41" t="n">
        <v>2521</v>
      </c>
      <c r="F30" s="0" t="str">
        <f aca="false">IF(COUNTIF(Productos!$A$6:$A$145,A30)=0,IF(C30="KIT/DÚO","Kit (después)","No está"),IF(COUNTIFS(Productos!$A$6:$A$145,A30,Productos!$V$6:$V$145,"&gt;0")&gt;0,"Completa","Faltan datos"))</f>
        <v>No está</v>
      </c>
    </row>
    <row r="31" customFormat="false" ht="15" hidden="false" customHeight="false" outlineLevel="0" collapsed="false">
      <c r="A31" s="0" t="s">
        <v>626</v>
      </c>
      <c r="B31" s="0" t="s">
        <v>627</v>
      </c>
      <c r="C31" s="0" t="s">
        <v>600</v>
      </c>
      <c r="D31" s="0" t="n">
        <v>67</v>
      </c>
      <c r="E31" s="41" t="n">
        <v>2101</v>
      </c>
      <c r="F31" s="0" t="str">
        <f aca="false">IF(COUNTIF(Productos!$A$6:$A$145,A31)=0,IF(C31="KIT/DÚO","Kit (después)","No está"),IF(COUNTIFS(Productos!$A$6:$A$145,A31,Productos!$V$6:$V$145,"&gt;0")&gt;0,"Completa","Faltan datos"))</f>
        <v>No está</v>
      </c>
    </row>
    <row r="32" customFormat="false" ht="15" hidden="false" customHeight="false" outlineLevel="0" collapsed="false">
      <c r="A32" s="0" t="s">
        <v>279</v>
      </c>
      <c r="B32" s="0" t="s">
        <v>280</v>
      </c>
      <c r="C32" s="0" t="s">
        <v>610</v>
      </c>
      <c r="D32" s="0" t="n">
        <v>66</v>
      </c>
      <c r="E32" s="41" t="n">
        <v>21554</v>
      </c>
      <c r="F32" s="0" t="str">
        <f aca="false">IF(COUNTIF(Productos!$A$6:$A$145,A32)=0,IF(C32="KIT/DÚO","Kit (después)","No está"),IF(COUNTIFS(Productos!$A$6:$A$145,A32,Productos!$V$6:$V$145,"&gt;0")&gt;0,"Completa","Faltan datos"))</f>
        <v>Faltan datos</v>
      </c>
    </row>
    <row r="33" customFormat="false" ht="15" hidden="false" customHeight="false" outlineLevel="0" collapsed="false">
      <c r="A33" s="0" t="s">
        <v>281</v>
      </c>
      <c r="B33" s="0" t="s">
        <v>282</v>
      </c>
      <c r="C33" s="0" t="s">
        <v>610</v>
      </c>
      <c r="D33" s="0" t="n">
        <v>65</v>
      </c>
      <c r="E33" s="41" t="n">
        <v>19244</v>
      </c>
      <c r="F33" s="0" t="str">
        <f aca="false">IF(COUNTIF(Productos!$A$6:$A$145,A33)=0,IF(C33="KIT/DÚO","Kit (después)","No está"),IF(COUNTIFS(Productos!$A$6:$A$145,A33,Productos!$V$6:$V$145,"&gt;0")&gt;0,"Completa","Faltan datos"))</f>
        <v>Completa</v>
      </c>
    </row>
    <row r="34" customFormat="false" ht="15" hidden="false" customHeight="false" outlineLevel="0" collapsed="false">
      <c r="A34" s="0" t="s">
        <v>628</v>
      </c>
      <c r="B34" s="0" t="s">
        <v>629</v>
      </c>
      <c r="C34" s="0" t="s">
        <v>600</v>
      </c>
      <c r="D34" s="0" t="n">
        <v>65</v>
      </c>
      <c r="E34" s="41" t="n">
        <v>1681</v>
      </c>
      <c r="F34" s="0" t="str">
        <f aca="false">IF(COUNTIF(Productos!$A$6:$A$145,A34)=0,IF(C34="KIT/DÚO","Kit (después)","No está"),IF(COUNTIFS(Productos!$A$6:$A$145,A34,Productos!$V$6:$V$145,"&gt;0")&gt;0,"Completa","Faltan datos"))</f>
        <v>No está</v>
      </c>
    </row>
    <row r="35" customFormat="false" ht="15" hidden="false" customHeight="false" outlineLevel="0" collapsed="false">
      <c r="A35" s="0" t="s">
        <v>283</v>
      </c>
      <c r="B35" s="0" t="s">
        <v>284</v>
      </c>
      <c r="C35" s="0" t="s">
        <v>619</v>
      </c>
      <c r="D35" s="0" t="n">
        <v>62</v>
      </c>
      <c r="E35" s="41" t="n">
        <v>36050</v>
      </c>
      <c r="F35" s="0" t="str">
        <f aca="false">IF(COUNTIF(Productos!$A$6:$A$145,A35)=0,IF(C35="KIT/DÚO","Kit (después)","No está"),IF(COUNTIFS(Productos!$A$6:$A$145,A35,Productos!$V$6:$V$145,"&gt;0")&gt;0,"Completa","Faltan datos"))</f>
        <v>Faltan datos</v>
      </c>
    </row>
    <row r="36" customFormat="false" ht="15" hidden="false" customHeight="false" outlineLevel="0" collapsed="false">
      <c r="A36" s="0" t="s">
        <v>285</v>
      </c>
      <c r="B36" s="0" t="s">
        <v>286</v>
      </c>
      <c r="C36" s="0" t="s">
        <v>610</v>
      </c>
      <c r="D36" s="0" t="n">
        <v>61</v>
      </c>
      <c r="E36" s="41" t="n">
        <v>12507</v>
      </c>
      <c r="F36" s="0" t="str">
        <f aca="false">IF(COUNTIF(Productos!$A$6:$A$145,A36)=0,IF(C36="KIT/DÚO","Kit (después)","No está"),IF(COUNTIFS(Productos!$A$6:$A$145,A36,Productos!$V$6:$V$145,"&gt;0")&gt;0,"Completa","Faltan datos"))</f>
        <v>Faltan datos</v>
      </c>
    </row>
    <row r="37" customFormat="false" ht="15" hidden="false" customHeight="false" outlineLevel="0" collapsed="false">
      <c r="A37" s="0" t="s">
        <v>630</v>
      </c>
      <c r="B37" s="0" t="s">
        <v>631</v>
      </c>
      <c r="C37" s="0" t="s">
        <v>597</v>
      </c>
      <c r="D37" s="0" t="n">
        <v>61</v>
      </c>
      <c r="E37" s="41" t="n">
        <v>17935</v>
      </c>
      <c r="F37" s="0" t="str">
        <f aca="false">IF(COUNTIF(Productos!$A$6:$A$145,A37)=0,IF(C37="KIT/DÚO","Kit (después)","No está"),IF(COUNTIFS(Productos!$A$6:$A$145,A37,Productos!$V$6:$V$145,"&gt;0")&gt;0,"Completa","Faltan datos"))</f>
        <v>Kit (después)</v>
      </c>
    </row>
    <row r="38" customFormat="false" ht="15" hidden="false" customHeight="false" outlineLevel="0" collapsed="false">
      <c r="A38" s="0" t="s">
        <v>287</v>
      </c>
      <c r="B38" s="0" t="s">
        <v>288</v>
      </c>
      <c r="C38" s="0" t="s">
        <v>619</v>
      </c>
      <c r="D38" s="0" t="n">
        <v>60</v>
      </c>
      <c r="E38" s="41" t="n">
        <v>41933</v>
      </c>
      <c r="F38" s="0" t="str">
        <f aca="false">IF(COUNTIF(Productos!$A$6:$A$145,A38)=0,IF(C38="KIT/DÚO","Kit (después)","No está"),IF(COUNTIFS(Productos!$A$6:$A$145,A38,Productos!$V$6:$V$145,"&gt;0")&gt;0,"Completa","Faltan datos"))</f>
        <v>Faltan datos</v>
      </c>
    </row>
    <row r="39" customFormat="false" ht="15" hidden="false" customHeight="false" outlineLevel="0" collapsed="false">
      <c r="A39" s="0" t="s">
        <v>289</v>
      </c>
      <c r="B39" s="0" t="s">
        <v>290</v>
      </c>
      <c r="C39" s="0" t="s">
        <v>610</v>
      </c>
      <c r="D39" s="0" t="n">
        <v>55</v>
      </c>
      <c r="E39" s="41" t="n">
        <v>8059</v>
      </c>
      <c r="F39" s="0" t="str">
        <f aca="false">IF(COUNTIF(Productos!$A$6:$A$145,A39)=0,IF(C39="KIT/DÚO","Kit (después)","No está"),IF(COUNTIFS(Productos!$A$6:$A$145,A39,Productos!$V$6:$V$145,"&gt;0")&gt;0,"Completa","Faltan datos"))</f>
        <v>Faltan datos</v>
      </c>
    </row>
    <row r="40" customFormat="false" ht="15" hidden="false" customHeight="false" outlineLevel="0" collapsed="false">
      <c r="A40" s="0" t="s">
        <v>632</v>
      </c>
      <c r="B40" s="0" t="s">
        <v>633</v>
      </c>
      <c r="C40" s="0" t="s">
        <v>600</v>
      </c>
      <c r="D40" s="0" t="n">
        <v>53</v>
      </c>
      <c r="E40" s="41" t="n">
        <v>4640</v>
      </c>
      <c r="F40" s="0" t="str">
        <f aca="false">IF(COUNTIF(Productos!$A$6:$A$145,A40)=0,IF(C40="KIT/DÚO","Kit (después)","No está"),IF(COUNTIFS(Productos!$A$6:$A$145,A40,Productos!$V$6:$V$145,"&gt;0")&gt;0,"Completa","Faltan datos"))</f>
        <v>No está</v>
      </c>
    </row>
    <row r="41" customFormat="false" ht="15" hidden="false" customHeight="false" outlineLevel="0" collapsed="false">
      <c r="A41" s="0" t="s">
        <v>292</v>
      </c>
      <c r="B41" s="0" t="s">
        <v>293</v>
      </c>
      <c r="C41" s="0" t="s">
        <v>610</v>
      </c>
      <c r="D41" s="0" t="n">
        <v>50</v>
      </c>
      <c r="E41" s="41" t="n">
        <v>19244</v>
      </c>
      <c r="F41" s="0" t="str">
        <f aca="false">IF(COUNTIF(Productos!$A$6:$A$145,A41)=0,IF(C41="KIT/DÚO","Kit (después)","No está"),IF(COUNTIFS(Productos!$A$6:$A$145,A41,Productos!$V$6:$V$145,"&gt;0")&gt;0,"Completa","Faltan datos"))</f>
        <v>Faltan datos</v>
      </c>
    </row>
    <row r="42" customFormat="false" ht="15" hidden="false" customHeight="false" outlineLevel="0" collapsed="false">
      <c r="A42" s="0" t="s">
        <v>634</v>
      </c>
      <c r="B42" s="0" t="s">
        <v>635</v>
      </c>
      <c r="C42" s="0" t="s">
        <v>597</v>
      </c>
      <c r="D42" s="0" t="n">
        <v>50</v>
      </c>
      <c r="E42" s="41" t="n">
        <v>33529</v>
      </c>
      <c r="F42" s="0" t="str">
        <f aca="false">IF(COUNTIF(Productos!$A$6:$A$145,A42)=0,IF(C42="KIT/DÚO","Kit (después)","No está"),IF(COUNTIFS(Productos!$A$6:$A$145,A42,Productos!$V$6:$V$145,"&gt;0")&gt;0,"Completa","Faltan datos"))</f>
        <v>Kit (después)</v>
      </c>
    </row>
    <row r="43" customFormat="false" ht="15" hidden="false" customHeight="false" outlineLevel="0" collapsed="false">
      <c r="A43" s="0" t="s">
        <v>294</v>
      </c>
      <c r="B43" s="0" t="s">
        <v>295</v>
      </c>
      <c r="C43" s="0" t="s">
        <v>610</v>
      </c>
      <c r="D43" s="0" t="n">
        <v>48</v>
      </c>
      <c r="E43" s="41" t="n">
        <v>8319</v>
      </c>
      <c r="F43" s="0" t="str">
        <f aca="false">IF(COUNTIF(Productos!$A$6:$A$145,A43)=0,IF(C43="KIT/DÚO","Kit (después)","No está"),IF(COUNTIFS(Productos!$A$6:$A$145,A43,Productos!$V$6:$V$145,"&gt;0")&gt;0,"Completa","Faltan datos"))</f>
        <v>Faltan datos</v>
      </c>
    </row>
    <row r="44" customFormat="false" ht="15" hidden="false" customHeight="false" outlineLevel="0" collapsed="false">
      <c r="A44" s="0" t="s">
        <v>296</v>
      </c>
      <c r="B44" s="0" t="s">
        <v>297</v>
      </c>
      <c r="C44" s="0" t="s">
        <v>610</v>
      </c>
      <c r="D44" s="0" t="n">
        <v>48</v>
      </c>
      <c r="E44" s="41" t="n">
        <v>16723</v>
      </c>
      <c r="F44" s="0" t="str">
        <f aca="false">IF(COUNTIF(Productos!$A$6:$A$145,A44)=0,IF(C44="KIT/DÚO","Kit (después)","No está"),IF(COUNTIFS(Productos!$A$6:$A$145,A44,Productos!$V$6:$V$145,"&gt;0")&gt;0,"Completa","Faltan datos"))</f>
        <v>Faltan datos</v>
      </c>
    </row>
    <row r="45" customFormat="false" ht="15" hidden="false" customHeight="false" outlineLevel="0" collapsed="false">
      <c r="A45" s="0" t="s">
        <v>298</v>
      </c>
      <c r="B45" s="0" t="s">
        <v>299</v>
      </c>
      <c r="C45" s="0" t="s">
        <v>619</v>
      </c>
      <c r="D45" s="0" t="n">
        <v>47</v>
      </c>
      <c r="E45" s="41" t="n">
        <v>26134</v>
      </c>
      <c r="F45" s="0" t="str">
        <f aca="false">IF(COUNTIF(Productos!$A$6:$A$145,A45)=0,IF(C45="KIT/DÚO","Kit (después)","No está"),IF(COUNTIFS(Productos!$A$6:$A$145,A45,Productos!$V$6:$V$145,"&gt;0")&gt;0,"Completa","Faltan datos"))</f>
        <v>Faltan datos</v>
      </c>
    </row>
    <row r="46" customFormat="false" ht="15" hidden="false" customHeight="false" outlineLevel="0" collapsed="false">
      <c r="A46" s="0" t="s">
        <v>636</v>
      </c>
      <c r="B46" s="0" t="s">
        <v>637</v>
      </c>
      <c r="C46" s="0" t="s">
        <v>597</v>
      </c>
      <c r="D46" s="0" t="n">
        <v>47</v>
      </c>
      <c r="E46" s="41" t="n">
        <v>30084</v>
      </c>
      <c r="F46" s="0" t="str">
        <f aca="false">IF(COUNTIF(Productos!$A$6:$A$145,A46)=0,IF(C46="KIT/DÚO","Kit (después)","No está"),IF(COUNTIFS(Productos!$A$6:$A$145,A46,Productos!$V$6:$V$145,"&gt;0")&gt;0,"Completa","Faltan datos"))</f>
        <v>Kit (después)</v>
      </c>
    </row>
    <row r="47" customFormat="false" ht="15" hidden="false" customHeight="false" outlineLevel="0" collapsed="false">
      <c r="A47" s="0" t="s">
        <v>300</v>
      </c>
      <c r="B47" s="0" t="s">
        <v>301</v>
      </c>
      <c r="C47" s="0" t="s">
        <v>610</v>
      </c>
      <c r="D47" s="0" t="n">
        <v>44</v>
      </c>
      <c r="E47" s="41" t="n">
        <v>27605</v>
      </c>
      <c r="F47" s="0" t="str">
        <f aca="false">IF(COUNTIF(Productos!$A$6:$A$145,A47)=0,IF(C47="KIT/DÚO","Kit (después)","No está"),IF(COUNTIFS(Productos!$A$6:$A$145,A47,Productos!$V$6:$V$145,"&gt;0")&gt;0,"Completa","Faltan datos"))</f>
        <v>Faltan datos</v>
      </c>
    </row>
    <row r="48" customFormat="false" ht="15" hidden="false" customHeight="false" outlineLevel="0" collapsed="false">
      <c r="A48" s="0" t="s">
        <v>302</v>
      </c>
      <c r="B48" s="0" t="s">
        <v>303</v>
      </c>
      <c r="C48" s="0" t="s">
        <v>619</v>
      </c>
      <c r="D48" s="0" t="n">
        <v>40</v>
      </c>
      <c r="E48" s="41" t="n">
        <v>32689</v>
      </c>
      <c r="F48" s="0" t="str">
        <f aca="false">IF(COUNTIF(Productos!$A$6:$A$145,A48)=0,IF(C48="KIT/DÚO","Kit (después)","No está"),IF(COUNTIFS(Productos!$A$6:$A$145,A48,Productos!$V$6:$V$145,"&gt;0")&gt;0,"Completa","Faltan datos"))</f>
        <v>Faltan datos</v>
      </c>
    </row>
    <row r="49" customFormat="false" ht="15" hidden="false" customHeight="false" outlineLevel="0" collapsed="false">
      <c r="A49" s="0" t="s">
        <v>304</v>
      </c>
      <c r="B49" s="0" t="s">
        <v>305</v>
      </c>
      <c r="C49" s="0" t="s">
        <v>610</v>
      </c>
      <c r="D49" s="0" t="n">
        <v>37</v>
      </c>
      <c r="E49" s="41" t="n">
        <v>17563</v>
      </c>
      <c r="F49" s="0" t="str">
        <f aca="false">IF(COUNTIF(Productos!$A$6:$A$145,A49)=0,IF(C49="KIT/DÚO","Kit (después)","No está"),IF(COUNTIFS(Productos!$A$6:$A$145,A49,Productos!$V$6:$V$145,"&gt;0")&gt;0,"Completa","Faltan datos"))</f>
        <v>Faltan datos</v>
      </c>
    </row>
    <row r="50" customFormat="false" ht="15" hidden="false" customHeight="false" outlineLevel="0" collapsed="false">
      <c r="A50" s="0" t="s">
        <v>306</v>
      </c>
      <c r="B50" s="0" t="s">
        <v>307</v>
      </c>
      <c r="C50" s="0" t="s">
        <v>619</v>
      </c>
      <c r="D50" s="0" t="n">
        <v>37</v>
      </c>
      <c r="E50" s="41" t="n">
        <v>54022</v>
      </c>
      <c r="F50" s="0" t="str">
        <f aca="false">IF(COUNTIF(Productos!$A$6:$A$145,A50)=0,IF(C50="KIT/DÚO","Kit (después)","No está"),IF(COUNTIFS(Productos!$A$6:$A$145,A50,Productos!$V$6:$V$145,"&gt;0")&gt;0,"Completa","Faltan datos"))</f>
        <v>Faltan datos</v>
      </c>
    </row>
    <row r="51" customFormat="false" ht="15" hidden="false" customHeight="false" outlineLevel="0" collapsed="false">
      <c r="A51" s="0" t="s">
        <v>308</v>
      </c>
      <c r="B51" s="0" t="s">
        <v>309</v>
      </c>
      <c r="C51" s="0" t="s">
        <v>610</v>
      </c>
      <c r="D51" s="0" t="n">
        <v>35</v>
      </c>
      <c r="E51" s="41" t="n">
        <v>14202</v>
      </c>
      <c r="F51" s="0" t="str">
        <f aca="false">IF(COUNTIF(Productos!$A$6:$A$145,A51)=0,IF(C51="KIT/DÚO","Kit (después)","No está"),IF(COUNTIFS(Productos!$A$6:$A$145,A51,Productos!$V$6:$V$145,"&gt;0")&gt;0,"Completa","Faltan datos"))</f>
        <v>Faltan datos</v>
      </c>
    </row>
    <row r="52" customFormat="false" ht="15" hidden="false" customHeight="false" outlineLevel="0" collapsed="false">
      <c r="A52" s="0" t="s">
        <v>311</v>
      </c>
      <c r="B52" s="0" t="s">
        <v>312</v>
      </c>
      <c r="C52" s="0" t="s">
        <v>619</v>
      </c>
      <c r="D52" s="0" t="n">
        <v>35</v>
      </c>
      <c r="E52" s="41" t="n">
        <v>27647</v>
      </c>
      <c r="F52" s="0" t="str">
        <f aca="false">IF(COUNTIF(Productos!$A$6:$A$145,A52)=0,IF(C52="KIT/DÚO","Kit (después)","No está"),IF(COUNTIFS(Productos!$A$6:$A$145,A52,Productos!$V$6:$V$145,"&gt;0")&gt;0,"Completa","Faltan datos"))</f>
        <v>Faltan datos</v>
      </c>
    </row>
    <row r="53" customFormat="false" ht="15" hidden="false" customHeight="false" outlineLevel="0" collapsed="false">
      <c r="A53" s="0" t="s">
        <v>638</v>
      </c>
      <c r="B53" s="0" t="s">
        <v>639</v>
      </c>
      <c r="C53" s="0" t="s">
        <v>597</v>
      </c>
      <c r="D53" s="0" t="n">
        <v>35</v>
      </c>
      <c r="E53" s="41" t="n">
        <v>30168</v>
      </c>
      <c r="F53" s="0" t="str">
        <f aca="false">IF(COUNTIF(Productos!$A$6:$A$145,A53)=0,IF(C53="KIT/DÚO","Kit (después)","No está"),IF(COUNTIFS(Productos!$A$6:$A$145,A53,Productos!$V$6:$V$145,"&gt;0")&gt;0,"Completa","Faltan datos"))</f>
        <v>Kit (después)</v>
      </c>
    </row>
    <row r="54" customFormat="false" ht="15" hidden="false" customHeight="false" outlineLevel="0" collapsed="false">
      <c r="A54" s="0" t="s">
        <v>313</v>
      </c>
      <c r="B54" s="0" t="s">
        <v>314</v>
      </c>
      <c r="C54" s="0" t="s">
        <v>610</v>
      </c>
      <c r="D54" s="0" t="n">
        <v>34</v>
      </c>
      <c r="E54" s="41" t="n">
        <v>19664</v>
      </c>
      <c r="F54" s="0" t="str">
        <f aca="false">IF(COUNTIF(Productos!$A$6:$A$145,A54)=0,IF(C54="KIT/DÚO","Kit (después)","No está"),IF(COUNTIFS(Productos!$A$6:$A$145,A54,Productos!$V$6:$V$145,"&gt;0")&gt;0,"Completa","Faltan datos"))</f>
        <v>Faltan datos</v>
      </c>
    </row>
    <row r="55" customFormat="false" ht="15" hidden="false" customHeight="false" outlineLevel="0" collapsed="false">
      <c r="A55" s="0" t="s">
        <v>315</v>
      </c>
      <c r="B55" s="0" t="s">
        <v>316</v>
      </c>
      <c r="C55" s="0" t="s">
        <v>610</v>
      </c>
      <c r="D55" s="0" t="n">
        <v>34</v>
      </c>
      <c r="E55" s="41" t="n">
        <v>17563</v>
      </c>
      <c r="F55" s="0" t="str">
        <f aca="false">IF(COUNTIF(Productos!$A$6:$A$145,A55)=0,IF(C55="KIT/DÚO","Kit (después)","No está"),IF(COUNTIFS(Productos!$A$6:$A$145,A55,Productos!$V$6:$V$145,"&gt;0")&gt;0,"Completa","Faltan datos"))</f>
        <v>Faltan datos</v>
      </c>
    </row>
    <row r="56" customFormat="false" ht="15" hidden="false" customHeight="false" outlineLevel="0" collapsed="false">
      <c r="A56" s="0" t="s">
        <v>640</v>
      </c>
      <c r="B56" s="0" t="s">
        <v>641</v>
      </c>
      <c r="C56" s="0" t="s">
        <v>597</v>
      </c>
      <c r="D56" s="0" t="n">
        <v>33</v>
      </c>
      <c r="E56" s="41" t="n">
        <v>26555</v>
      </c>
      <c r="F56" s="0" t="str">
        <f aca="false">IF(COUNTIF(Productos!$A$6:$A$145,A56)=0,IF(C56="KIT/DÚO","Kit (después)","No está"),IF(COUNTIFS(Productos!$A$6:$A$145,A56,Productos!$V$6:$V$145,"&gt;0")&gt;0,"Completa","Faltan datos"))</f>
        <v>Kit (después)</v>
      </c>
    </row>
    <row r="57" customFormat="false" ht="15" hidden="false" customHeight="false" outlineLevel="0" collapsed="false">
      <c r="A57" s="0" t="s">
        <v>642</v>
      </c>
      <c r="B57" s="0" t="s">
        <v>643</v>
      </c>
      <c r="C57" s="0" t="s">
        <v>600</v>
      </c>
      <c r="D57" s="0" t="n">
        <v>32</v>
      </c>
      <c r="E57" s="41" t="n">
        <v>1681</v>
      </c>
      <c r="F57" s="0" t="str">
        <f aca="false">IF(COUNTIF(Productos!$A$6:$A$145,A57)=0,IF(C57="KIT/DÚO","Kit (después)","No está"),IF(COUNTIFS(Productos!$A$6:$A$145,A57,Productos!$V$6:$V$145,"&gt;0")&gt;0,"Completa","Faltan datos"))</f>
        <v>No está</v>
      </c>
    </row>
    <row r="58" customFormat="false" ht="15" hidden="false" customHeight="false" outlineLevel="0" collapsed="false">
      <c r="A58" s="0" t="s">
        <v>318</v>
      </c>
      <c r="B58" s="0" t="s">
        <v>319</v>
      </c>
      <c r="C58" s="0" t="s">
        <v>610</v>
      </c>
      <c r="D58" s="0" t="n">
        <v>31</v>
      </c>
      <c r="E58" s="41" t="n">
        <v>12521</v>
      </c>
      <c r="F58" s="0" t="str">
        <f aca="false">IF(COUNTIF(Productos!$A$6:$A$145,A58)=0,IF(C58="KIT/DÚO","Kit (después)","No está"),IF(COUNTIFS(Productos!$A$6:$A$145,A58,Productos!$V$6:$V$145,"&gt;0")&gt;0,"Completa","Faltan datos"))</f>
        <v>Faltan datos</v>
      </c>
    </row>
    <row r="59" customFormat="false" ht="15" hidden="false" customHeight="false" outlineLevel="0" collapsed="false">
      <c r="A59" s="0" t="s">
        <v>644</v>
      </c>
      <c r="B59" s="0" t="s">
        <v>645</v>
      </c>
      <c r="C59" s="0" t="s">
        <v>597</v>
      </c>
      <c r="D59" s="0" t="n">
        <v>30</v>
      </c>
      <c r="E59" s="41" t="n">
        <v>28782</v>
      </c>
      <c r="F59" s="0" t="str">
        <f aca="false">IF(COUNTIF(Productos!$A$6:$A$145,A59)=0,IF(C59="KIT/DÚO","Kit (después)","No está"),IF(COUNTIFS(Productos!$A$6:$A$145,A59,Productos!$V$6:$V$145,"&gt;0")&gt;0,"Completa","Faltan datos"))</f>
        <v>Kit (después)</v>
      </c>
    </row>
    <row r="60" customFormat="false" ht="15" hidden="false" customHeight="false" outlineLevel="0" collapsed="false">
      <c r="A60" s="0" t="s">
        <v>320</v>
      </c>
      <c r="B60" s="0" t="s">
        <v>321</v>
      </c>
      <c r="C60" s="0" t="s">
        <v>610</v>
      </c>
      <c r="D60" s="0" t="n">
        <v>29</v>
      </c>
      <c r="E60" s="41" t="n">
        <v>21204</v>
      </c>
      <c r="F60" s="0" t="str">
        <f aca="false">IF(COUNTIF(Productos!$A$6:$A$145,A60)=0,IF(C60="KIT/DÚO","Kit (después)","No está"),IF(COUNTIFS(Productos!$A$6:$A$145,A60,Productos!$V$6:$V$145,"&gt;0")&gt;0,"Completa","Faltan datos"))</f>
        <v>Faltan datos</v>
      </c>
    </row>
    <row r="61" customFormat="false" ht="15" hidden="false" customHeight="false" outlineLevel="0" collapsed="false">
      <c r="A61" s="0" t="s">
        <v>646</v>
      </c>
      <c r="B61" s="0" t="s">
        <v>647</v>
      </c>
      <c r="C61" s="0" t="s">
        <v>597</v>
      </c>
      <c r="D61" s="0" t="n">
        <v>29</v>
      </c>
      <c r="E61" s="41" t="n">
        <v>22941</v>
      </c>
      <c r="F61" s="0" t="str">
        <f aca="false">IF(COUNTIF(Productos!$A$6:$A$145,A61)=0,IF(C61="KIT/DÚO","Kit (después)","No está"),IF(COUNTIFS(Productos!$A$6:$A$145,A61,Productos!$V$6:$V$145,"&gt;0")&gt;0,"Completa","Faltan datos"))</f>
        <v>Kit (después)</v>
      </c>
    </row>
    <row r="62" customFormat="false" ht="15" hidden="false" customHeight="false" outlineLevel="0" collapsed="false">
      <c r="A62" s="0" t="s">
        <v>322</v>
      </c>
      <c r="B62" s="0" t="s">
        <v>323</v>
      </c>
      <c r="C62" s="0" t="s">
        <v>619</v>
      </c>
      <c r="D62" s="0" t="n">
        <v>29</v>
      </c>
      <c r="E62" s="41" t="n">
        <v>22605</v>
      </c>
      <c r="F62" s="0" t="str">
        <f aca="false">IF(COUNTIF(Productos!$A$6:$A$145,A62)=0,IF(C62="KIT/DÚO","Kit (después)","No está"),IF(COUNTIFS(Productos!$A$6:$A$145,A62,Productos!$V$6:$V$145,"&gt;0")&gt;0,"Completa","Faltan datos"))</f>
        <v>Faltan datos</v>
      </c>
    </row>
    <row r="63" customFormat="false" ht="15" hidden="false" customHeight="false" outlineLevel="0" collapsed="false">
      <c r="A63" s="0" t="s">
        <v>324</v>
      </c>
      <c r="B63" s="0" t="s">
        <v>325</v>
      </c>
      <c r="C63" s="0" t="s">
        <v>610</v>
      </c>
      <c r="D63" s="0" t="n">
        <v>29</v>
      </c>
      <c r="E63" s="41" t="n">
        <v>16723</v>
      </c>
      <c r="F63" s="0" t="str">
        <f aca="false">IF(COUNTIF(Productos!$A$6:$A$145,A63)=0,IF(C63="KIT/DÚO","Kit (después)","No está"),IF(COUNTIFS(Productos!$A$6:$A$145,A63,Productos!$V$6:$V$145,"&gt;0")&gt;0,"Completa","Faltan datos"))</f>
        <v>Faltan datos</v>
      </c>
    </row>
    <row r="64" customFormat="false" ht="15" hidden="false" customHeight="false" outlineLevel="0" collapsed="false">
      <c r="A64" s="0" t="s">
        <v>648</v>
      </c>
      <c r="B64" s="0" t="s">
        <v>649</v>
      </c>
      <c r="C64" s="0" t="s">
        <v>607</v>
      </c>
      <c r="D64" s="0" t="n">
        <v>26</v>
      </c>
      <c r="E64" s="41" t="n">
        <v>6442</v>
      </c>
      <c r="F64" s="0" t="str">
        <f aca="false">IF(COUNTIF(Productos!$A$6:$A$145,A64)=0,IF(C64="KIT/DÚO","Kit (después)","No está"),IF(COUNTIFS(Productos!$A$6:$A$145,A64,Productos!$V$6:$V$145,"&gt;0")&gt;0,"Completa","Faltan datos"))</f>
        <v>No está</v>
      </c>
    </row>
    <row r="65" customFormat="false" ht="15" hidden="false" customHeight="false" outlineLevel="0" collapsed="false">
      <c r="A65" s="0" t="s">
        <v>326</v>
      </c>
      <c r="B65" s="0" t="s">
        <v>327</v>
      </c>
      <c r="C65" s="0" t="s">
        <v>610</v>
      </c>
      <c r="D65" s="0" t="n">
        <v>26</v>
      </c>
      <c r="E65" s="41" t="n">
        <v>23488</v>
      </c>
      <c r="F65" s="0" t="str">
        <f aca="false">IF(COUNTIF(Productos!$A$6:$A$145,A65)=0,IF(C65="KIT/DÚO","Kit (después)","No está"),IF(COUNTIFS(Productos!$A$6:$A$145,A65,Productos!$V$6:$V$145,"&gt;0")&gt;0,"Completa","Faltan datos"))</f>
        <v>Faltan datos</v>
      </c>
    </row>
    <row r="66" customFormat="false" ht="15" hidden="false" customHeight="false" outlineLevel="0" collapsed="false">
      <c r="A66" s="0" t="s">
        <v>650</v>
      </c>
      <c r="B66" s="0" t="s">
        <v>651</v>
      </c>
      <c r="C66" s="0" t="s">
        <v>597</v>
      </c>
      <c r="D66" s="0" t="n">
        <v>26</v>
      </c>
      <c r="E66" s="41" t="n">
        <v>29580</v>
      </c>
      <c r="F66" s="0" t="str">
        <f aca="false">IF(COUNTIF(Productos!$A$6:$A$145,A66)=0,IF(C66="KIT/DÚO","Kit (después)","No está"),IF(COUNTIFS(Productos!$A$6:$A$145,A66,Productos!$V$6:$V$145,"&gt;0")&gt;0,"Completa","Faltan datos"))</f>
        <v>Kit (después)</v>
      </c>
    </row>
    <row r="67" customFormat="false" ht="15" hidden="false" customHeight="false" outlineLevel="0" collapsed="false">
      <c r="A67" s="0" t="s">
        <v>328</v>
      </c>
      <c r="B67" s="0" t="s">
        <v>329</v>
      </c>
      <c r="C67" s="0" t="s">
        <v>610</v>
      </c>
      <c r="D67" s="0" t="n">
        <v>25</v>
      </c>
      <c r="E67" s="41" t="n">
        <v>19244</v>
      </c>
      <c r="F67" s="0" t="str">
        <f aca="false">IF(COUNTIF(Productos!$A$6:$A$145,A67)=0,IF(C67="KIT/DÚO","Kit (después)","No está"),IF(COUNTIFS(Productos!$A$6:$A$145,A67,Productos!$V$6:$V$145,"&gt;0")&gt;0,"Completa","Faltan datos"))</f>
        <v>Faltan datos</v>
      </c>
    </row>
    <row r="68" customFormat="false" ht="15" hidden="false" customHeight="false" outlineLevel="0" collapsed="false">
      <c r="A68" s="0" t="s">
        <v>652</v>
      </c>
      <c r="B68" s="0" t="s">
        <v>653</v>
      </c>
      <c r="C68" s="0" t="s">
        <v>597</v>
      </c>
      <c r="D68" s="0" t="n">
        <v>25</v>
      </c>
      <c r="E68" s="41" t="n">
        <v>29580</v>
      </c>
      <c r="F68" s="0" t="str">
        <f aca="false">IF(COUNTIF(Productos!$A$6:$A$145,A68)=0,IF(C68="KIT/DÚO","Kit (después)","No está"),IF(COUNTIFS(Productos!$A$6:$A$145,A68,Productos!$V$6:$V$145,"&gt;0")&gt;0,"Completa","Faltan datos"))</f>
        <v>Kit (después)</v>
      </c>
    </row>
    <row r="69" customFormat="false" ht="15" hidden="false" customHeight="false" outlineLevel="0" collapsed="false">
      <c r="A69" s="0" t="s">
        <v>330</v>
      </c>
      <c r="B69" s="0" t="s">
        <v>331</v>
      </c>
      <c r="C69" s="0" t="s">
        <v>619</v>
      </c>
      <c r="D69" s="0" t="n">
        <v>25</v>
      </c>
      <c r="E69" s="41" t="n">
        <v>15882</v>
      </c>
      <c r="F69" s="0" t="str">
        <f aca="false">IF(COUNTIF(Productos!$A$6:$A$145,A69)=0,IF(C69="KIT/DÚO","Kit (después)","No está"),IF(COUNTIFS(Productos!$A$6:$A$145,A69,Productos!$V$6:$V$145,"&gt;0")&gt;0,"Completa","Faltan datos"))</f>
        <v>Faltan datos</v>
      </c>
    </row>
    <row r="70" customFormat="false" ht="15" hidden="false" customHeight="false" outlineLevel="0" collapsed="false">
      <c r="A70" s="0" t="s">
        <v>332</v>
      </c>
      <c r="B70" s="0" t="s">
        <v>333</v>
      </c>
      <c r="C70" s="0" t="s">
        <v>610</v>
      </c>
      <c r="D70" s="0" t="n">
        <v>24</v>
      </c>
      <c r="E70" s="41" t="n">
        <v>18403</v>
      </c>
      <c r="F70" s="0" t="str">
        <f aca="false">IF(COUNTIF(Productos!$A$6:$A$145,A70)=0,IF(C70="KIT/DÚO","Kit (después)","No está"),IF(COUNTIFS(Productos!$A$6:$A$145,A70,Productos!$V$6:$V$145,"&gt;0")&gt;0,"Completa","Faltan datos"))</f>
        <v>Faltan datos</v>
      </c>
    </row>
    <row r="71" customFormat="false" ht="15" hidden="false" customHeight="false" outlineLevel="0" collapsed="false">
      <c r="A71" s="0" t="s">
        <v>654</v>
      </c>
      <c r="B71" s="0" t="s">
        <v>655</v>
      </c>
      <c r="C71" s="0" t="s">
        <v>597</v>
      </c>
      <c r="D71" s="0" t="n">
        <v>24</v>
      </c>
      <c r="E71" s="41" t="n">
        <v>23697</v>
      </c>
      <c r="F71" s="0" t="str">
        <f aca="false">IF(COUNTIF(Productos!$A$6:$A$145,A71)=0,IF(C71="KIT/DÚO","Kit (después)","No está"),IF(COUNTIFS(Productos!$A$6:$A$145,A71,Productos!$V$6:$V$145,"&gt;0")&gt;0,"Completa","Faltan datos"))</f>
        <v>Kit (después)</v>
      </c>
    </row>
    <row r="72" customFormat="false" ht="15" hidden="false" customHeight="false" outlineLevel="0" collapsed="false">
      <c r="A72" s="0" t="s">
        <v>335</v>
      </c>
      <c r="B72" s="0" t="s">
        <v>336</v>
      </c>
      <c r="C72" s="0" t="s">
        <v>610</v>
      </c>
      <c r="D72" s="0" t="n">
        <v>23</v>
      </c>
      <c r="E72" s="41" t="n">
        <v>19244</v>
      </c>
      <c r="F72" s="0" t="str">
        <f aca="false">IF(COUNTIF(Productos!$A$6:$A$145,A72)=0,IF(C72="KIT/DÚO","Kit (después)","No está"),IF(COUNTIFS(Productos!$A$6:$A$145,A72,Productos!$V$6:$V$145,"&gt;0")&gt;0,"Completa","Faltan datos"))</f>
        <v>Faltan datos</v>
      </c>
    </row>
    <row r="73" customFormat="false" ht="15" hidden="false" customHeight="false" outlineLevel="0" collapsed="false">
      <c r="A73" s="0" t="s">
        <v>656</v>
      </c>
      <c r="B73" s="0" t="s">
        <v>657</v>
      </c>
      <c r="C73" s="0" t="s">
        <v>607</v>
      </c>
      <c r="D73" s="0" t="n">
        <v>22</v>
      </c>
      <c r="E73" s="41" t="n">
        <v>5882</v>
      </c>
      <c r="F73" s="0" t="str">
        <f aca="false">IF(COUNTIF(Productos!$A$6:$A$145,A73)=0,IF(C73="KIT/DÚO","Kit (después)","No está"),IF(COUNTIFS(Productos!$A$6:$A$145,A73,Productos!$V$6:$V$145,"&gt;0")&gt;0,"Completa","Faltan datos"))</f>
        <v>No está</v>
      </c>
    </row>
    <row r="74" customFormat="false" ht="15" hidden="false" customHeight="false" outlineLevel="0" collapsed="false">
      <c r="A74" s="0" t="s">
        <v>338</v>
      </c>
      <c r="B74" s="0" t="s">
        <v>339</v>
      </c>
      <c r="C74" s="0" t="s">
        <v>610</v>
      </c>
      <c r="D74" s="0" t="n">
        <v>21</v>
      </c>
      <c r="E74" s="41" t="n">
        <v>17563</v>
      </c>
      <c r="F74" s="0" t="str">
        <f aca="false">IF(COUNTIF(Productos!$A$6:$A$145,A74)=0,IF(C74="KIT/DÚO","Kit (después)","No está"),IF(COUNTIFS(Productos!$A$6:$A$145,A74,Productos!$V$6:$V$145,"&gt;0")&gt;0,"Completa","Faltan datos"))</f>
        <v>Faltan datos</v>
      </c>
    </row>
    <row r="75" customFormat="false" ht="15" hidden="false" customHeight="false" outlineLevel="0" collapsed="false">
      <c r="A75" s="0" t="s">
        <v>341</v>
      </c>
      <c r="B75" s="0" t="s">
        <v>342</v>
      </c>
      <c r="C75" s="0" t="s">
        <v>610</v>
      </c>
      <c r="D75" s="0" t="n">
        <v>20</v>
      </c>
      <c r="E75" s="41" t="n">
        <v>12521</v>
      </c>
      <c r="F75" s="0" t="str">
        <f aca="false">IF(COUNTIF(Productos!$A$6:$A$145,A75)=0,IF(C75="KIT/DÚO","Kit (después)","No está"),IF(COUNTIFS(Productos!$A$6:$A$145,A75,Productos!$V$6:$V$145,"&gt;0")&gt;0,"Completa","Faltan datos"))</f>
        <v>Faltan datos</v>
      </c>
    </row>
    <row r="76" customFormat="false" ht="15" hidden="false" customHeight="false" outlineLevel="0" collapsed="false">
      <c r="A76" s="0" t="s">
        <v>344</v>
      </c>
      <c r="B76" s="0" t="s">
        <v>345</v>
      </c>
      <c r="C76" s="0" t="s">
        <v>610</v>
      </c>
      <c r="D76" s="0" t="n">
        <v>20</v>
      </c>
      <c r="E76" s="41" t="n">
        <v>18403</v>
      </c>
      <c r="F76" s="0" t="str">
        <f aca="false">IF(COUNTIF(Productos!$A$6:$A$145,A76)=0,IF(C76="KIT/DÚO","Kit (después)","No está"),IF(COUNTIFS(Productos!$A$6:$A$145,A76,Productos!$V$6:$V$145,"&gt;0")&gt;0,"Completa","Faltan datos"))</f>
        <v>Faltan datos</v>
      </c>
    </row>
    <row r="77" customFormat="false" ht="15" hidden="false" customHeight="false" outlineLevel="0" collapsed="false">
      <c r="A77" s="0" t="s">
        <v>346</v>
      </c>
      <c r="B77" s="0" t="s">
        <v>347</v>
      </c>
      <c r="C77" s="0" t="s">
        <v>610</v>
      </c>
      <c r="D77" s="0" t="n">
        <v>20</v>
      </c>
      <c r="E77" s="41" t="n">
        <v>30000</v>
      </c>
      <c r="F77" s="0" t="str">
        <f aca="false">IF(COUNTIF(Productos!$A$6:$A$145,A77)=0,IF(C77="KIT/DÚO","Kit (después)","No está"),IF(COUNTIFS(Productos!$A$6:$A$145,A77,Productos!$V$6:$V$145,"&gt;0")&gt;0,"Completa","Faltan datos"))</f>
        <v>Faltan datos</v>
      </c>
    </row>
    <row r="78" customFormat="false" ht="15" hidden="false" customHeight="false" outlineLevel="0" collapsed="false">
      <c r="A78" s="0" t="s">
        <v>348</v>
      </c>
      <c r="B78" s="0" t="s">
        <v>349</v>
      </c>
      <c r="C78" s="0" t="s">
        <v>610</v>
      </c>
      <c r="D78" s="0" t="n">
        <v>20</v>
      </c>
      <c r="E78" s="41" t="n">
        <v>6000</v>
      </c>
      <c r="F78" s="0" t="str">
        <f aca="false">IF(COUNTIF(Productos!$A$6:$A$145,A78)=0,IF(C78="KIT/DÚO","Kit (después)","No está"),IF(COUNTIFS(Productos!$A$6:$A$145,A78,Productos!$V$6:$V$145,"&gt;0")&gt;0,"Completa","Faltan datos"))</f>
        <v>Faltan datos</v>
      </c>
    </row>
    <row r="79" customFormat="false" ht="15" hidden="false" customHeight="false" outlineLevel="0" collapsed="false">
      <c r="A79" s="0" t="s">
        <v>658</v>
      </c>
      <c r="B79" s="0" t="s">
        <v>659</v>
      </c>
      <c r="C79" s="0" t="s">
        <v>607</v>
      </c>
      <c r="D79" s="0" t="n">
        <v>20</v>
      </c>
      <c r="E79" s="41" t="n">
        <v>5500</v>
      </c>
      <c r="F79" s="0" t="str">
        <f aca="false">IF(COUNTIF(Productos!$A$6:$A$145,A79)=0,IF(C79="KIT/DÚO","Kit (después)","No está"),IF(COUNTIFS(Productos!$A$6:$A$145,A79,Productos!$V$6:$V$145,"&gt;0")&gt;0,"Completa","Faltan datos"))</f>
        <v>No está</v>
      </c>
    </row>
    <row r="80" customFormat="false" ht="15" hidden="false" customHeight="false" outlineLevel="0" collapsed="false">
      <c r="A80" s="0" t="s">
        <v>350</v>
      </c>
      <c r="B80" s="0" t="s">
        <v>351</v>
      </c>
      <c r="C80" s="0" t="s">
        <v>610</v>
      </c>
      <c r="D80" s="0" t="n">
        <v>19</v>
      </c>
      <c r="E80" s="41" t="n">
        <v>15882</v>
      </c>
      <c r="F80" s="0" t="str">
        <f aca="false">IF(COUNTIF(Productos!$A$6:$A$145,A80)=0,IF(C80="KIT/DÚO","Kit (después)","No está"),IF(COUNTIFS(Productos!$A$6:$A$145,A80,Productos!$V$6:$V$145,"&gt;0")&gt;0,"Completa","Faltan datos"))</f>
        <v>Faltan datos</v>
      </c>
    </row>
    <row r="81" customFormat="false" ht="15" hidden="false" customHeight="false" outlineLevel="0" collapsed="false">
      <c r="A81" s="0" t="s">
        <v>660</v>
      </c>
      <c r="B81" s="0" t="s">
        <v>661</v>
      </c>
      <c r="C81" s="0" t="s">
        <v>597</v>
      </c>
      <c r="D81" s="0" t="n">
        <v>19</v>
      </c>
      <c r="E81" s="41" t="n">
        <v>34370</v>
      </c>
      <c r="F81" s="0" t="str">
        <f aca="false">IF(COUNTIF(Productos!$A$6:$A$145,A81)=0,IF(C81="KIT/DÚO","Kit (después)","No está"),IF(COUNTIFS(Productos!$A$6:$A$145,A81,Productos!$V$6:$V$145,"&gt;0")&gt;0,"Completa","Faltan datos"))</f>
        <v>Kit (después)</v>
      </c>
    </row>
    <row r="82" customFormat="false" ht="15" hidden="false" customHeight="false" outlineLevel="0" collapsed="false">
      <c r="A82" s="0" t="s">
        <v>352</v>
      </c>
      <c r="B82" s="0" t="s">
        <v>353</v>
      </c>
      <c r="C82" s="0" t="s">
        <v>619</v>
      </c>
      <c r="D82" s="0" t="n">
        <v>19</v>
      </c>
      <c r="E82" s="41" t="n">
        <v>15042</v>
      </c>
      <c r="F82" s="0" t="str">
        <f aca="false">IF(COUNTIF(Productos!$A$6:$A$145,A82)=0,IF(C82="KIT/DÚO","Kit (después)","No está"),IF(COUNTIFS(Productos!$A$6:$A$145,A82,Productos!$V$6:$V$145,"&gt;0")&gt;0,"Completa","Faltan datos"))</f>
        <v>Faltan datos</v>
      </c>
    </row>
    <row r="83" customFormat="false" ht="15" hidden="false" customHeight="false" outlineLevel="0" collapsed="false">
      <c r="A83" s="0" t="s">
        <v>662</v>
      </c>
      <c r="B83" s="0" t="s">
        <v>663</v>
      </c>
      <c r="C83" s="0" t="s">
        <v>597</v>
      </c>
      <c r="D83" s="0" t="n">
        <v>19</v>
      </c>
      <c r="E83" s="41" t="n">
        <v>25126</v>
      </c>
      <c r="F83" s="0" t="str">
        <f aca="false">IF(COUNTIF(Productos!$A$6:$A$145,A83)=0,IF(C83="KIT/DÚO","Kit (después)","No está"),IF(COUNTIFS(Productos!$A$6:$A$145,A83,Productos!$V$6:$V$145,"&gt;0")&gt;0,"Completa","Faltan datos"))</f>
        <v>Kit (después)</v>
      </c>
    </row>
    <row r="84" customFormat="false" ht="15" hidden="false" customHeight="false" outlineLevel="0" collapsed="false">
      <c r="A84" s="0" t="s">
        <v>664</v>
      </c>
      <c r="B84" s="0" t="s">
        <v>665</v>
      </c>
      <c r="C84" s="0" t="s">
        <v>597</v>
      </c>
      <c r="D84" s="0" t="n">
        <v>18</v>
      </c>
      <c r="E84" s="41" t="n">
        <v>26218</v>
      </c>
      <c r="F84" s="0" t="str">
        <f aca="false">IF(COUNTIF(Productos!$A$6:$A$145,A84)=0,IF(C84="KIT/DÚO","Kit (después)","No está"),IF(COUNTIFS(Productos!$A$6:$A$145,A84,Productos!$V$6:$V$145,"&gt;0")&gt;0,"Completa","Faltan datos"))</f>
        <v>Kit (después)</v>
      </c>
    </row>
    <row r="85" customFormat="false" ht="15" hidden="false" customHeight="false" outlineLevel="0" collapsed="false">
      <c r="A85" s="0" t="s">
        <v>666</v>
      </c>
      <c r="B85" s="0" t="s">
        <v>667</v>
      </c>
      <c r="C85" s="0" t="s">
        <v>597</v>
      </c>
      <c r="D85" s="0" t="n">
        <v>17</v>
      </c>
      <c r="E85" s="41" t="n">
        <v>27059</v>
      </c>
      <c r="F85" s="0" t="str">
        <f aca="false">IF(COUNTIF(Productos!$A$6:$A$145,A85)=0,IF(C85="KIT/DÚO","Kit (después)","No está"),IF(COUNTIFS(Productos!$A$6:$A$145,A85,Productos!$V$6:$V$145,"&gt;0")&gt;0,"Completa","Faltan datos"))</f>
        <v>Kit (después)</v>
      </c>
    </row>
    <row r="86" customFormat="false" ht="15" hidden="false" customHeight="false" outlineLevel="0" collapsed="false">
      <c r="A86" s="0" t="s">
        <v>354</v>
      </c>
      <c r="B86" s="0" t="s">
        <v>355</v>
      </c>
      <c r="C86" s="0" t="s">
        <v>619</v>
      </c>
      <c r="D86" s="0" t="n">
        <v>17</v>
      </c>
      <c r="E86" s="41" t="n">
        <v>24328</v>
      </c>
      <c r="F86" s="0" t="str">
        <f aca="false">IF(COUNTIF(Productos!$A$6:$A$145,A86)=0,IF(C86="KIT/DÚO","Kit (después)","No está"),IF(COUNTIFS(Productos!$A$6:$A$145,A86,Productos!$V$6:$V$145,"&gt;0")&gt;0,"Completa","Faltan datos"))</f>
        <v>Faltan datos</v>
      </c>
    </row>
    <row r="87" customFormat="false" ht="15" hidden="false" customHeight="false" outlineLevel="0" collapsed="false">
      <c r="A87" s="0" t="s">
        <v>668</v>
      </c>
      <c r="B87" s="0" t="s">
        <v>669</v>
      </c>
      <c r="C87" s="0" t="s">
        <v>600</v>
      </c>
      <c r="D87" s="0" t="n">
        <v>16</v>
      </c>
      <c r="E87" s="41" t="n">
        <v>5042</v>
      </c>
      <c r="F87" s="0" t="str">
        <f aca="false">IF(COUNTIF(Productos!$A$6:$A$145,A87)=0,IF(C87="KIT/DÚO","Kit (después)","No está"),IF(COUNTIFS(Productos!$A$6:$A$145,A87,Productos!$V$6:$V$145,"&gt;0")&gt;0,"Completa","Faltan datos"))</f>
        <v>No está</v>
      </c>
    </row>
    <row r="88" customFormat="false" ht="15" hidden="false" customHeight="false" outlineLevel="0" collapsed="false">
      <c r="A88" s="0" t="s">
        <v>356</v>
      </c>
      <c r="B88" s="0" t="s">
        <v>357</v>
      </c>
      <c r="C88" s="0" t="s">
        <v>610</v>
      </c>
      <c r="D88" s="0" t="n">
        <v>16</v>
      </c>
      <c r="E88" s="41" t="n">
        <v>15882</v>
      </c>
      <c r="F88" s="0" t="str">
        <f aca="false">IF(COUNTIF(Productos!$A$6:$A$145,A88)=0,IF(C88="KIT/DÚO","Kit (después)","No está"),IF(COUNTIFS(Productos!$A$6:$A$145,A88,Productos!$V$6:$V$145,"&gt;0")&gt;0,"Completa","Faltan datos"))</f>
        <v>Faltan datos</v>
      </c>
    </row>
    <row r="89" customFormat="false" ht="15" hidden="false" customHeight="false" outlineLevel="0" collapsed="false">
      <c r="A89" s="0" t="s">
        <v>670</v>
      </c>
      <c r="B89" s="0" t="s">
        <v>671</v>
      </c>
      <c r="C89" s="0" t="s">
        <v>597</v>
      </c>
      <c r="D89" s="0" t="n">
        <v>15</v>
      </c>
      <c r="E89" s="41" t="n">
        <v>23697</v>
      </c>
      <c r="F89" s="0" t="str">
        <f aca="false">IF(COUNTIF(Productos!$A$6:$A$145,A89)=0,IF(C89="KIT/DÚO","Kit (después)","No está"),IF(COUNTIFS(Productos!$A$6:$A$145,A89,Productos!$V$6:$V$145,"&gt;0")&gt;0,"Completa","Faltan datos"))</f>
        <v>Kit (después)</v>
      </c>
    </row>
    <row r="90" customFormat="false" ht="15" hidden="false" customHeight="false" outlineLevel="0" collapsed="false">
      <c r="A90" s="0" t="s">
        <v>672</v>
      </c>
      <c r="B90" s="0" t="s">
        <v>673</v>
      </c>
      <c r="C90" s="0" t="s">
        <v>597</v>
      </c>
      <c r="D90" s="0" t="n">
        <v>15</v>
      </c>
      <c r="E90" s="41" t="n">
        <v>40252</v>
      </c>
      <c r="F90" s="0" t="str">
        <f aca="false">IF(COUNTIF(Productos!$A$6:$A$145,A90)=0,IF(C90="KIT/DÚO","Kit (después)","No está"),IF(COUNTIFS(Productos!$A$6:$A$145,A90,Productos!$V$6:$V$145,"&gt;0")&gt;0,"Completa","Faltan datos"))</f>
        <v>Kit (después)</v>
      </c>
    </row>
    <row r="91" customFormat="false" ht="15" hidden="false" customHeight="false" outlineLevel="0" collapsed="false">
      <c r="A91" s="0" t="s">
        <v>358</v>
      </c>
      <c r="B91" s="0" t="s">
        <v>359</v>
      </c>
      <c r="C91" s="0" t="s">
        <v>610</v>
      </c>
      <c r="D91" s="0" t="n">
        <v>15</v>
      </c>
      <c r="E91" s="41" t="n">
        <v>17563</v>
      </c>
      <c r="F91" s="0" t="str">
        <f aca="false">IF(COUNTIF(Productos!$A$6:$A$145,A91)=0,IF(C91="KIT/DÚO","Kit (después)","No está"),IF(COUNTIFS(Productos!$A$6:$A$145,A91,Productos!$V$6:$V$145,"&gt;0")&gt;0,"Completa","Faltan datos"))</f>
        <v>Faltan datos</v>
      </c>
    </row>
    <row r="92" customFormat="false" ht="15" hidden="false" customHeight="false" outlineLevel="0" collapsed="false">
      <c r="A92" s="0" t="s">
        <v>360</v>
      </c>
      <c r="B92" s="0" t="s">
        <v>361</v>
      </c>
      <c r="C92" s="0" t="s">
        <v>610</v>
      </c>
      <c r="D92" s="0" t="n">
        <v>15</v>
      </c>
      <c r="E92" s="41" t="n">
        <v>14202</v>
      </c>
      <c r="F92" s="0" t="str">
        <f aca="false">IF(COUNTIF(Productos!$A$6:$A$145,A92)=0,IF(C92="KIT/DÚO","Kit (después)","No está"),IF(COUNTIFS(Productos!$A$6:$A$145,A92,Productos!$V$6:$V$145,"&gt;0")&gt;0,"Completa","Faltan datos"))</f>
        <v>Faltan datos</v>
      </c>
    </row>
    <row r="93" customFormat="false" ht="15" hidden="false" customHeight="false" outlineLevel="0" collapsed="false">
      <c r="A93" s="0" t="s">
        <v>362</v>
      </c>
      <c r="B93" s="0" t="s">
        <v>363</v>
      </c>
      <c r="C93" s="0" t="s">
        <v>610</v>
      </c>
      <c r="D93" s="0" t="n">
        <v>14</v>
      </c>
      <c r="E93" s="41" t="n">
        <v>11681</v>
      </c>
      <c r="F93" s="0" t="str">
        <f aca="false">IF(COUNTIF(Productos!$A$6:$A$145,A93)=0,IF(C93="KIT/DÚO","Kit (después)","No está"),IF(COUNTIFS(Productos!$A$6:$A$145,A93,Productos!$V$6:$V$145,"&gt;0")&gt;0,"Completa","Faltan datos"))</f>
        <v>Faltan datos</v>
      </c>
    </row>
    <row r="94" customFormat="false" ht="15" hidden="false" customHeight="false" outlineLevel="0" collapsed="false">
      <c r="A94" s="0" t="s">
        <v>364</v>
      </c>
      <c r="B94" s="0" t="s">
        <v>365</v>
      </c>
      <c r="C94" s="0" t="s">
        <v>619</v>
      </c>
      <c r="D94" s="0" t="n">
        <v>14</v>
      </c>
      <c r="E94" s="41" t="n">
        <v>31092</v>
      </c>
      <c r="F94" s="0" t="str">
        <f aca="false">IF(COUNTIF(Productos!$A$6:$A$145,A94)=0,IF(C94="KIT/DÚO","Kit (después)","No está"),IF(COUNTIFS(Productos!$A$6:$A$145,A94,Productos!$V$6:$V$145,"&gt;0")&gt;0,"Completa","Faltan datos"))</f>
        <v>Faltan datos</v>
      </c>
    </row>
    <row r="95" customFormat="false" ht="15" hidden="false" customHeight="false" outlineLevel="0" collapsed="false">
      <c r="A95" s="0" t="s">
        <v>366</v>
      </c>
      <c r="B95" s="0" t="s">
        <v>367</v>
      </c>
      <c r="C95" s="0" t="s">
        <v>619</v>
      </c>
      <c r="D95" s="0" t="n">
        <v>13</v>
      </c>
      <c r="E95" s="41" t="n">
        <v>17646</v>
      </c>
      <c r="F95" s="0" t="str">
        <f aca="false">IF(COUNTIF(Productos!$A$6:$A$145,A95)=0,IF(C95="KIT/DÚO","Kit (después)","No está"),IF(COUNTIFS(Productos!$A$6:$A$145,A95,Productos!$V$6:$V$145,"&gt;0")&gt;0,"Completa","Faltan datos"))</f>
        <v>Faltan datos</v>
      </c>
    </row>
    <row r="96" customFormat="false" ht="15" hidden="false" customHeight="false" outlineLevel="0" collapsed="false">
      <c r="A96" s="0" t="s">
        <v>674</v>
      </c>
      <c r="B96" s="0" t="s">
        <v>675</v>
      </c>
      <c r="C96" s="0" t="s">
        <v>597</v>
      </c>
      <c r="D96" s="0" t="n">
        <v>13</v>
      </c>
      <c r="E96" s="41" t="n">
        <v>27647</v>
      </c>
      <c r="F96" s="0" t="str">
        <f aca="false">IF(COUNTIF(Productos!$A$6:$A$145,A96)=0,IF(C96="KIT/DÚO","Kit (después)","No está"),IF(COUNTIFS(Productos!$A$6:$A$145,A96,Productos!$V$6:$V$145,"&gt;0")&gt;0,"Completa","Faltan datos"))</f>
        <v>Kit (después)</v>
      </c>
    </row>
    <row r="97" customFormat="false" ht="15" hidden="false" customHeight="false" outlineLevel="0" collapsed="false">
      <c r="A97" s="0" t="s">
        <v>368</v>
      </c>
      <c r="B97" s="0" t="s">
        <v>369</v>
      </c>
      <c r="C97" s="0" t="s">
        <v>610</v>
      </c>
      <c r="D97" s="0" t="n">
        <v>13</v>
      </c>
      <c r="E97" s="41" t="n">
        <v>16723</v>
      </c>
      <c r="F97" s="0" t="str">
        <f aca="false">IF(COUNTIF(Productos!$A$6:$A$145,A97)=0,IF(C97="KIT/DÚO","Kit (después)","No está"),IF(COUNTIFS(Productos!$A$6:$A$145,A97,Productos!$V$6:$V$145,"&gt;0")&gt;0,"Completa","Faltan datos"))</f>
        <v>Faltan datos</v>
      </c>
    </row>
    <row r="98" customFormat="false" ht="15" hidden="false" customHeight="false" outlineLevel="0" collapsed="false">
      <c r="A98" s="0" t="s">
        <v>370</v>
      </c>
      <c r="B98" s="0" t="s">
        <v>371</v>
      </c>
      <c r="C98" s="0" t="s">
        <v>619</v>
      </c>
      <c r="D98" s="0" t="n">
        <v>13</v>
      </c>
      <c r="E98" s="41" t="n">
        <v>17563</v>
      </c>
      <c r="F98" s="0" t="str">
        <f aca="false">IF(COUNTIF(Productos!$A$6:$A$145,A98)=0,IF(C98="KIT/DÚO","Kit (después)","No está"),IF(COUNTIFS(Productos!$A$6:$A$145,A98,Productos!$V$6:$V$145,"&gt;0")&gt;0,"Completa","Faltan datos"))</f>
        <v>Faltan datos</v>
      </c>
    </row>
    <row r="99" customFormat="false" ht="15" hidden="false" customHeight="false" outlineLevel="0" collapsed="false">
      <c r="A99" s="0" t="s">
        <v>676</v>
      </c>
      <c r="B99" s="0" t="s">
        <v>677</v>
      </c>
      <c r="C99" s="0" t="s">
        <v>610</v>
      </c>
      <c r="D99" s="0" t="n">
        <v>13</v>
      </c>
      <c r="E99" s="41" t="n">
        <v>130000</v>
      </c>
      <c r="F99" s="0" t="str">
        <f aca="false">IF(COUNTIF(Productos!$A$6:$A$145,A99)=0,IF(C99="KIT/DÚO","Kit (después)","No está"),IF(COUNTIFS(Productos!$A$6:$A$145,A99,Productos!$V$6:$V$145,"&gt;0")&gt;0,"Completa","Faltan datos"))</f>
        <v>No está</v>
      </c>
    </row>
    <row r="100" customFormat="false" ht="15" hidden="false" customHeight="false" outlineLevel="0" collapsed="false">
      <c r="A100" s="0" t="s">
        <v>678</v>
      </c>
      <c r="B100" s="0" t="s">
        <v>679</v>
      </c>
      <c r="C100" s="0" t="s">
        <v>597</v>
      </c>
      <c r="D100" s="0" t="n">
        <v>12</v>
      </c>
      <c r="E100" s="41" t="n">
        <v>25966</v>
      </c>
      <c r="F100" s="0" t="str">
        <f aca="false">IF(COUNTIF(Productos!$A$6:$A$145,A100)=0,IF(C100="KIT/DÚO","Kit (después)","No está"),IF(COUNTIFS(Productos!$A$6:$A$145,A100,Productos!$V$6:$V$145,"&gt;0")&gt;0,"Completa","Faltan datos"))</f>
        <v>Kit (después)</v>
      </c>
    </row>
    <row r="101" customFormat="false" ht="15" hidden="false" customHeight="false" outlineLevel="0" collapsed="false">
      <c r="A101" s="0" t="s">
        <v>372</v>
      </c>
      <c r="B101" s="0" t="s">
        <v>373</v>
      </c>
      <c r="C101" s="0" t="s">
        <v>610</v>
      </c>
      <c r="D101" s="0" t="n">
        <v>12</v>
      </c>
      <c r="E101" s="41" t="n">
        <v>16554</v>
      </c>
      <c r="F101" s="0" t="str">
        <f aca="false">IF(COUNTIF(Productos!$A$6:$A$145,A101)=0,IF(C101="KIT/DÚO","Kit (después)","No está"),IF(COUNTIFS(Productos!$A$6:$A$145,A101,Productos!$V$6:$V$145,"&gt;0")&gt;0,"Completa","Faltan datos"))</f>
        <v>Faltan datos</v>
      </c>
    </row>
    <row r="102" customFormat="false" ht="15" hidden="false" customHeight="false" outlineLevel="0" collapsed="false">
      <c r="A102" s="0" t="s">
        <v>680</v>
      </c>
      <c r="B102" s="0" t="s">
        <v>681</v>
      </c>
      <c r="C102" s="0" t="s">
        <v>597</v>
      </c>
      <c r="D102" s="0" t="n">
        <v>12</v>
      </c>
      <c r="E102" s="41" t="n">
        <v>36050</v>
      </c>
      <c r="F102" s="0" t="str">
        <f aca="false">IF(COUNTIF(Productos!$A$6:$A$145,A102)=0,IF(C102="KIT/DÚO","Kit (después)","No está"),IF(COUNTIFS(Productos!$A$6:$A$145,A102,Productos!$V$6:$V$145,"&gt;0")&gt;0,"Completa","Faltan datos"))</f>
        <v>Kit (después)</v>
      </c>
    </row>
    <row r="103" customFormat="false" ht="15" hidden="false" customHeight="false" outlineLevel="0" collapsed="false">
      <c r="A103" s="0" t="s">
        <v>682</v>
      </c>
      <c r="B103" s="0" t="s">
        <v>683</v>
      </c>
      <c r="C103" s="0" t="s">
        <v>597</v>
      </c>
      <c r="D103" s="0" t="n">
        <v>12</v>
      </c>
      <c r="E103" s="41" t="n">
        <v>23445</v>
      </c>
      <c r="F103" s="0" t="str">
        <f aca="false">IF(COUNTIF(Productos!$A$6:$A$145,A103)=0,IF(C103="KIT/DÚO","Kit (después)","No está"),IF(COUNTIFS(Productos!$A$6:$A$145,A103,Productos!$V$6:$V$145,"&gt;0")&gt;0,"Completa","Faltan datos"))</f>
        <v>Kit (después)</v>
      </c>
    </row>
    <row r="104" customFormat="false" ht="15" hidden="false" customHeight="false" outlineLevel="0" collapsed="false">
      <c r="A104" s="0" t="s">
        <v>684</v>
      </c>
      <c r="B104" s="0" t="s">
        <v>685</v>
      </c>
      <c r="C104" s="0" t="s">
        <v>597</v>
      </c>
      <c r="D104" s="0" t="n">
        <v>12</v>
      </c>
      <c r="E104" s="41" t="n">
        <v>23445</v>
      </c>
      <c r="F104" s="0" t="str">
        <f aca="false">IF(COUNTIF(Productos!$A$6:$A$145,A104)=0,IF(C104="KIT/DÚO","Kit (después)","No está"),IF(COUNTIFS(Productos!$A$6:$A$145,A104,Productos!$V$6:$V$145,"&gt;0")&gt;0,"Completa","Faltan datos"))</f>
        <v>Kit (después)</v>
      </c>
    </row>
    <row r="105" customFormat="false" ht="15" hidden="false" customHeight="false" outlineLevel="0" collapsed="false">
      <c r="A105" s="0" t="s">
        <v>374</v>
      </c>
      <c r="B105" s="0" t="s">
        <v>375</v>
      </c>
      <c r="C105" s="0" t="s">
        <v>619</v>
      </c>
      <c r="D105" s="0" t="n">
        <v>12</v>
      </c>
      <c r="E105" s="41" t="n">
        <v>30168</v>
      </c>
      <c r="F105" s="0" t="str">
        <f aca="false">IF(COUNTIF(Productos!$A$6:$A$145,A105)=0,IF(C105="KIT/DÚO","Kit (después)","No está"),IF(COUNTIFS(Productos!$A$6:$A$145,A105,Productos!$V$6:$V$145,"&gt;0")&gt;0,"Completa","Faltan datos"))</f>
        <v>Faltan datos</v>
      </c>
    </row>
    <row r="106" customFormat="false" ht="15" hidden="false" customHeight="false" outlineLevel="0" collapsed="false">
      <c r="A106" s="0" t="s">
        <v>686</v>
      </c>
      <c r="B106" s="0" t="s">
        <v>687</v>
      </c>
      <c r="C106" s="0" t="s">
        <v>600</v>
      </c>
      <c r="D106" s="0" t="n">
        <v>12</v>
      </c>
      <c r="E106" s="41" t="n">
        <v>4118</v>
      </c>
      <c r="F106" s="0" t="str">
        <f aca="false">IF(COUNTIF(Productos!$A$6:$A$145,A106)=0,IF(C106="KIT/DÚO","Kit (después)","No está"),IF(COUNTIFS(Productos!$A$6:$A$145,A106,Productos!$V$6:$V$145,"&gt;0")&gt;0,"Completa","Faltan datos"))</f>
        <v>No está</v>
      </c>
    </row>
    <row r="107" customFormat="false" ht="15" hidden="false" customHeight="false" outlineLevel="0" collapsed="false">
      <c r="A107" s="0" t="s">
        <v>688</v>
      </c>
      <c r="B107" s="0" t="s">
        <v>689</v>
      </c>
      <c r="C107" s="0" t="s">
        <v>597</v>
      </c>
      <c r="D107" s="0" t="n">
        <v>12</v>
      </c>
      <c r="E107" s="41" t="n">
        <v>24286</v>
      </c>
      <c r="F107" s="0" t="str">
        <f aca="false">IF(COUNTIF(Productos!$A$6:$A$145,A107)=0,IF(C107="KIT/DÚO","Kit (después)","No está"),IF(COUNTIFS(Productos!$A$6:$A$145,A107,Productos!$V$6:$V$145,"&gt;0")&gt;0,"Completa","Faltan datos"))</f>
        <v>Kit (después)</v>
      </c>
    </row>
    <row r="108" customFormat="false" ht="15" hidden="false" customHeight="false" outlineLevel="0" collapsed="false">
      <c r="A108" s="0" t="s">
        <v>376</v>
      </c>
      <c r="B108" s="0" t="s">
        <v>377</v>
      </c>
      <c r="C108" s="0" t="s">
        <v>610</v>
      </c>
      <c r="D108" s="0" t="n">
        <v>12</v>
      </c>
      <c r="E108" s="41" t="n">
        <v>17563</v>
      </c>
      <c r="F108" s="0" t="str">
        <f aca="false">IF(COUNTIF(Productos!$A$6:$A$145,A108)=0,IF(C108="KIT/DÚO","Kit (después)","No está"),IF(COUNTIFS(Productos!$A$6:$A$145,A108,Productos!$V$6:$V$145,"&gt;0")&gt;0,"Completa","Faltan datos"))</f>
        <v>Faltan datos</v>
      </c>
    </row>
    <row r="109" customFormat="false" ht="15" hidden="false" customHeight="false" outlineLevel="0" collapsed="false">
      <c r="A109" s="0" t="s">
        <v>378</v>
      </c>
      <c r="B109" s="0" t="s">
        <v>379</v>
      </c>
      <c r="C109" s="0" t="s">
        <v>610</v>
      </c>
      <c r="D109" s="0" t="n">
        <v>12</v>
      </c>
      <c r="E109" s="41" t="n">
        <v>19244</v>
      </c>
      <c r="F109" s="0" t="str">
        <f aca="false">IF(COUNTIF(Productos!$A$6:$A$145,A109)=0,IF(C109="KIT/DÚO","Kit (después)","No está"),IF(COUNTIFS(Productos!$A$6:$A$145,A109,Productos!$V$6:$V$145,"&gt;0")&gt;0,"Completa","Faltan datos"))</f>
        <v>Faltan datos</v>
      </c>
    </row>
    <row r="110" customFormat="false" ht="15" hidden="false" customHeight="false" outlineLevel="0" collapsed="false">
      <c r="A110" s="0" t="s">
        <v>690</v>
      </c>
      <c r="B110" s="0" t="s">
        <v>691</v>
      </c>
      <c r="C110" s="0" t="s">
        <v>597</v>
      </c>
      <c r="D110" s="0" t="n">
        <v>11</v>
      </c>
      <c r="E110" s="41" t="n">
        <v>26891</v>
      </c>
      <c r="F110" s="0" t="str">
        <f aca="false">IF(COUNTIF(Productos!$A$6:$A$145,A110)=0,IF(C110="KIT/DÚO","Kit (después)","No está"),IF(COUNTIFS(Productos!$A$6:$A$145,A110,Productos!$V$6:$V$145,"&gt;0")&gt;0,"Completa","Faltan datos"))</f>
        <v>Kit (después)</v>
      </c>
    </row>
    <row r="111" customFormat="false" ht="15" hidden="false" customHeight="false" outlineLevel="0" collapsed="false">
      <c r="A111" s="0" t="s">
        <v>380</v>
      </c>
      <c r="B111" s="0" t="s">
        <v>381</v>
      </c>
      <c r="C111" s="0" t="s">
        <v>619</v>
      </c>
      <c r="D111" s="0" t="n">
        <v>11</v>
      </c>
      <c r="E111" s="41" t="n">
        <v>20084</v>
      </c>
      <c r="F111" s="0" t="str">
        <f aca="false">IF(COUNTIF(Productos!$A$6:$A$145,A111)=0,IF(C111="KIT/DÚO","Kit (después)","No está"),IF(COUNTIFS(Productos!$A$6:$A$145,A111,Productos!$V$6:$V$145,"&gt;0")&gt;0,"Completa","Faltan datos"))</f>
        <v>Faltan datos</v>
      </c>
    </row>
    <row r="112" customFormat="false" ht="15" hidden="false" customHeight="false" outlineLevel="0" collapsed="false">
      <c r="A112" s="0" t="s">
        <v>692</v>
      </c>
      <c r="B112" s="0" t="s">
        <v>693</v>
      </c>
      <c r="C112" s="0" t="s">
        <v>597</v>
      </c>
      <c r="D112" s="0" t="n">
        <v>10</v>
      </c>
      <c r="E112" s="41" t="n">
        <v>29266</v>
      </c>
      <c r="F112" s="0" t="str">
        <f aca="false">IF(COUNTIF(Productos!$A$6:$A$145,A112)=0,IF(C112="KIT/DÚO","Kit (después)","No está"),IF(COUNTIFS(Productos!$A$6:$A$145,A112,Productos!$V$6:$V$145,"&gt;0")&gt;0,"Completa","Faltan datos"))</f>
        <v>Kit (después)</v>
      </c>
    </row>
    <row r="113" customFormat="false" ht="15" hidden="false" customHeight="false" outlineLevel="0" collapsed="false">
      <c r="A113" s="0" t="s">
        <v>382</v>
      </c>
      <c r="B113" s="0" t="s">
        <v>383</v>
      </c>
      <c r="C113" s="0" t="s">
        <v>610</v>
      </c>
      <c r="D113" s="0" t="n">
        <v>9</v>
      </c>
      <c r="E113" s="41" t="n">
        <v>17143</v>
      </c>
      <c r="F113" s="0" t="str">
        <f aca="false">IF(COUNTIF(Productos!$A$6:$A$145,A113)=0,IF(C113="KIT/DÚO","Kit (después)","No está"),IF(COUNTIFS(Productos!$A$6:$A$145,A113,Productos!$V$6:$V$145,"&gt;0")&gt;0,"Completa","Faltan datos"))</f>
        <v>Faltan datos</v>
      </c>
    </row>
    <row r="114" customFormat="false" ht="15" hidden="false" customHeight="false" outlineLevel="0" collapsed="false">
      <c r="A114" s="0" t="s">
        <v>694</v>
      </c>
      <c r="B114" s="0" t="s">
        <v>695</v>
      </c>
      <c r="C114" s="0" t="s">
        <v>607</v>
      </c>
      <c r="D114" s="0" t="n">
        <v>8</v>
      </c>
      <c r="E114" s="41"/>
      <c r="F114" s="0" t="str">
        <f aca="false">IF(COUNTIF(Productos!$A$6:$A$145,A114)=0,IF(C114="KIT/DÚO","Kit (después)","No está"),IF(COUNTIFS(Productos!$A$6:$A$145,A114,Productos!$V$6:$V$145,"&gt;0")&gt;0,"Completa","Faltan datos"))</f>
        <v>No está</v>
      </c>
    </row>
    <row r="115" customFormat="false" ht="15" hidden="false" customHeight="false" outlineLevel="0" collapsed="false">
      <c r="A115" s="0" t="s">
        <v>696</v>
      </c>
      <c r="B115" s="0" t="s">
        <v>697</v>
      </c>
      <c r="C115" s="0" t="s">
        <v>600</v>
      </c>
      <c r="D115" s="0" t="n">
        <v>8</v>
      </c>
      <c r="E115" s="41" t="n">
        <v>1260</v>
      </c>
      <c r="F115" s="0" t="str">
        <f aca="false">IF(COUNTIF(Productos!$A$6:$A$145,A115)=0,IF(C115="KIT/DÚO","Kit (después)","No está"),IF(COUNTIFS(Productos!$A$6:$A$145,A115,Productos!$V$6:$V$145,"&gt;0")&gt;0,"Completa","Faltan datos"))</f>
        <v>No está</v>
      </c>
    </row>
    <row r="116" customFormat="false" ht="15" hidden="false" customHeight="false" outlineLevel="0" collapsed="false">
      <c r="A116" s="0" t="s">
        <v>384</v>
      </c>
      <c r="B116" s="0" t="s">
        <v>385</v>
      </c>
      <c r="C116" s="0" t="s">
        <v>619</v>
      </c>
      <c r="D116" s="0" t="n">
        <v>6</v>
      </c>
      <c r="E116" s="41" t="n">
        <v>32731</v>
      </c>
      <c r="F116" s="0" t="str">
        <f aca="false">IF(COUNTIF(Productos!$A$6:$A$145,A116)=0,IF(C116="KIT/DÚO","Kit (después)","No está"),IF(COUNTIFS(Productos!$A$6:$A$145,A116,Productos!$V$6:$V$145,"&gt;0")&gt;0,"Completa","Faltan datos"))</f>
        <v>Faltan datos</v>
      </c>
    </row>
    <row r="117" customFormat="false" ht="15" hidden="false" customHeight="false" outlineLevel="0" collapsed="false">
      <c r="A117" s="0" t="s">
        <v>386</v>
      </c>
      <c r="B117" s="0" t="s">
        <v>387</v>
      </c>
      <c r="C117" s="0" t="s">
        <v>610</v>
      </c>
      <c r="D117" s="0" t="n">
        <v>6</v>
      </c>
      <c r="E117" s="41" t="n">
        <v>16723</v>
      </c>
      <c r="F117" s="0" t="str">
        <f aca="false">IF(COUNTIF(Productos!$A$6:$A$145,A117)=0,IF(C117="KIT/DÚO","Kit (después)","No está"),IF(COUNTIFS(Productos!$A$6:$A$145,A117,Productos!$V$6:$V$145,"&gt;0")&gt;0,"Completa","Faltan datos"))</f>
        <v>Faltan datos</v>
      </c>
    </row>
    <row r="118" customFormat="false" ht="15" hidden="false" customHeight="false" outlineLevel="0" collapsed="false">
      <c r="A118" s="0" t="s">
        <v>388</v>
      </c>
      <c r="B118" s="0" t="s">
        <v>389</v>
      </c>
      <c r="C118" s="0" t="s">
        <v>610</v>
      </c>
      <c r="D118" s="0" t="n">
        <v>5</v>
      </c>
      <c r="E118" s="41" t="n">
        <v>15882</v>
      </c>
      <c r="F118" s="0" t="str">
        <f aca="false">IF(COUNTIF(Productos!$A$6:$A$145,A118)=0,IF(C118="KIT/DÚO","Kit (después)","No está"),IF(COUNTIFS(Productos!$A$6:$A$145,A118,Productos!$V$6:$V$145,"&gt;0")&gt;0,"Completa","Faltan datos"))</f>
        <v>Faltan datos</v>
      </c>
    </row>
    <row r="119" customFormat="false" ht="15" hidden="false" customHeight="false" outlineLevel="0" collapsed="false">
      <c r="A119" s="0" t="s">
        <v>698</v>
      </c>
      <c r="B119" s="0" t="s">
        <v>699</v>
      </c>
      <c r="C119" s="0" t="s">
        <v>610</v>
      </c>
      <c r="D119" s="0" t="n">
        <v>5</v>
      </c>
      <c r="E119" s="41" t="n">
        <v>13622</v>
      </c>
      <c r="F119" s="0" t="str">
        <f aca="false">IF(COUNTIF(Productos!$A$6:$A$145,A119)=0,IF(C119="KIT/DÚO","Kit (después)","No está"),IF(COUNTIFS(Productos!$A$6:$A$145,A119,Productos!$V$6:$V$145,"&gt;0")&gt;0,"Completa","Faltan datos"))</f>
        <v>No está</v>
      </c>
    </row>
    <row r="120" customFormat="false" ht="15" hidden="false" customHeight="false" outlineLevel="0" collapsed="false">
      <c r="A120" s="0" t="s">
        <v>700</v>
      </c>
      <c r="B120" s="0" t="s">
        <v>701</v>
      </c>
      <c r="C120" s="0" t="s">
        <v>607</v>
      </c>
      <c r="D120" s="0" t="n">
        <v>5</v>
      </c>
      <c r="E120" s="41" t="n">
        <v>29412</v>
      </c>
      <c r="F120" s="0" t="str">
        <f aca="false">IF(COUNTIF(Productos!$A$6:$A$145,A120)=0,IF(C120="KIT/DÚO","Kit (después)","No está"),IF(COUNTIFS(Productos!$A$6:$A$145,A120,Productos!$V$6:$V$145,"&gt;0")&gt;0,"Completa","Faltan datos"))</f>
        <v>No está</v>
      </c>
    </row>
    <row r="121" customFormat="false" ht="15" hidden="false" customHeight="false" outlineLevel="0" collapsed="false">
      <c r="A121" s="0" t="s">
        <v>390</v>
      </c>
      <c r="B121" s="0" t="s">
        <v>391</v>
      </c>
      <c r="C121" s="0" t="s">
        <v>610</v>
      </c>
      <c r="D121" s="0" t="n">
        <v>4</v>
      </c>
      <c r="E121" s="41" t="n">
        <v>12689</v>
      </c>
      <c r="F121" s="0" t="str">
        <f aca="false">IF(COUNTIF(Productos!$A$6:$A$145,A121)=0,IF(C121="KIT/DÚO","Kit (después)","No está"),IF(COUNTIFS(Productos!$A$6:$A$145,A121,Productos!$V$6:$V$145,"&gt;0")&gt;0,"Completa","Faltan datos"))</f>
        <v>Faltan datos</v>
      </c>
    </row>
    <row r="122" customFormat="false" ht="15" hidden="false" customHeight="false" outlineLevel="0" collapsed="false">
      <c r="A122" s="0" t="s">
        <v>392</v>
      </c>
      <c r="B122" s="0" t="s">
        <v>393</v>
      </c>
      <c r="C122" s="0" t="s">
        <v>619</v>
      </c>
      <c r="D122" s="0" t="n">
        <v>4</v>
      </c>
      <c r="E122" s="41" t="n">
        <v>13445</v>
      </c>
      <c r="F122" s="0" t="str">
        <f aca="false">IF(COUNTIF(Productos!$A$6:$A$145,A122)=0,IF(C122="KIT/DÚO","Kit (después)","No está"),IF(COUNTIFS(Productos!$A$6:$A$145,A122,Productos!$V$6:$V$145,"&gt;0")&gt;0,"Completa","Faltan datos"))</f>
        <v>Faltan datos</v>
      </c>
    </row>
    <row r="123" customFormat="false" ht="15" hidden="false" customHeight="false" outlineLevel="0" collapsed="false">
      <c r="A123" s="0" t="s">
        <v>394</v>
      </c>
      <c r="B123" s="0" t="s">
        <v>395</v>
      </c>
      <c r="C123" s="0" t="s">
        <v>619</v>
      </c>
      <c r="D123" s="0" t="n">
        <v>4</v>
      </c>
      <c r="E123" s="41" t="n">
        <v>30168</v>
      </c>
      <c r="F123" s="0" t="str">
        <f aca="false">IF(COUNTIF(Productos!$A$6:$A$145,A123)=0,IF(C123="KIT/DÚO","Kit (después)","No está"),IF(COUNTIFS(Productos!$A$6:$A$145,A123,Productos!$V$6:$V$145,"&gt;0")&gt;0,"Completa","Faltan datos"))</f>
        <v>Faltan datos</v>
      </c>
    </row>
    <row r="124" customFormat="false" ht="15" hidden="false" customHeight="false" outlineLevel="0" collapsed="false">
      <c r="A124" s="0" t="s">
        <v>702</v>
      </c>
      <c r="B124" s="0" t="s">
        <v>703</v>
      </c>
      <c r="C124" s="0" t="s">
        <v>607</v>
      </c>
      <c r="D124" s="0" t="n">
        <v>3</v>
      </c>
      <c r="E124" s="41" t="n">
        <v>21008</v>
      </c>
      <c r="F124" s="0" t="str">
        <f aca="false">IF(COUNTIF(Productos!$A$6:$A$145,A124)=0,IF(C124="KIT/DÚO","Kit (después)","No está"),IF(COUNTIFS(Productos!$A$6:$A$145,A124,Productos!$V$6:$V$145,"&gt;0")&gt;0,"Completa","Faltan datos"))</f>
        <v>No está</v>
      </c>
    </row>
    <row r="125" customFormat="false" ht="15" hidden="false" customHeight="false" outlineLevel="0" collapsed="false">
      <c r="A125" s="0" t="s">
        <v>396</v>
      </c>
      <c r="B125" s="0" t="s">
        <v>397</v>
      </c>
      <c r="C125" s="0" t="s">
        <v>610</v>
      </c>
      <c r="D125" s="0" t="n">
        <v>3</v>
      </c>
      <c r="E125" s="41" t="n">
        <v>16723</v>
      </c>
      <c r="F125" s="0" t="str">
        <f aca="false">IF(COUNTIF(Productos!$A$6:$A$145,A125)=0,IF(C125="KIT/DÚO","Kit (después)","No está"),IF(COUNTIFS(Productos!$A$6:$A$145,A125,Productos!$V$6:$V$145,"&gt;0")&gt;0,"Completa","Faltan datos"))</f>
        <v>Faltan datos</v>
      </c>
    </row>
    <row r="126" customFormat="false" ht="15" hidden="false" customHeight="false" outlineLevel="0" collapsed="false">
      <c r="A126" s="0" t="s">
        <v>398</v>
      </c>
      <c r="B126" s="0" t="s">
        <v>399</v>
      </c>
      <c r="C126" s="0" t="s">
        <v>619</v>
      </c>
      <c r="D126" s="0" t="n">
        <v>2</v>
      </c>
      <c r="E126" s="41" t="n">
        <v>27647</v>
      </c>
      <c r="F126" s="0" t="str">
        <f aca="false">IF(COUNTIF(Productos!$A$6:$A$145,A126)=0,IF(C126="KIT/DÚO","Kit (después)","No está"),IF(COUNTIFS(Productos!$A$6:$A$145,A126,Productos!$V$6:$V$145,"&gt;0")&gt;0,"Completa","Faltan datos"))</f>
        <v>Faltan datos</v>
      </c>
    </row>
    <row r="127" customFormat="false" ht="15" hidden="false" customHeight="false" outlineLevel="0" collapsed="false">
      <c r="A127" s="0" t="s">
        <v>704</v>
      </c>
      <c r="B127" s="0" t="s">
        <v>705</v>
      </c>
      <c r="C127" s="0" t="s">
        <v>597</v>
      </c>
      <c r="D127" s="0" t="n">
        <v>2</v>
      </c>
      <c r="E127" s="41" t="n">
        <v>45294</v>
      </c>
      <c r="F127" s="0" t="str">
        <f aca="false">IF(COUNTIF(Productos!$A$6:$A$145,A127)=0,IF(C127="KIT/DÚO","Kit (después)","No está"),IF(COUNTIFS(Productos!$A$6:$A$145,A127,Productos!$V$6:$V$145,"&gt;0")&gt;0,"Completa","Faltan datos"))</f>
        <v>Kit (después)</v>
      </c>
    </row>
    <row r="128" customFormat="false" ht="15" hidden="false" customHeight="false" outlineLevel="0" collapsed="false">
      <c r="A128" s="0" t="s">
        <v>706</v>
      </c>
      <c r="B128" s="0" t="s">
        <v>707</v>
      </c>
      <c r="C128" s="0" t="s">
        <v>597</v>
      </c>
      <c r="D128" s="0" t="n">
        <v>2</v>
      </c>
      <c r="E128" s="41" t="n">
        <v>26387</v>
      </c>
      <c r="F128" s="0" t="str">
        <f aca="false">IF(COUNTIF(Productos!$A$6:$A$145,A128)=0,IF(C128="KIT/DÚO","Kit (después)","No está"),IF(COUNTIFS(Productos!$A$6:$A$145,A128,Productos!$V$6:$V$145,"&gt;0")&gt;0,"Completa","Faltan datos"))</f>
        <v>Kit (después)</v>
      </c>
    </row>
    <row r="129" customFormat="false" ht="15" hidden="false" customHeight="false" outlineLevel="0" collapsed="false">
      <c r="A129" s="0" t="s">
        <v>708</v>
      </c>
      <c r="B129" s="0" t="s">
        <v>709</v>
      </c>
      <c r="C129" s="0" t="s">
        <v>607</v>
      </c>
      <c r="D129" s="0" t="n">
        <v>2</v>
      </c>
      <c r="E129" s="41" t="n">
        <v>11093</v>
      </c>
      <c r="F129" s="0" t="str">
        <f aca="false">IF(COUNTIF(Productos!$A$6:$A$145,A129)=0,IF(C129="KIT/DÚO","Kit (después)","No está"),IF(COUNTIFS(Productos!$A$6:$A$145,A129,Productos!$V$6:$V$145,"&gt;0")&gt;0,"Completa","Faltan datos"))</f>
        <v>No está</v>
      </c>
    </row>
    <row r="130" customFormat="false" ht="15" hidden="false" customHeight="false" outlineLevel="0" collapsed="false">
      <c r="A130" s="0" t="s">
        <v>710</v>
      </c>
      <c r="B130" s="0" t="s">
        <v>711</v>
      </c>
      <c r="C130" s="0" t="s">
        <v>610</v>
      </c>
      <c r="D130" s="0" t="n">
        <v>2</v>
      </c>
      <c r="E130" s="41" t="n">
        <v>1681</v>
      </c>
      <c r="F130" s="0" t="str">
        <f aca="false">IF(COUNTIF(Productos!$A$6:$A$145,A130)=0,IF(C130="KIT/DÚO","Kit (después)","No está"),IF(COUNTIFS(Productos!$A$6:$A$145,A130,Productos!$V$6:$V$145,"&gt;0")&gt;0,"Completa","Faltan datos"))</f>
        <v>No está</v>
      </c>
    </row>
    <row r="131" customFormat="false" ht="15" hidden="false" customHeight="false" outlineLevel="0" collapsed="false">
      <c r="A131" s="0" t="s">
        <v>712</v>
      </c>
      <c r="B131" s="0" t="s">
        <v>713</v>
      </c>
      <c r="C131" s="0" t="s">
        <v>610</v>
      </c>
      <c r="D131" s="0" t="n">
        <v>1</v>
      </c>
      <c r="E131" s="41"/>
      <c r="F131" s="0" t="str">
        <f aca="false">IF(COUNTIF(Productos!$A$6:$A$145,A131)=0,IF(C131="KIT/DÚO","Kit (después)","No está"),IF(COUNTIFS(Productos!$A$6:$A$145,A131,Productos!$V$6:$V$145,"&gt;0")&gt;0,"Completa","Faltan datos"))</f>
        <v>No está</v>
      </c>
    </row>
    <row r="132" customFormat="false" ht="15" hidden="false" customHeight="false" outlineLevel="0" collapsed="false">
      <c r="A132" s="0" t="s">
        <v>400</v>
      </c>
      <c r="B132" s="0" t="s">
        <v>401</v>
      </c>
      <c r="C132" s="0" t="s">
        <v>610</v>
      </c>
      <c r="D132" s="0" t="n">
        <v>1</v>
      </c>
      <c r="E132" s="41" t="n">
        <v>19244</v>
      </c>
      <c r="F132" s="0" t="str">
        <f aca="false">IF(COUNTIF(Productos!$A$6:$A$145,A132)=0,IF(C132="KIT/DÚO","Kit (después)","No está"),IF(COUNTIFS(Productos!$A$6:$A$145,A132,Productos!$V$6:$V$145,"&gt;0")&gt;0,"Completa","Faltan datos"))</f>
        <v>Faltan datos</v>
      </c>
    </row>
    <row r="133" customFormat="false" ht="15" hidden="false" customHeight="false" outlineLevel="0" collapsed="false">
      <c r="A133" s="0" t="s">
        <v>402</v>
      </c>
      <c r="B133" s="0" t="s">
        <v>403</v>
      </c>
      <c r="C133" s="0" t="s">
        <v>610</v>
      </c>
      <c r="D133" s="0" t="n">
        <v>1</v>
      </c>
      <c r="E133" s="41" t="n">
        <v>20084</v>
      </c>
      <c r="F133" s="0" t="str">
        <f aca="false">IF(COUNTIF(Productos!$A$6:$A$145,A133)=0,IF(C133="KIT/DÚO","Kit (después)","No está"),IF(COUNTIFS(Productos!$A$6:$A$145,A133,Productos!$V$6:$V$145,"&gt;0")&gt;0,"Completa","Faltan datos"))</f>
        <v>Faltan datos</v>
      </c>
    </row>
    <row r="134" customFormat="false" ht="15" hidden="false" customHeight="false" outlineLevel="0" collapsed="false">
      <c r="A134" s="0" t="s">
        <v>404</v>
      </c>
      <c r="B134" s="0" t="s">
        <v>405</v>
      </c>
      <c r="C134" s="0" t="s">
        <v>610</v>
      </c>
      <c r="D134" s="0" t="n">
        <v>1</v>
      </c>
      <c r="E134" s="41" t="n">
        <v>21765</v>
      </c>
      <c r="F134" s="0" t="str">
        <f aca="false">IF(COUNTIF(Productos!$A$6:$A$145,A134)=0,IF(C134="KIT/DÚO","Kit (después)","No está"),IF(COUNTIFS(Productos!$A$6:$A$145,A134,Productos!$V$6:$V$145,"&gt;0")&gt;0,"Completa","Faltan datos"))</f>
        <v>Faltan datos</v>
      </c>
    </row>
    <row r="135" customFormat="false" ht="15" hidden="false" customHeight="false" outlineLevel="0" collapsed="false">
      <c r="A135" s="0" t="s">
        <v>406</v>
      </c>
      <c r="B135" s="0" t="s">
        <v>407</v>
      </c>
      <c r="C135" s="0" t="s">
        <v>610</v>
      </c>
      <c r="D135" s="0" t="n">
        <v>1</v>
      </c>
      <c r="E135" s="41" t="n">
        <v>11681</v>
      </c>
      <c r="F135" s="0" t="str">
        <f aca="false">IF(COUNTIF(Productos!$A$6:$A$145,A135)=0,IF(C135="KIT/DÚO","Kit (después)","No está"),IF(COUNTIFS(Productos!$A$6:$A$145,A135,Productos!$V$6:$V$145,"&gt;0")&gt;0,"Completa","Faltan datos"))</f>
        <v>Faltan datos</v>
      </c>
    </row>
    <row r="136" customFormat="false" ht="15" hidden="false" customHeight="false" outlineLevel="0" collapsed="false">
      <c r="A136" s="0" t="s">
        <v>408</v>
      </c>
      <c r="B136" s="0" t="s">
        <v>409</v>
      </c>
      <c r="C136" s="0" t="s">
        <v>619</v>
      </c>
      <c r="D136" s="0" t="n">
        <v>1</v>
      </c>
      <c r="E136" s="41" t="n">
        <v>21765</v>
      </c>
      <c r="F136" s="0" t="str">
        <f aca="false">IF(COUNTIF(Productos!$A$6:$A$145,A136)=0,IF(C136="KIT/DÚO","Kit (después)","No está"),IF(COUNTIFS(Productos!$A$6:$A$145,A136,Productos!$V$6:$V$145,"&gt;0")&gt;0,"Completa","Faltan datos"))</f>
        <v>Faltan datos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2026-10-13T11:18:21Z</dcterms:created>
  <dc:creator>openpyxl</dc:creator>
  <dc:description/>
  <dc:language>en-US</dc:language>
  <cp:lastModifiedBy/>
  <dcterms:modified xsi:type="dcterms:W3CDTF">2026-10-13T11:18:21Z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