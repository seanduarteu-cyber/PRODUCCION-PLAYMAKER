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cha" sheetId="1" state="visible" r:id="rId3"/>
    <sheet name="Moldes" sheetId="2" state="visible" r:id="rId4"/>
    <sheet name="Despiece" sheetId="3" state="visible" r:id="rId5"/>
    <sheet name="Precios" sheetId="4" state="visible" r:id="rId6"/>
  </sheets>
  <definedNames>
    <definedName function="false" hidden="true" localSheetId="2" name="_xlnm._FilterDatabase" vbProcedure="false">Despiece!$A$4:$G$1004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<sst xmlns="http://schemas.openxmlformats.org/spreadsheetml/2006/main" count="1258" uniqueCount="311">
  <si>
    <t xml:space="preserve">FICHA DE COSTO DE PRODUCCIÓN</t>
  </si>
  <si>
    <t xml:space="preserve">Elige el molde y, si quieres, otra tela para cada pieza. Vacío = tela por defecto. Todo neto, sin IVA y sin gastos generales.</t>
  </si>
  <si>
    <t xml:space="preserve">Al cambiar de molde, borra las telas elegidas (columna azul) para volver a las de siempre.</t>
  </si>
  <si>
    <t xml:space="preserve">MOLDE ▶</t>
  </si>
  <si>
    <t xml:space="preserve">14 · FUTHOMU01PRO</t>
  </si>
  <si>
    <t xml:space="preserve">#</t>
  </si>
  <si>
    <t xml:space="preserve">Pieza</t>
  </si>
  <si>
    <t xml:space="preserve">Cant.</t>
  </si>
  <si>
    <t xml:space="preserve">Metros
por prenda</t>
  </si>
  <si>
    <t xml:space="preserve">TELA (elige)
vacío = por defecto</t>
  </si>
  <si>
    <t xml:space="preserve">Tela usada</t>
  </si>
  <si>
    <t xml:space="preserve">$ por metro</t>
  </si>
  <si>
    <t xml:space="preserve">$ Tela</t>
  </si>
  <si>
    <t xml:space="preserve">$ Impresión</t>
  </si>
  <si>
    <t xml:space="preserve">TOTAL PIEZA</t>
  </si>
  <si>
    <t xml:space="preserve">Aviso</t>
  </si>
  <si>
    <t xml:space="preserve">RESUMEN POR PRENDA</t>
  </si>
  <si>
    <t xml:space="preserve">Tela</t>
  </si>
  <si>
    <t xml:space="preserve">Suma de las piezas</t>
  </si>
  <si>
    <t xml:space="preserve">Papel y tinta de sublimación</t>
  </si>
  <si>
    <t xml:space="preserve">Confección (taller)</t>
  </si>
  <si>
    <t xml:space="preserve">Avíos</t>
  </si>
  <si>
    <t xml:space="preserve">Extras (bordado, DTF, escudo…) — escribe</t>
  </si>
  <si>
    <t xml:space="preserve">Por prenda</t>
  </si>
  <si>
    <t xml:space="preserve">COSTO DE PRODUCCIÓN</t>
  </si>
  <si>
    <t xml:space="preserve">Tu precio de venta actual, neto — escribe</t>
  </si>
  <si>
    <t xml:space="preserve">Ganancia por prenda (después de costo y gastos generales)</t>
  </si>
  <si>
    <t xml:space="preserve">AJUSTAR CON UN CORTE REAL (opcional)</t>
  </si>
  <si>
    <t xml:space="preserve">Después de cortar este molde: qué tela, cuántas prendas y cuántos kg se usaron. Te dice el % de ajuste para anotar en Moldes.</t>
  </si>
  <si>
    <t xml:space="preserve">Tela cortada</t>
  </si>
  <si>
    <t xml:space="preserve">Prendas cortadas</t>
  </si>
  <si>
    <t xml:space="preserve">Kg usados</t>
  </si>
  <si>
    <t xml:space="preserve">Metros reales por prenda</t>
  </si>
  <si>
    <t xml:space="preserve">Metros del despiece en esa tela (sin merma)</t>
  </si>
  <si>
    <t xml:space="preserve">AJUSTE A ANOTAR EN MOLDES (columna K)</t>
  </si>
  <si>
    <t xml:space="preserve">Si da error: falta el peso de 1 metro de esa tela, o los metros de las piezas en el Despiece.</t>
  </si>
  <si>
    <t xml:space="preserve">No van aquí (están en los gastos generales del sistema de ventas): sueldos de corte, ploteo, sublimación, estampado y diseño, arriendo, luz, ventas y administración.</t>
  </si>
  <si>
    <t xml:space="preserve">MOLDES — catálogo con su costo de producción (telas por defecto)</t>
  </si>
  <si>
    <t xml:space="preserve">Una fila por molde. Lo que va por prenda y no depende de la tela: confección y avíos. Para probar otras telas, usa la Ficha.</t>
  </si>
  <si>
    <t xml:space="preserve">Molde</t>
  </si>
  <si>
    <t xml:space="preserve">Descripción</t>
  </si>
  <si>
    <t xml:space="preserve">Prenda</t>
  </si>
  <si>
    <t xml:space="preserve">Calce</t>
  </si>
  <si>
    <t xml:space="preserve">Tipo de confección</t>
  </si>
  <si>
    <t xml:space="preserve">Avío 1</t>
  </si>
  <si>
    <t xml:space="preserve">Avío 2</t>
  </si>
  <si>
    <t xml:space="preserve">Piezas
en despiece</t>
  </si>
  <si>
    <t xml:space="preserve">Ajuste por consumo
real (%) — vacío =
merma general</t>
  </si>
  <si>
    <t xml:space="preserve">$ Tela +
impresión</t>
  </si>
  <si>
    <t xml:space="preserve">$ Confección</t>
  </si>
  <si>
    <t xml:space="preserve">$ Avíos</t>
  </si>
  <si>
    <t xml:space="preserve">COSTO DE
PRODUCCIÓN</t>
  </si>
  <si>
    <t xml:space="preserve">Qué falta</t>
  </si>
  <si>
    <t xml:space="preserve">Notas</t>
  </si>
  <si>
    <t xml:space="preserve">01 · FUTMUJU01</t>
  </si>
  <si>
    <t xml:space="preserve">Fútbol, cuello redondo</t>
  </si>
  <si>
    <t xml:space="preserve">Camiseta</t>
  </si>
  <si>
    <t xml:space="preserve">Femenino</t>
  </si>
  <si>
    <t xml:space="preserve">Camiseta De Futbol</t>
  </si>
  <si>
    <t xml:space="preserve">02 · FUTHOMU01</t>
  </si>
  <si>
    <t xml:space="preserve">Masculino</t>
  </si>
  <si>
    <t xml:space="preserve">03 · FUTINMUJU01</t>
  </si>
  <si>
    <t xml:space="preserve">Fútbol infantil, cuello redondo</t>
  </si>
  <si>
    <t xml:space="preserve">Infantil Femenino</t>
  </si>
  <si>
    <t xml:space="preserve">04 · FUTINHOMU01</t>
  </si>
  <si>
    <t xml:space="preserve">Infantil Masculino</t>
  </si>
  <si>
    <t xml:space="preserve">Corte OT 2369: 0,0375 kg Cire + 0,024 kg Mesh por prenda.</t>
  </si>
  <si>
    <t xml:space="preserve">05 · FUTMUJV01</t>
  </si>
  <si>
    <t xml:space="preserve">Fútbol, cuello v</t>
  </si>
  <si>
    <t xml:space="preserve">06 · FUTHOMV01</t>
  </si>
  <si>
    <t xml:space="preserve">07 · FUTINMUJV01</t>
  </si>
  <si>
    <t xml:space="preserve">Fútbol infantil, cuello v</t>
  </si>
  <si>
    <t xml:space="preserve">08 · FUTINHOMV01</t>
  </si>
  <si>
    <t xml:space="preserve">09 · FUTMUJCC01</t>
  </si>
  <si>
    <t xml:space="preserve">Fútbol, cuello camisero</t>
  </si>
  <si>
    <t xml:space="preserve">10 · FUTHOMCC01</t>
  </si>
  <si>
    <t xml:space="preserve">11 · FUTINMUJCC01</t>
  </si>
  <si>
    <t xml:space="preserve">Fútbol infantil, cuello camisero</t>
  </si>
  <si>
    <t xml:space="preserve">12 · FUTINHOMCC01</t>
  </si>
  <si>
    <t xml:space="preserve">13 · FUTMUJU01PRO</t>
  </si>
  <si>
    <t xml:space="preserve">Fútbol, pro, cuello redondo</t>
  </si>
  <si>
    <t xml:space="preserve">Corte OT 2257: 0,1225 kg Montesimone por prenda.</t>
  </si>
  <si>
    <t xml:space="preserve">Corte OT 2547: 0,12 kg Montesimone + 0,0775 kg Mesh por prenda.</t>
  </si>
  <si>
    <t xml:space="preserve">15 · FUTMUJV01PRO</t>
  </si>
  <si>
    <t xml:space="preserve">Fútbol, pro, cuello v</t>
  </si>
  <si>
    <t xml:space="preserve">16 · FUTHOMV01PRO</t>
  </si>
  <si>
    <t xml:space="preserve">17 · FUTMUJU02</t>
  </si>
  <si>
    <t xml:space="preserve">Fútbol, raglán, cuello redondo</t>
  </si>
  <si>
    <t xml:space="preserve">Camiseta Futbol Molde 2026 (Raglan)</t>
  </si>
  <si>
    <t xml:space="preserve">18 · FUTHOMU02</t>
  </si>
  <si>
    <t xml:space="preserve">19 · FUTINMUJU02</t>
  </si>
  <si>
    <t xml:space="preserve">Fútbol infantil, raglán, cuello redondo</t>
  </si>
  <si>
    <t xml:space="preserve">20 · FUTINHOMU02</t>
  </si>
  <si>
    <t xml:space="preserve">21 · FUTMUJV02</t>
  </si>
  <si>
    <t xml:space="preserve">Fútbol, raglán, cuello v</t>
  </si>
  <si>
    <t xml:space="preserve">22 · FUTHOMV02</t>
  </si>
  <si>
    <t xml:space="preserve">23 · FUTINMUJV02</t>
  </si>
  <si>
    <t xml:space="preserve">Fútbol infantil, raglán, cuello v</t>
  </si>
  <si>
    <t xml:space="preserve">24 · FUTINHOMV02</t>
  </si>
  <si>
    <t xml:space="preserve">25 · FUTMUJU02PRO</t>
  </si>
  <si>
    <t xml:space="preserve">Fútbol, raglán, pro, cuello redondo</t>
  </si>
  <si>
    <t xml:space="preserve">26 · FUTHOMU02PRO</t>
  </si>
  <si>
    <t xml:space="preserve">27 · FUTMUJV02PRO</t>
  </si>
  <si>
    <t xml:space="preserve">Fútbol, raglán, pro, cuello v</t>
  </si>
  <si>
    <t xml:space="preserve">28 · FUTHOMV02PRO</t>
  </si>
  <si>
    <t xml:space="preserve">29 · BKMUJU03</t>
  </si>
  <si>
    <t xml:space="preserve">Básquetbol, cuello redondo</t>
  </si>
  <si>
    <t xml:space="preserve">Camiseta De Basket</t>
  </si>
  <si>
    <t xml:space="preserve">30 · BKHOMU03</t>
  </si>
  <si>
    <t xml:space="preserve">Corte OT 2425: 0,2029 kg Quickdry por prenda.</t>
  </si>
  <si>
    <t xml:space="preserve">31 · BKINMUJU03</t>
  </si>
  <si>
    <t xml:space="preserve">Básquetbol infantil, cuello redondo</t>
  </si>
  <si>
    <t xml:space="preserve">32 · BKINHOMU03</t>
  </si>
  <si>
    <t xml:space="preserve">33 · BKMUJV03</t>
  </si>
  <si>
    <t xml:space="preserve">Básquetbol, cuello v</t>
  </si>
  <si>
    <t xml:space="preserve">34 · BKHOMV03</t>
  </si>
  <si>
    <t xml:space="preserve">35 · BKINMUJV03</t>
  </si>
  <si>
    <t xml:space="preserve">Básquetbol infantil, cuello v</t>
  </si>
  <si>
    <t xml:space="preserve">36 · BKINHOMV03</t>
  </si>
  <si>
    <t xml:space="preserve">37 · BKMUJU03RE</t>
  </si>
  <si>
    <t xml:space="preserve">Básquetbol, reversible, cuello redondo</t>
  </si>
  <si>
    <t xml:space="preserve">Camiseta De Basket Reversible</t>
  </si>
  <si>
    <t xml:space="preserve">38 · BKHOMU03RE</t>
  </si>
  <si>
    <t xml:space="preserve">39 · BKINMUJU03</t>
  </si>
  <si>
    <t xml:space="preserve">Básquetbol infantil, reversible, cuello redondo</t>
  </si>
  <si>
    <t xml:space="preserve">40 · BKINHOMU03RE</t>
  </si>
  <si>
    <t xml:space="preserve">41 · BKMUJU03PRO</t>
  </si>
  <si>
    <t xml:space="preserve">Básquetbol, pro, cuello redondo</t>
  </si>
  <si>
    <t xml:space="preserve">Camiseta De Basket Pro</t>
  </si>
  <si>
    <t xml:space="preserve">42 · BKHOMU03PRO</t>
  </si>
  <si>
    <t xml:space="preserve">43 · BKMUJV03PRO</t>
  </si>
  <si>
    <t xml:space="preserve">Básquetbol, pro, cuello v</t>
  </si>
  <si>
    <t xml:space="preserve">44 · BKHOMV03PRO</t>
  </si>
  <si>
    <t xml:space="preserve">45 · BKSHMUJ</t>
  </si>
  <si>
    <t xml:space="preserve">Básquetbol</t>
  </si>
  <si>
    <t xml:space="preserve">Short</t>
  </si>
  <si>
    <t xml:space="preserve">Short De Basket</t>
  </si>
  <si>
    <t xml:space="preserve">46 · BK-SH</t>
  </si>
  <si>
    <t xml:space="preserve">Corte OT 2425: 0,1529 kg Quickdry por prenda.</t>
  </si>
  <si>
    <t xml:space="preserve">47 · BKINSHMUJ</t>
  </si>
  <si>
    <t xml:space="preserve">Básquetbol infantil</t>
  </si>
  <si>
    <t xml:space="preserve">48 · BKINSHHOM</t>
  </si>
  <si>
    <t xml:space="preserve">49 · BKSHMUJRE</t>
  </si>
  <si>
    <t xml:space="preserve">Básquetbol, reversible</t>
  </si>
  <si>
    <t xml:space="preserve">Short De Basket Reversible</t>
  </si>
  <si>
    <t xml:space="preserve">50 · BK-SH</t>
  </si>
  <si>
    <t xml:space="preserve">51 · BKINSHMUJRE</t>
  </si>
  <si>
    <t xml:space="preserve">Básquetbol infantil, reversible</t>
  </si>
  <si>
    <t xml:space="preserve">52 · BKINSHHOMRE</t>
  </si>
  <si>
    <t xml:space="preserve">53 · BKSHMUJPRO</t>
  </si>
  <si>
    <t xml:space="preserve">Básquetbol, pro</t>
  </si>
  <si>
    <t xml:space="preserve">Short De Basket Pro</t>
  </si>
  <si>
    <t xml:space="preserve">54 · BK-SH PRO</t>
  </si>
  <si>
    <t xml:space="preserve">SM-01 · Short Fútbol</t>
  </si>
  <si>
    <t xml:space="preserve">Short de fútbol (sin molde en catálogo)</t>
  </si>
  <si>
    <t xml:space="preserve">Short De Futbol</t>
  </si>
  <si>
    <t xml:space="preserve">Cortes OT 2547 y 2588: 0,175 y 0,138 kg Cire por prenda.</t>
  </si>
  <si>
    <t xml:space="preserve">SM-02 · Short Rugby</t>
  </si>
  <si>
    <t xml:space="preserve">Short de rugby (sin molde en catálogo)</t>
  </si>
  <si>
    <t xml:space="preserve">Short De Rugby</t>
  </si>
  <si>
    <t xml:space="preserve">Corte OT 205: 0,1842 kg Gabardina por prenda.</t>
  </si>
  <si>
    <t xml:space="preserve">SM-03 · Camiseta Running s/m</t>
  </si>
  <si>
    <t xml:space="preserve">Camiseta running sin mangas (sin molde)</t>
  </si>
  <si>
    <t xml:space="preserve">Camiseta De Running</t>
  </si>
  <si>
    <t xml:space="preserve">Corte OT 2223: 0,082 kg 5K por prenda.</t>
  </si>
  <si>
    <t xml:space="preserve">SM-04 · Calza Vóley</t>
  </si>
  <si>
    <t xml:space="preserve">Calza vóley (sin molde)</t>
  </si>
  <si>
    <t xml:space="preserve">Calza</t>
  </si>
  <si>
    <t xml:space="preserve">Corte OT 2642: 0,074 kg Lycra por prenda.</t>
  </si>
  <si>
    <t xml:space="preserve">DESPIECE — piezas de cada molde</t>
  </si>
  <si>
    <t xml:space="preserve">Metros por prenda de cada pieza (de la marcada del plotter). Los metros NO cambian con la tela. "Tela por defecto" es la que usa la Ficha si no eliges otra.</t>
  </si>
  <si>
    <t xml:space="preserve">METROS
por prenda</t>
  </si>
  <si>
    <t xml:space="preserve">Tela por defecto</t>
  </si>
  <si>
    <t xml:space="preserve">¿Se
sublima?</t>
  </si>
  <si>
    <t xml:space="preserve">$ tela + impresión
(con tela por defecto)</t>
  </si>
  <si>
    <t xml:space="preserve">clave</t>
  </si>
  <si>
    <t xml:space="preserve">Delantero</t>
  </si>
  <si>
    <t xml:space="preserve">Sí</t>
  </si>
  <si>
    <t xml:space="preserve">Espalda</t>
  </si>
  <si>
    <t xml:space="preserve">Manga</t>
  </si>
  <si>
    <t xml:space="preserve">Tira de cuello</t>
  </si>
  <si>
    <t xml:space="preserve">CIRE BLANCO</t>
  </si>
  <si>
    <t xml:space="preserve">Tapeta</t>
  </si>
  <si>
    <t xml:space="preserve">MONTESIMONE TRAINING (fut pro)</t>
  </si>
  <si>
    <t xml:space="preserve">Paneles laterales</t>
  </si>
  <si>
    <t xml:space="preserve">MESH</t>
  </si>
  <si>
    <t xml:space="preserve">Manga raglán</t>
  </si>
  <si>
    <t xml:space="preserve">Ribete cuello y sisas</t>
  </si>
  <si>
    <t xml:space="preserve">QUICKDRY</t>
  </si>
  <si>
    <t xml:space="preserve">Delantero cara A</t>
  </si>
  <si>
    <t xml:space="preserve">Espalda cara A</t>
  </si>
  <si>
    <t xml:space="preserve">Delantero cara B</t>
  </si>
  <si>
    <t xml:space="preserve">Espalda cara B</t>
  </si>
  <si>
    <t xml:space="preserve">Trasero</t>
  </si>
  <si>
    <t xml:space="preserve">Pretina</t>
  </si>
  <si>
    <t xml:space="preserve">Trasero cara A</t>
  </si>
  <si>
    <t xml:space="preserve">Pretina cara A</t>
  </si>
  <si>
    <t xml:space="preserve">Trasero cara B</t>
  </si>
  <si>
    <t xml:space="preserve">Pretina cara B</t>
  </si>
  <si>
    <t xml:space="preserve">GABARDINA</t>
  </si>
  <si>
    <t xml:space="preserve">No</t>
  </si>
  <si>
    <t xml:space="preserve">5K NACIONAL (running pro)</t>
  </si>
  <si>
    <t xml:space="preserve">Pierna</t>
  </si>
  <si>
    <t xml:space="preserve">LYCRA</t>
  </si>
  <si>
    <t xml:space="preserve">PRECIOS — todo NETO (sin IVA)</t>
  </si>
  <si>
    <t xml:space="preserve">Azul = lo escribes tú. Gris = se calcula solo. Si solo tienes el precio de la factura (con IVA), escríbelo en esa columna y se descuenta solo.</t>
  </si>
  <si>
    <t xml:space="preserve">TELA</t>
  </si>
  <si>
    <t xml:space="preserve">Tipo</t>
  </si>
  <si>
    <t xml:space="preserve">$ por kg
NETO</t>
  </si>
  <si>
    <t xml:space="preserve">o $ por kg
CON IVA</t>
  </si>
  <si>
    <t xml:space="preserve">Peso de 1 metro
(kg)</t>
  </si>
  <si>
    <t xml:space="preserve">$ POR METRO</t>
  </si>
  <si>
    <t xml:space="preserve">Rinde
(m por kg)</t>
  </si>
  <si>
    <t xml:space="preserve">Nota</t>
  </si>
  <si>
    <t xml:space="preserve">CONFECCIÓN (tipo)</t>
  </si>
  <si>
    <t xml:space="preserve">$ por prenda
(taller)</t>
  </si>
  <si>
    <t xml:space="preserve">AVÍO</t>
  </si>
  <si>
    <t xml:space="preserve">$ por unidad</t>
  </si>
  <si>
    <t xml:space="preserve">IMPRESIÓN Y PARÁMETROS</t>
  </si>
  <si>
    <t xml:space="preserve">Valor</t>
  </si>
  <si>
    <t xml:space="preserve">Pro</t>
  </si>
  <si>
    <t xml:space="preserve">Cuello</t>
  </si>
  <si>
    <t xml:space="preserve">Papel sublimación: precio del rollo</t>
  </si>
  <si>
    <t xml:space="preserve">POR CONFIRMAR: ¿$50.420 es el rollo?</t>
  </si>
  <si>
    <t xml:space="preserve">LONDRES BLANCO</t>
  </si>
  <si>
    <t xml:space="preserve">Falta pesar 1 metro</t>
  </si>
  <si>
    <t xml:space="preserve">Puño</t>
  </si>
  <si>
    <t xml:space="preserve">Papel sublimación: metros del rollo</t>
  </si>
  <si>
    <t xml:space="preserve">PENDIENTE</t>
  </si>
  <si>
    <t xml:space="preserve">Camiseta De Futbol Retro</t>
  </si>
  <si>
    <t xml:space="preserve">Tapacuello</t>
  </si>
  <si>
    <t xml:space="preserve">Tinta: precio por litro</t>
  </si>
  <si>
    <t xml:space="preserve">POR CONFIRMAR</t>
  </si>
  <si>
    <t xml:space="preserve">CIRE AZUL</t>
  </si>
  <si>
    <t xml:space="preserve">Hilo</t>
  </si>
  <si>
    <t xml:space="preserve">Tinta: ml por metro impreso</t>
  </si>
  <si>
    <t xml:space="preserve">PENDIENTE: litros del mes ÷ metros impresos × 1000</t>
  </si>
  <si>
    <t xml:space="preserve">Etiqueta</t>
  </si>
  <si>
    <t xml:space="preserve">Papel protección (kraft): $ por metro</t>
  </si>
  <si>
    <t xml:space="preserve">Opcional</t>
  </si>
  <si>
    <t xml:space="preserve">FRANELA</t>
  </si>
  <si>
    <t xml:space="preserve">Cierre</t>
  </si>
  <si>
    <t xml:space="preserve">COSTO DE IMPRESIÓN POR METRO</t>
  </si>
  <si>
    <t xml:space="preserve">Papel + tinta + protección</t>
  </si>
  <si>
    <t xml:space="preserve">PIQUE SELECCION</t>
  </si>
  <si>
    <t xml:space="preserve">Cordón</t>
  </si>
  <si>
    <t xml:space="preserve">MICROFIBRA</t>
  </si>
  <si>
    <t xml:space="preserve">Elástico</t>
  </si>
  <si>
    <t xml:space="preserve">Merma general sobre el despiece</t>
  </si>
  <si>
    <t xml:space="preserve">Tela que se pierde (cabezales, fallas). Se usa si el molde no tiene ajuste propio.</t>
  </si>
  <si>
    <t xml:space="preserve">CIRE MICROFIBRA AZUL REY</t>
  </si>
  <si>
    <t xml:space="preserve">Forro</t>
  </si>
  <si>
    <t xml:space="preserve">SCUBA</t>
  </si>
  <si>
    <t xml:space="preserve">Camiseta De Rugby Básica</t>
  </si>
  <si>
    <t xml:space="preserve">Cremallera bolsillo</t>
  </si>
  <si>
    <t xml:space="preserve">Gastos generales (% del precio)</t>
  </si>
  <si>
    <t xml:space="preserve">Del sistema de ventas (jul–sep 2026). Solo para el precio mínimo.</t>
  </si>
  <si>
    <t xml:space="preserve">GLOBAL</t>
  </si>
  <si>
    <t xml:space="preserve">Camiseta De Rugby Lycra</t>
  </si>
  <si>
    <t xml:space="preserve">Meta de ganancia (% del precio)</t>
  </si>
  <si>
    <t xml:space="preserve">PIQUE RUGBY</t>
  </si>
  <si>
    <t xml:space="preserve">Multiplicador: precio mínimo = costo ×</t>
  </si>
  <si>
    <t xml:space="preserve">Costo ÷ (1 − gastos generales − meta)</t>
  </si>
  <si>
    <t xml:space="preserve">CORDERITO</t>
  </si>
  <si>
    <t xml:space="preserve">MICROFIBRA CIRE COLORES</t>
  </si>
  <si>
    <t xml:space="preserve">Camiseta Futbol Fem Santiago Morning</t>
  </si>
  <si>
    <t xml:space="preserve">BASQUET BLANCO</t>
  </si>
  <si>
    <t xml:space="preserve">Short Fem Con Tajali</t>
  </si>
  <si>
    <t xml:space="preserve">PIQUE TENIS BLANCO</t>
  </si>
  <si>
    <t xml:space="preserve">Camiseta De Hockey</t>
  </si>
  <si>
    <t xml:space="preserve">DEPORTIVO COLOR</t>
  </si>
  <si>
    <t xml:space="preserve">Camiseta De Hockey Franja</t>
  </si>
  <si>
    <t xml:space="preserve">GABARDINA 8Z</t>
  </si>
  <si>
    <t xml:space="preserve">Calza-Falda</t>
  </si>
  <si>
    <t xml:space="preserve">FRANELA POLIESTER</t>
  </si>
  <si>
    <t xml:space="preserve">Pantalon Pitillo</t>
  </si>
  <si>
    <t xml:space="preserve">GABARDINA 7Z</t>
  </si>
  <si>
    <t xml:space="preserve">Poleron Entrenamiento Raglan</t>
  </si>
  <si>
    <t xml:space="preserve">FALCAO</t>
  </si>
  <si>
    <t xml:space="preserve">Short De Salida</t>
  </si>
  <si>
    <t xml:space="preserve">RUGBY IRLANDA</t>
  </si>
  <si>
    <t xml:space="preserve">Peto Entrenamiento</t>
  </si>
  <si>
    <t xml:space="preserve">LYCRA GRIS OSCURA</t>
  </si>
  <si>
    <t xml:space="preserve">Pantalon No Pitillo</t>
  </si>
  <si>
    <t xml:space="preserve">COTTON</t>
  </si>
  <si>
    <t xml:space="preserve">Camiseta Running Con Manga</t>
  </si>
  <si>
    <t xml:space="preserve">Camiseta De Salida Con Hojal Y Boton</t>
  </si>
  <si>
    <t xml:space="preserve">JACQUARD TECH</t>
  </si>
  <si>
    <t xml:space="preserve">Camiseta De Salida Sin Hojal Ni Boton</t>
  </si>
  <si>
    <t xml:space="preserve">JACQUARD BYTES</t>
  </si>
  <si>
    <t xml:space="preserve">Camiseta De Salida Con Cuello Y Puño Tejido Con Boton</t>
  </si>
  <si>
    <t xml:space="preserve">Camiseta De Salida Con Cuello Y Puño Tejido Sin Boton</t>
  </si>
  <si>
    <t xml:space="preserve">MALLA DEPORTIVA BLANCO</t>
  </si>
  <si>
    <t xml:space="preserve">Camiseta Kimono</t>
  </si>
  <si>
    <t xml:space="preserve">NOVAK</t>
  </si>
  <si>
    <t xml:space="preserve">Camiseta Voley</t>
  </si>
  <si>
    <t xml:space="preserve">THERMAFLEECE</t>
  </si>
  <si>
    <t xml:space="preserve">Calza Larga</t>
  </si>
  <si>
    <t xml:space="preserve">Lienzo</t>
  </si>
  <si>
    <t xml:space="preserve">Camiseta Retro</t>
  </si>
  <si>
    <t xml:space="preserve">Multideporte</t>
  </si>
  <si>
    <t xml:space="preserve">Poleron Polo</t>
  </si>
  <si>
    <t xml:space="preserve">Parka Larga 2025</t>
  </si>
  <si>
    <t xml:space="preserve">Camiseta Rugby Con Cuello</t>
  </si>
  <si>
    <t xml:space="preserve">Poleron Oversize 3C</t>
  </si>
  <si>
    <t xml:space="preserve">Cortaviento Con Capucha</t>
  </si>
  <si>
    <t xml:space="preserve">Cortaviento Sin Capucha</t>
  </si>
  <si>
    <t xml:space="preserve">Poleron Hoodie</t>
  </si>
  <si>
    <t xml:space="preserve">Poleron Hoodie Corte Mangas</t>
  </si>
  <si>
    <t xml:space="preserve">Bolso</t>
  </si>
  <si>
    <t xml:space="preserve">Colett</t>
  </si>
</sst>
</file>

<file path=xl/styles.xml><?xml version="1.0" encoding="utf-8"?>
<styleSheet xmlns="http://schemas.openxmlformats.org/spreadsheetml/2006/main">
  <numFmts count="7">
    <numFmt numFmtId="164" formatCode="General"/>
    <numFmt numFmtId="165" formatCode="General"/>
    <numFmt numFmtId="166" formatCode="0.000"/>
    <numFmt numFmtId="167" formatCode="\$#,##0;&quot;-$&quot;#,##0;\$0"/>
    <numFmt numFmtId="168" formatCode="0"/>
    <numFmt numFmtId="169" formatCode="0.00"/>
    <numFmt numFmtId="170" formatCode="0.0%"/>
  </numFmts>
  <fonts count="19">
    <font>
      <sz val="11"/>
      <color theme="1"/>
      <name val="Calibri"/>
      <family val="2"/>
      <charset val="1"/>
    </font>
    <font>
      <sz val="10"/>
      <name val="Arial"/>
      <family val="0"/>
    </font>
    <font>
      <sz val="10"/>
      <name val="Arial"/>
      <family val="0"/>
    </font>
    <font>
      <sz val="10"/>
      <name val="Arial"/>
      <family val="0"/>
    </font>
    <font>
      <b val="true"/>
      <sz val="16"/>
      <color rgb="FF1F3864"/>
      <name val="Cambria"/>
      <family val="0"/>
      <charset val="1"/>
    </font>
    <font>
      <i val="true"/>
      <sz val="11"/>
      <color rgb="FF595959"/>
      <name val="Cambria"/>
      <family val="0"/>
      <charset val="1"/>
    </font>
    <font>
      <i val="true"/>
      <sz val="9"/>
      <color rgb="FFC00000"/>
      <name val="Cambria"/>
      <family val="0"/>
      <charset val="1"/>
    </font>
    <font>
      <b val="true"/>
      <sz val="13"/>
      <color rgb="FF1F3864"/>
      <name val="Cambria"/>
      <family val="0"/>
      <charset val="1"/>
    </font>
    <font>
      <b val="true"/>
      <sz val="13"/>
      <name val="Cambria"/>
      <family val="0"/>
      <charset val="1"/>
    </font>
    <font>
      <i val="true"/>
      <sz val="9"/>
      <color rgb="FF595959"/>
      <name val="Cambria"/>
      <family val="0"/>
      <charset val="1"/>
    </font>
    <font>
      <b val="true"/>
      <sz val="11"/>
      <color rgb="FFFFFFFF"/>
      <name val="Cambria"/>
      <family val="0"/>
      <charset val="1"/>
    </font>
    <font>
      <b val="true"/>
      <sz val="11"/>
      <name val="Cambria"/>
      <family val="0"/>
      <charset val="1"/>
    </font>
    <font>
      <sz val="9"/>
      <color rgb="FFC00000"/>
      <name val="Cambria"/>
      <family val="0"/>
      <charset val="1"/>
    </font>
    <font>
      <b val="true"/>
      <sz val="12"/>
      <color rgb="FF1F3864"/>
      <name val="Cambria"/>
      <family val="0"/>
      <charset val="1"/>
    </font>
    <font>
      <sz val="9"/>
      <color rgb="FF595959"/>
      <name val="Cambria"/>
      <family val="0"/>
      <charset val="1"/>
    </font>
    <font>
      <sz val="11"/>
      <name val="Cambria"/>
      <family val="0"/>
      <charset val="1"/>
    </font>
    <font>
      <b val="true"/>
      <sz val="14"/>
      <color rgb="FF1F3864"/>
      <name val="Cambria"/>
      <family val="0"/>
      <charset val="1"/>
    </font>
    <font>
      <b val="true"/>
      <sz val="11"/>
      <color rgb="FFC00000"/>
      <name val="Cambria"/>
      <family val="0"/>
      <charset val="1"/>
    </font>
    <font>
      <sz val="8"/>
      <color rgb="FFBBBBBB"/>
      <name val="Cambria"/>
      <family val="0"/>
      <charset val="1"/>
    </font>
  </fonts>
  <fills count="6">
    <fill>
      <patternFill patternType="none"/>
    </fill>
    <fill>
      <patternFill patternType="gray125"/>
    </fill>
    <fill>
      <patternFill patternType="solid">
        <fgColor rgb="FFDDEBF7"/>
        <bgColor rgb="FFF2F2F2"/>
      </patternFill>
    </fill>
    <fill>
      <patternFill patternType="solid">
        <fgColor rgb="FF1F3864"/>
        <bgColor rgb="FF333333"/>
      </patternFill>
    </fill>
    <fill>
      <patternFill patternType="solid">
        <fgColor rgb="FFF2F2F2"/>
        <bgColor rgb="FFDDEBF7"/>
      </patternFill>
    </fill>
    <fill>
      <patternFill patternType="solid">
        <fgColor rgb="FFFFF2CC"/>
        <bgColor rgb="FFF2F2F2"/>
      </patternFill>
    </fill>
  </fills>
  <borders count="2">
    <border diagonalUp="false" diagonalDown="false">
      <left/>
      <right/>
      <top/>
      <bottom/>
      <diagonal/>
    </border>
    <border diagonalUp="false" diagonalDown="false">
      <left/>
      <right/>
      <top style="medium">
        <color rgb="FF1F3864"/>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center" vertical="center" textRotation="0" wrapText="true" indent="0" shrinkToFit="false"/>
      <protection locked="true" hidden="false"/>
    </xf>
    <xf numFmtId="165" fontId="0" fillId="4" borderId="0" xfId="0" applyFont="false" applyBorder="false" applyAlignment="false" applyProtection="false">
      <alignment horizontal="general" vertical="bottom" textRotation="0" wrapText="false" indent="0" shrinkToFit="false"/>
      <protection locked="true" hidden="false"/>
    </xf>
    <xf numFmtId="166" fontId="0" fillId="4"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7" fontId="0" fillId="4" borderId="0" xfId="0" applyFont="false" applyBorder="false" applyAlignment="false" applyProtection="false">
      <alignment horizontal="general" vertical="bottom" textRotation="0" wrapText="false" indent="0" shrinkToFit="false"/>
      <protection locked="true" hidden="false"/>
    </xf>
    <xf numFmtId="167" fontId="11" fillId="5"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7" fontId="0" fillId="2" borderId="0" xfId="0" applyFont="fals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7" fontId="8" fillId="5" borderId="1" xfId="0" applyFont="true" applyBorder="true" applyAlignment="false" applyProtection="false">
      <alignment horizontal="general" vertical="bottom" textRotation="0" wrapText="false" indent="0" shrinkToFit="false"/>
      <protection locked="true" hidden="false"/>
    </xf>
    <xf numFmtId="167" fontId="11"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8" fontId="0" fillId="2" borderId="0" xfId="0" applyFont="false" applyBorder="false" applyAlignment="false" applyProtection="false">
      <alignment horizontal="general" vertical="bottom" textRotation="0" wrapText="false" indent="0" shrinkToFit="false"/>
      <protection locked="true" hidden="false"/>
    </xf>
    <xf numFmtId="169" fontId="0" fillId="2"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70" fontId="0" fillId="2" borderId="0" xfId="0" applyFont="fals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6" fontId="0" fillId="2" borderId="0" xfId="0" applyFont="fals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9" fontId="0" fillId="4" borderId="0" xfId="0" applyFont="false" applyBorder="false" applyAlignment="false" applyProtection="false">
      <alignment horizontal="general" vertical="bottom" textRotation="0" wrapText="false" indent="0" shrinkToFit="false"/>
      <protection locked="true" hidden="false"/>
    </xf>
    <xf numFmtId="169" fontId="11" fillId="5"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fgColor rgb="FFDDEBF7"/>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2F2F2"/>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3" min="3" style="0" width="7"/>
    <col collapsed="false" customWidth="true" hidden="false" outlineLevel="0" max="4" min="4" style="0" width="10"/>
    <col collapsed="false" customWidth="true" hidden="false" outlineLevel="0" max="6" min="5" style="0" width="30"/>
    <col collapsed="false" customWidth="true" hidden="false" outlineLevel="0" max="9" min="7" style="0" width="12"/>
    <col collapsed="false" customWidth="true" hidden="false" outlineLevel="0" max="10" min="10" style="0" width="13"/>
    <col collapsed="false" customWidth="true" hidden="false" outlineLevel="0" max="11" min="11" style="0" width="4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B3" s="3" t="s">
        <v>2</v>
      </c>
    </row>
    <row r="4" customFormat="false" ht="16.15" hidden="false" customHeight="false" outlineLevel="0" collapsed="false">
      <c r="B4" s="4" t="s">
        <v>3</v>
      </c>
      <c r="C4" s="5" t="s">
        <v>4</v>
      </c>
      <c r="D4" s="5"/>
      <c r="E4" s="5"/>
      <c r="F4" s="2" t="str">
        <f aca="false">IFERROR(INDEX(Moldes!$B$5:$B$154,MATCH($C$4,Moldes!$A$5:$A$154,0))&amp;"  ·  "&amp;INDEX(Moldes!$C$5:$C$154,MATCH($C$4,Moldes!$A$5:$A$154,0))&amp;" "&amp;INDEX(Moldes!$D$5:$D$154,MATCH($C$4,Moldes!$A$5:$A$154,0)),"← elige un molde")</f>
        <v>Fútbol, pro, cuello redondo  ·  Camiseta Masculino</v>
      </c>
    </row>
    <row r="5" customFormat="false" ht="15" hidden="false" customHeight="false" outlineLevel="0" collapsed="false">
      <c r="B5" s="6" t="str">
        <f aca="false">IFERROR("Consumo: despiece + "&amp;TEXT(IF(ISNUMBER(INDEX(Moldes!$K$5:$K$154,MATCH($C$4,Moldes!$A$5:$A$154,0))),INDEX(Moldes!$K$5:$K$154,MATCH($C$4,Moldes!$A$5:$A$154,0)),Precios!$Q$12),"0%")&amp;IF(ISNUMBER(INDEX(Moldes!$K$5:$K$154,MATCH($C$4,Moldes!$A$5:$A$154,0)))," (ajuste por consumo real de este molde)"," (merma general)"),"")</f>
        <v>Consumo: despiece + 0% (merma general)</v>
      </c>
    </row>
    <row r="7" customFormat="false" ht="39.75" hidden="false" customHeight="true" outlineLevel="0" collapsed="false">
      <c r="A7" s="7" t="s">
        <v>5</v>
      </c>
      <c r="B7" s="7" t="s">
        <v>6</v>
      </c>
      <c r="C7" s="7" t="s">
        <v>7</v>
      </c>
      <c r="D7" s="7" t="s">
        <v>8</v>
      </c>
      <c r="E7" s="7" t="s">
        <v>9</v>
      </c>
      <c r="F7" s="7" t="s">
        <v>10</v>
      </c>
      <c r="G7" s="7" t="s">
        <v>11</v>
      </c>
      <c r="H7" s="7" t="s">
        <v>12</v>
      </c>
      <c r="I7" s="7" t="s">
        <v>13</v>
      </c>
      <c r="J7" s="7" t="s">
        <v>14</v>
      </c>
      <c r="K7" s="7" t="s">
        <v>15</v>
      </c>
    </row>
    <row r="8" customFormat="false" ht="15" hidden="false" customHeight="false" outlineLevel="0" collapsed="false">
      <c r="A8" s="8" t="n">
        <f aca="false">IF(B8="","",1)</f>
        <v>1</v>
      </c>
      <c r="B8" s="8" t="str">
        <f aca="false">IFERROR(INDEX(Despiece!$B$5:$B$1004,MATCH($C$4&amp;"|"&amp;1,Despiece!$H$5:$H$1004,0)),"")</f>
        <v>Delantero</v>
      </c>
      <c r="C8" s="8" t="n">
        <f aca="false">IF(B8="","",INDEX(Despiece!$C$5:$C$1004,MATCH($C$4&amp;"|"&amp;1,Despiece!$H$5:$H$1004,0)))</f>
        <v>1</v>
      </c>
      <c r="D8" s="9" t="str">
        <f aca="false">IF(B8="","",IF(N(INDEX(Despiece!$D$5:$D$1004,MATCH($C$4&amp;"|"&amp;1,Despiece!$H$5:$H$1004,0)))&gt;0,INDEX(Despiece!$D$5:$D$1004,MATCH($C$4&amp;"|"&amp;1,Despiece!$H$5:$H$1004,0))*(1+IFERROR(IF(ISNUMBER(INDEX(Moldes!$K$5:$K$154,MATCH($C$4,Moldes!$A$5:$A$154,0))),INDEX(Moldes!$K$5:$K$154,MATCH($C$4,Moldes!$A$5:$A$154,0)),Precios!$Q$12),Precios!$Q$12)),""))</f>
        <v/>
      </c>
      <c r="E8" s="10"/>
      <c r="F8" s="8" t="str">
        <f aca="false">IF(B8="","",IF(E8&lt;&gt;"",E8,INDEX(Despiece!$E$5:$E$1004,MATCH($C$4&amp;"|"&amp;1,Despiece!$H$5:$H$1004,0))&amp;""))</f>
        <v>MONTESIMONE TRAINING (fut pro)</v>
      </c>
      <c r="G8" s="11" t="n">
        <f aca="false">IF(OR(B8="",F8=""),"",IFERROR(INDEX(Precios!$F$5:$F$124,MATCH(F8,Precios!$A$5:$A$124,0))*1,""))</f>
        <v>695.607</v>
      </c>
      <c r="H8" s="11" t="str">
        <f aca="false">IF(AND(ISNUMBER(D8),ISNUMBER(G8)),D8*G8,"")</f>
        <v/>
      </c>
      <c r="I8" s="11" t="str">
        <f aca="false">IF(OR(B8="",NOT(ISNUMBER(D8))),"",IF(INDEX(Despiece!$F$5:$F$1004,MATCH($C$4&amp;"|"&amp;1,Despiece!$H$5:$H$1004,0))="Sí",D8*Precios!$Q$10,0))</f>
        <v/>
      </c>
      <c r="J8" s="12" t="str">
        <f aca="false">IF(AND(ISNUMBER(H8),ISNUMBER(I8)),H8+I8,"")</f>
        <v/>
      </c>
      <c r="K8" s="13" t="str">
        <f aca="false">IF(B8="","",IF(ISNUMBER(J8),IF(INDEX(Despiece!$F$5:$F$1004,MATCH($C$4&amp;"|"&amp;1,Despiece!$H$5:$H$1004,0))="Sí","Sublimada",""),IF(NOT(ISNUMBER(D8)),"Faltan metros (Despiece). ","")&amp;IF(F8="","Elige tela. ",IF(NOT(ISNUMBER(G8)),"Falta precio o peso de 1 m (Precios). ",""))))</f>
        <v>Faltan metros (Despiece). </v>
      </c>
    </row>
    <row r="9" customFormat="false" ht="15" hidden="false" customHeight="false" outlineLevel="0" collapsed="false">
      <c r="A9" s="8" t="n">
        <f aca="false">IF(B9="","",2)</f>
        <v>2</v>
      </c>
      <c r="B9" s="8" t="str">
        <f aca="false">IFERROR(INDEX(Despiece!$B$5:$B$1004,MATCH($C$4&amp;"|"&amp;2,Despiece!$H$5:$H$1004,0)),"")</f>
        <v>Espalda</v>
      </c>
      <c r="C9" s="8" t="n">
        <f aca="false">IF(B9="","",INDEX(Despiece!$C$5:$C$1004,MATCH($C$4&amp;"|"&amp;2,Despiece!$H$5:$H$1004,0)))</f>
        <v>1</v>
      </c>
      <c r="D9" s="9" t="str">
        <f aca="false">IF(B9="","",IF(N(INDEX(Despiece!$D$5:$D$1004,MATCH($C$4&amp;"|"&amp;2,Despiece!$H$5:$H$1004,0)))&gt;0,INDEX(Despiece!$D$5:$D$1004,MATCH($C$4&amp;"|"&amp;2,Despiece!$H$5:$H$1004,0))*(1+IFERROR(IF(ISNUMBER(INDEX(Moldes!$K$5:$K$154,MATCH($C$4,Moldes!$A$5:$A$154,0))),INDEX(Moldes!$K$5:$K$154,MATCH($C$4,Moldes!$A$5:$A$154,0)),Precios!$Q$12),Precios!$Q$12)),""))</f>
        <v/>
      </c>
      <c r="E9" s="10"/>
      <c r="F9" s="8" t="str">
        <f aca="false">IF(B9="","",IF(E9&lt;&gt;"",E9,INDEX(Despiece!$E$5:$E$1004,MATCH($C$4&amp;"|"&amp;2,Despiece!$H$5:$H$1004,0))&amp;""))</f>
        <v>MONTESIMONE TRAINING (fut pro)</v>
      </c>
      <c r="G9" s="11" t="n">
        <f aca="false">IF(OR(B9="",F9=""),"",IFERROR(INDEX(Precios!$F$5:$F$124,MATCH(F9,Precios!$A$5:$A$124,0))*1,""))</f>
        <v>695.607</v>
      </c>
      <c r="H9" s="11" t="str">
        <f aca="false">IF(AND(ISNUMBER(D9),ISNUMBER(G9)),D9*G9,"")</f>
        <v/>
      </c>
      <c r="I9" s="11" t="str">
        <f aca="false">IF(OR(B9="",NOT(ISNUMBER(D9))),"",IF(INDEX(Despiece!$F$5:$F$1004,MATCH($C$4&amp;"|"&amp;2,Despiece!$H$5:$H$1004,0))="Sí",D9*Precios!$Q$10,0))</f>
        <v/>
      </c>
      <c r="J9" s="12" t="str">
        <f aca="false">IF(AND(ISNUMBER(H9),ISNUMBER(I9)),H9+I9,"")</f>
        <v/>
      </c>
      <c r="K9" s="13" t="str">
        <f aca="false">IF(B9="","",IF(ISNUMBER(J9),IF(INDEX(Despiece!$F$5:$F$1004,MATCH($C$4&amp;"|"&amp;2,Despiece!$H$5:$H$1004,0))="Sí","Sublimada",""),IF(NOT(ISNUMBER(D9)),"Faltan metros (Despiece). ","")&amp;IF(F9="","Elige tela. ",IF(NOT(ISNUMBER(G9)),"Falta precio o peso de 1 m (Precios). ",""))))</f>
        <v>Faltan metros (Despiece). </v>
      </c>
    </row>
    <row r="10" customFormat="false" ht="15" hidden="false" customHeight="false" outlineLevel="0" collapsed="false">
      <c r="A10" s="8" t="n">
        <f aca="false">IF(B10="","",3)</f>
        <v>3</v>
      </c>
      <c r="B10" s="8" t="str">
        <f aca="false">IFERROR(INDEX(Despiece!$B$5:$B$1004,MATCH($C$4&amp;"|"&amp;3,Despiece!$H$5:$H$1004,0)),"")</f>
        <v>Manga</v>
      </c>
      <c r="C10" s="8" t="n">
        <f aca="false">IF(B10="","",INDEX(Despiece!$C$5:$C$1004,MATCH($C$4&amp;"|"&amp;3,Despiece!$H$5:$H$1004,0)))</f>
        <v>2</v>
      </c>
      <c r="D10" s="9" t="str">
        <f aca="false">IF(B10="","",IF(N(INDEX(Despiece!$D$5:$D$1004,MATCH($C$4&amp;"|"&amp;3,Despiece!$H$5:$H$1004,0)))&gt;0,INDEX(Despiece!$D$5:$D$1004,MATCH($C$4&amp;"|"&amp;3,Despiece!$H$5:$H$1004,0))*(1+IFERROR(IF(ISNUMBER(INDEX(Moldes!$K$5:$K$154,MATCH($C$4,Moldes!$A$5:$A$154,0))),INDEX(Moldes!$K$5:$K$154,MATCH($C$4,Moldes!$A$5:$A$154,0)),Precios!$Q$12),Precios!$Q$12)),""))</f>
        <v/>
      </c>
      <c r="E10" s="10"/>
      <c r="F10" s="8" t="str">
        <f aca="false">IF(B10="","",IF(E10&lt;&gt;"",E10,INDEX(Despiece!$E$5:$E$1004,MATCH($C$4&amp;"|"&amp;3,Despiece!$H$5:$H$1004,0))&amp;""))</f>
        <v>MONTESIMONE TRAINING (fut pro)</v>
      </c>
      <c r="G10" s="11" t="n">
        <f aca="false">IF(OR(B10="",F10=""),"",IFERROR(INDEX(Precios!$F$5:$F$124,MATCH(F10,Precios!$A$5:$A$124,0))*1,""))</f>
        <v>695.607</v>
      </c>
      <c r="H10" s="11" t="str">
        <f aca="false">IF(AND(ISNUMBER(D10),ISNUMBER(G10)),D10*G10,"")</f>
        <v/>
      </c>
      <c r="I10" s="11" t="str">
        <f aca="false">IF(OR(B10="",NOT(ISNUMBER(D10))),"",IF(INDEX(Despiece!$F$5:$F$1004,MATCH($C$4&amp;"|"&amp;3,Despiece!$H$5:$H$1004,0))="Sí",D10*Precios!$Q$10,0))</f>
        <v/>
      </c>
      <c r="J10" s="12" t="str">
        <f aca="false">IF(AND(ISNUMBER(H10),ISNUMBER(I10)),H10+I10,"")</f>
        <v/>
      </c>
      <c r="K10" s="13" t="str">
        <f aca="false">IF(B10="","",IF(ISNUMBER(J10),IF(INDEX(Despiece!$F$5:$F$1004,MATCH($C$4&amp;"|"&amp;3,Despiece!$H$5:$H$1004,0))="Sí","Sublimada",""),IF(NOT(ISNUMBER(D10)),"Faltan metros (Despiece). ","")&amp;IF(F10="","Elige tela. ",IF(NOT(ISNUMBER(G10)),"Falta precio o peso de 1 m (Precios). ",""))))</f>
        <v>Faltan metros (Despiece). </v>
      </c>
    </row>
    <row r="11" customFormat="false" ht="15" hidden="false" customHeight="false" outlineLevel="0" collapsed="false">
      <c r="A11" s="8" t="n">
        <f aca="false">IF(B11="","",4)</f>
        <v>4</v>
      </c>
      <c r="B11" s="8" t="str">
        <f aca="false">IFERROR(INDEX(Despiece!$B$5:$B$1004,MATCH($C$4&amp;"|"&amp;4,Despiece!$H$5:$H$1004,0)),"")</f>
        <v>Tira de cuello</v>
      </c>
      <c r="C11" s="8" t="n">
        <f aca="false">IF(B11="","",INDEX(Despiece!$C$5:$C$1004,MATCH($C$4&amp;"|"&amp;4,Despiece!$H$5:$H$1004,0)))</f>
        <v>1</v>
      </c>
      <c r="D11" s="9" t="str">
        <f aca="false">IF(B11="","",IF(N(INDEX(Despiece!$D$5:$D$1004,MATCH($C$4&amp;"|"&amp;4,Despiece!$H$5:$H$1004,0)))&gt;0,INDEX(Despiece!$D$5:$D$1004,MATCH($C$4&amp;"|"&amp;4,Despiece!$H$5:$H$1004,0))*(1+IFERROR(IF(ISNUMBER(INDEX(Moldes!$K$5:$K$154,MATCH($C$4,Moldes!$A$5:$A$154,0))),INDEX(Moldes!$K$5:$K$154,MATCH($C$4,Moldes!$A$5:$A$154,0)),Precios!$Q$12),Precios!$Q$12)),""))</f>
        <v/>
      </c>
      <c r="E11" s="10"/>
      <c r="F11" s="8" t="str">
        <f aca="false">IF(B11="","",IF(E11&lt;&gt;"",E11,INDEX(Despiece!$E$5:$E$1004,MATCH($C$4&amp;"|"&amp;4,Despiece!$H$5:$H$1004,0))&amp;""))</f>
        <v>MONTESIMONE TRAINING (fut pro)</v>
      </c>
      <c r="G11" s="11" t="n">
        <f aca="false">IF(OR(B11="",F11=""),"",IFERROR(INDEX(Precios!$F$5:$F$124,MATCH(F11,Precios!$A$5:$A$124,0))*1,""))</f>
        <v>695.607</v>
      </c>
      <c r="H11" s="11" t="str">
        <f aca="false">IF(AND(ISNUMBER(D11),ISNUMBER(G11)),D11*G11,"")</f>
        <v/>
      </c>
      <c r="I11" s="11" t="str">
        <f aca="false">IF(OR(B11="",NOT(ISNUMBER(D11))),"",IF(INDEX(Despiece!$F$5:$F$1004,MATCH($C$4&amp;"|"&amp;4,Despiece!$H$5:$H$1004,0))="Sí",D11*Precios!$Q$10,0))</f>
        <v/>
      </c>
      <c r="J11" s="12" t="str">
        <f aca="false">IF(AND(ISNUMBER(H11),ISNUMBER(I11)),H11+I11,"")</f>
        <v/>
      </c>
      <c r="K11" s="13" t="str">
        <f aca="false">IF(B11="","",IF(ISNUMBER(J11),IF(INDEX(Despiece!$F$5:$F$1004,MATCH($C$4&amp;"|"&amp;4,Despiece!$H$5:$H$1004,0))="Sí","Sublimada",""),IF(NOT(ISNUMBER(D11)),"Faltan metros (Despiece). ","")&amp;IF(F11="","Elige tela. ",IF(NOT(ISNUMBER(G11)),"Falta precio o peso de 1 m (Precios). ",""))))</f>
        <v>Faltan metros (Despiece). </v>
      </c>
    </row>
    <row r="12" customFormat="false" ht="15" hidden="false" customHeight="false" outlineLevel="0" collapsed="false">
      <c r="A12" s="8" t="n">
        <f aca="false">IF(B12="","",5)</f>
        <v>5</v>
      </c>
      <c r="B12" s="8" t="str">
        <f aca="false">IFERROR(INDEX(Despiece!$B$5:$B$1004,MATCH($C$4&amp;"|"&amp;5,Despiece!$H$5:$H$1004,0)),"")</f>
        <v>Paneles laterales</v>
      </c>
      <c r="C12" s="8" t="n">
        <f aca="false">IF(B12="","",INDEX(Despiece!$C$5:$C$1004,MATCH($C$4&amp;"|"&amp;5,Despiece!$H$5:$H$1004,0)))</f>
        <v>2</v>
      </c>
      <c r="D12" s="9" t="str">
        <f aca="false">IF(B12="","",IF(N(INDEX(Despiece!$D$5:$D$1004,MATCH($C$4&amp;"|"&amp;5,Despiece!$H$5:$H$1004,0)))&gt;0,INDEX(Despiece!$D$5:$D$1004,MATCH($C$4&amp;"|"&amp;5,Despiece!$H$5:$H$1004,0))*(1+IFERROR(IF(ISNUMBER(INDEX(Moldes!$K$5:$K$154,MATCH($C$4,Moldes!$A$5:$A$154,0))),INDEX(Moldes!$K$5:$K$154,MATCH($C$4,Moldes!$A$5:$A$154,0)),Precios!$Q$12),Precios!$Q$12)),""))</f>
        <v/>
      </c>
      <c r="E12" s="10"/>
      <c r="F12" s="8" t="str">
        <f aca="false">IF(B12="","",IF(E12&lt;&gt;"",E12,INDEX(Despiece!$E$5:$E$1004,MATCH($C$4&amp;"|"&amp;5,Despiece!$H$5:$H$1004,0))&amp;""))</f>
        <v>MESH</v>
      </c>
      <c r="G12" s="11" t="str">
        <f aca="false">IF(OR(B12="",F12=""),"",IFERROR(INDEX(Precios!$F$5:$F$124,MATCH(F12,Precios!$A$5:$A$124,0))*1,""))</f>
        <v/>
      </c>
      <c r="H12" s="11" t="str">
        <f aca="false">IF(AND(ISNUMBER(D12),ISNUMBER(G12)),D12*G12,"")</f>
        <v/>
      </c>
      <c r="I12" s="11" t="str">
        <f aca="false">IF(OR(B12="",NOT(ISNUMBER(D12))),"",IF(INDEX(Despiece!$F$5:$F$1004,MATCH($C$4&amp;"|"&amp;5,Despiece!$H$5:$H$1004,0))="Sí",D12*Precios!$Q$10,0))</f>
        <v/>
      </c>
      <c r="J12" s="12" t="str">
        <f aca="false">IF(AND(ISNUMBER(H12),ISNUMBER(I12)),H12+I12,"")</f>
        <v/>
      </c>
      <c r="K12" s="13" t="str">
        <f aca="false">IF(B12="","",IF(ISNUMBER(J12),IF(INDEX(Despiece!$F$5:$F$1004,MATCH($C$4&amp;"|"&amp;5,Despiece!$H$5:$H$1004,0))="Sí","Sublimada",""),IF(NOT(ISNUMBER(D12)),"Faltan metros (Despiece). ","")&amp;IF(F12="","Elige tela. ",IF(NOT(ISNUMBER(G12)),"Falta precio o peso de 1 m (Precios). ",""))))</f>
        <v>Faltan metros (Despiece). Falta precio o peso de 1 m (Precios). </v>
      </c>
    </row>
    <row r="13" customFormat="false" ht="15" hidden="false" customHeight="false" outlineLevel="0" collapsed="false">
      <c r="A13" s="8" t="str">
        <f aca="false">IF(B13="","",6)</f>
        <v/>
      </c>
      <c r="B13" s="8" t="str">
        <f aca="false">IFERROR(INDEX(Despiece!$B$5:$B$1004,MATCH($C$4&amp;"|"&amp;6,Despiece!$H$5:$H$1004,0)),"")</f>
        <v/>
      </c>
      <c r="C13" s="8" t="str">
        <f aca="false">IF(B13="","",INDEX(Despiece!$C$5:$C$1004,MATCH($C$4&amp;"|"&amp;6,Despiece!$H$5:$H$1004,0)))</f>
        <v/>
      </c>
      <c r="D13" s="9" t="str">
        <f aca="false">IF(B13="","",IF(N(INDEX(Despiece!$D$5:$D$1004,MATCH($C$4&amp;"|"&amp;6,Despiece!$H$5:$H$1004,0)))&gt;0,INDEX(Despiece!$D$5:$D$1004,MATCH($C$4&amp;"|"&amp;6,Despiece!$H$5:$H$1004,0))*(1+IFERROR(IF(ISNUMBER(INDEX(Moldes!$K$5:$K$154,MATCH($C$4,Moldes!$A$5:$A$154,0))),INDEX(Moldes!$K$5:$K$154,MATCH($C$4,Moldes!$A$5:$A$154,0)),Precios!$Q$12),Precios!$Q$12)),""))</f>
        <v/>
      </c>
      <c r="E13" s="10"/>
      <c r="F13" s="8" t="str">
        <f aca="false">IF(B13="","",IF(E13&lt;&gt;"",E13,INDEX(Despiece!$E$5:$E$1004,MATCH($C$4&amp;"|"&amp;6,Despiece!$H$5:$H$1004,0))&amp;""))</f>
        <v/>
      </c>
      <c r="G13" s="11" t="str">
        <f aca="false">IF(OR(B13="",F13=""),"",IFERROR(INDEX(Precios!$F$5:$F$124,MATCH(F13,Precios!$A$5:$A$124,0))*1,""))</f>
        <v/>
      </c>
      <c r="H13" s="11" t="str">
        <f aca="false">IF(AND(ISNUMBER(D13),ISNUMBER(G13)),D13*G13,"")</f>
        <v/>
      </c>
      <c r="I13" s="11" t="str">
        <f aca="false">IF(OR(B13="",NOT(ISNUMBER(D13))),"",IF(INDEX(Despiece!$F$5:$F$1004,MATCH($C$4&amp;"|"&amp;6,Despiece!$H$5:$H$1004,0))="Sí",D13*Precios!$Q$10,0))</f>
        <v/>
      </c>
      <c r="J13" s="12" t="str">
        <f aca="false">IF(AND(ISNUMBER(H13),ISNUMBER(I13)),H13+I13,"")</f>
        <v/>
      </c>
      <c r="K13" s="13" t="str">
        <f aca="false">IF(B13="","",IF(ISNUMBER(J13),IF(INDEX(Despiece!$F$5:$F$1004,MATCH($C$4&amp;"|"&amp;6,Despiece!$H$5:$H$1004,0))="Sí","Sublimada",""),IF(NOT(ISNUMBER(D13)),"Faltan metros (Despiece). ","")&amp;IF(F13="","Elige tela. ",IF(NOT(ISNUMBER(G13)),"Falta precio o peso de 1 m (Precios). ",""))))</f>
        <v/>
      </c>
    </row>
    <row r="14" customFormat="false" ht="15" hidden="false" customHeight="false" outlineLevel="0" collapsed="false">
      <c r="A14" s="8" t="str">
        <f aca="false">IF(B14="","",7)</f>
        <v/>
      </c>
      <c r="B14" s="8" t="str">
        <f aca="false">IFERROR(INDEX(Despiece!$B$5:$B$1004,MATCH($C$4&amp;"|"&amp;7,Despiece!$H$5:$H$1004,0)),"")</f>
        <v/>
      </c>
      <c r="C14" s="8" t="str">
        <f aca="false">IF(B14="","",INDEX(Despiece!$C$5:$C$1004,MATCH($C$4&amp;"|"&amp;7,Despiece!$H$5:$H$1004,0)))</f>
        <v/>
      </c>
      <c r="D14" s="9" t="str">
        <f aca="false">IF(B14="","",IF(N(INDEX(Despiece!$D$5:$D$1004,MATCH($C$4&amp;"|"&amp;7,Despiece!$H$5:$H$1004,0)))&gt;0,INDEX(Despiece!$D$5:$D$1004,MATCH($C$4&amp;"|"&amp;7,Despiece!$H$5:$H$1004,0))*(1+IFERROR(IF(ISNUMBER(INDEX(Moldes!$K$5:$K$154,MATCH($C$4,Moldes!$A$5:$A$154,0))),INDEX(Moldes!$K$5:$K$154,MATCH($C$4,Moldes!$A$5:$A$154,0)),Precios!$Q$12),Precios!$Q$12)),""))</f>
        <v/>
      </c>
      <c r="E14" s="10"/>
      <c r="F14" s="8" t="str">
        <f aca="false">IF(B14="","",IF(E14&lt;&gt;"",E14,INDEX(Despiece!$E$5:$E$1004,MATCH($C$4&amp;"|"&amp;7,Despiece!$H$5:$H$1004,0))&amp;""))</f>
        <v/>
      </c>
      <c r="G14" s="11" t="str">
        <f aca="false">IF(OR(B14="",F14=""),"",IFERROR(INDEX(Precios!$F$5:$F$124,MATCH(F14,Precios!$A$5:$A$124,0))*1,""))</f>
        <v/>
      </c>
      <c r="H14" s="11" t="str">
        <f aca="false">IF(AND(ISNUMBER(D14),ISNUMBER(G14)),D14*G14,"")</f>
        <v/>
      </c>
      <c r="I14" s="11" t="str">
        <f aca="false">IF(OR(B14="",NOT(ISNUMBER(D14))),"",IF(INDEX(Despiece!$F$5:$F$1004,MATCH($C$4&amp;"|"&amp;7,Despiece!$H$5:$H$1004,0))="Sí",D14*Precios!$Q$10,0))</f>
        <v/>
      </c>
      <c r="J14" s="12" t="str">
        <f aca="false">IF(AND(ISNUMBER(H14),ISNUMBER(I14)),H14+I14,"")</f>
        <v/>
      </c>
      <c r="K14" s="13" t="str">
        <f aca="false">IF(B14="","",IF(ISNUMBER(J14),IF(INDEX(Despiece!$F$5:$F$1004,MATCH($C$4&amp;"|"&amp;7,Despiece!$H$5:$H$1004,0))="Sí","Sublimada",""),IF(NOT(ISNUMBER(D14)),"Faltan metros (Despiece). ","")&amp;IF(F14="","Elige tela. ",IF(NOT(ISNUMBER(G14)),"Falta precio o peso de 1 m (Precios). ",""))))</f>
        <v/>
      </c>
    </row>
    <row r="15" customFormat="false" ht="15" hidden="false" customHeight="false" outlineLevel="0" collapsed="false">
      <c r="A15" s="8" t="str">
        <f aca="false">IF(B15="","",8)</f>
        <v/>
      </c>
      <c r="B15" s="8" t="str">
        <f aca="false">IFERROR(INDEX(Despiece!$B$5:$B$1004,MATCH($C$4&amp;"|"&amp;8,Despiece!$H$5:$H$1004,0)),"")</f>
        <v/>
      </c>
      <c r="C15" s="8" t="str">
        <f aca="false">IF(B15="","",INDEX(Despiece!$C$5:$C$1004,MATCH($C$4&amp;"|"&amp;8,Despiece!$H$5:$H$1004,0)))</f>
        <v/>
      </c>
      <c r="D15" s="9" t="str">
        <f aca="false">IF(B15="","",IF(N(INDEX(Despiece!$D$5:$D$1004,MATCH($C$4&amp;"|"&amp;8,Despiece!$H$5:$H$1004,0)))&gt;0,INDEX(Despiece!$D$5:$D$1004,MATCH($C$4&amp;"|"&amp;8,Despiece!$H$5:$H$1004,0))*(1+IFERROR(IF(ISNUMBER(INDEX(Moldes!$K$5:$K$154,MATCH($C$4,Moldes!$A$5:$A$154,0))),INDEX(Moldes!$K$5:$K$154,MATCH($C$4,Moldes!$A$5:$A$154,0)),Precios!$Q$12),Precios!$Q$12)),""))</f>
        <v/>
      </c>
      <c r="E15" s="10"/>
      <c r="F15" s="8" t="str">
        <f aca="false">IF(B15="","",IF(E15&lt;&gt;"",E15,INDEX(Despiece!$E$5:$E$1004,MATCH($C$4&amp;"|"&amp;8,Despiece!$H$5:$H$1004,0))&amp;""))</f>
        <v/>
      </c>
      <c r="G15" s="11" t="str">
        <f aca="false">IF(OR(B15="",F15=""),"",IFERROR(INDEX(Precios!$F$5:$F$124,MATCH(F15,Precios!$A$5:$A$124,0))*1,""))</f>
        <v/>
      </c>
      <c r="H15" s="11" t="str">
        <f aca="false">IF(AND(ISNUMBER(D15),ISNUMBER(G15)),D15*G15,"")</f>
        <v/>
      </c>
      <c r="I15" s="11" t="str">
        <f aca="false">IF(OR(B15="",NOT(ISNUMBER(D15))),"",IF(INDEX(Despiece!$F$5:$F$1004,MATCH($C$4&amp;"|"&amp;8,Despiece!$H$5:$H$1004,0))="Sí",D15*Precios!$Q$10,0))</f>
        <v/>
      </c>
      <c r="J15" s="12" t="str">
        <f aca="false">IF(AND(ISNUMBER(H15),ISNUMBER(I15)),H15+I15,"")</f>
        <v/>
      </c>
      <c r="K15" s="13" t="str">
        <f aca="false">IF(B15="","",IF(ISNUMBER(J15),IF(INDEX(Despiece!$F$5:$F$1004,MATCH($C$4&amp;"|"&amp;8,Despiece!$H$5:$H$1004,0))="Sí","Sublimada",""),IF(NOT(ISNUMBER(D15)),"Faltan metros (Despiece). ","")&amp;IF(F15="","Elige tela. ",IF(NOT(ISNUMBER(G15)),"Falta precio o peso de 1 m (Precios). ",""))))</f>
        <v/>
      </c>
    </row>
    <row r="16" customFormat="false" ht="15" hidden="false" customHeight="false" outlineLevel="0" collapsed="false">
      <c r="A16" s="8" t="str">
        <f aca="false">IF(B16="","",9)</f>
        <v/>
      </c>
      <c r="B16" s="8" t="str">
        <f aca="false">IFERROR(INDEX(Despiece!$B$5:$B$1004,MATCH($C$4&amp;"|"&amp;9,Despiece!$H$5:$H$1004,0)),"")</f>
        <v/>
      </c>
      <c r="C16" s="8" t="str">
        <f aca="false">IF(B16="","",INDEX(Despiece!$C$5:$C$1004,MATCH($C$4&amp;"|"&amp;9,Despiece!$H$5:$H$1004,0)))</f>
        <v/>
      </c>
      <c r="D16" s="9" t="str">
        <f aca="false">IF(B16="","",IF(N(INDEX(Despiece!$D$5:$D$1004,MATCH($C$4&amp;"|"&amp;9,Despiece!$H$5:$H$1004,0)))&gt;0,INDEX(Despiece!$D$5:$D$1004,MATCH($C$4&amp;"|"&amp;9,Despiece!$H$5:$H$1004,0))*(1+IFERROR(IF(ISNUMBER(INDEX(Moldes!$K$5:$K$154,MATCH($C$4,Moldes!$A$5:$A$154,0))),INDEX(Moldes!$K$5:$K$154,MATCH($C$4,Moldes!$A$5:$A$154,0)),Precios!$Q$12),Precios!$Q$12)),""))</f>
        <v/>
      </c>
      <c r="E16" s="10"/>
      <c r="F16" s="8" t="str">
        <f aca="false">IF(B16="","",IF(E16&lt;&gt;"",E16,INDEX(Despiece!$E$5:$E$1004,MATCH($C$4&amp;"|"&amp;9,Despiece!$H$5:$H$1004,0))&amp;""))</f>
        <v/>
      </c>
      <c r="G16" s="11" t="str">
        <f aca="false">IF(OR(B16="",F16=""),"",IFERROR(INDEX(Precios!$F$5:$F$124,MATCH(F16,Precios!$A$5:$A$124,0))*1,""))</f>
        <v/>
      </c>
      <c r="H16" s="11" t="str">
        <f aca="false">IF(AND(ISNUMBER(D16),ISNUMBER(G16)),D16*G16,"")</f>
        <v/>
      </c>
      <c r="I16" s="11" t="str">
        <f aca="false">IF(OR(B16="",NOT(ISNUMBER(D16))),"",IF(INDEX(Despiece!$F$5:$F$1004,MATCH($C$4&amp;"|"&amp;9,Despiece!$H$5:$H$1004,0))="Sí",D16*Precios!$Q$10,0))</f>
        <v/>
      </c>
      <c r="J16" s="12" t="str">
        <f aca="false">IF(AND(ISNUMBER(H16),ISNUMBER(I16)),H16+I16,"")</f>
        <v/>
      </c>
      <c r="K16" s="13" t="str">
        <f aca="false">IF(B16="","",IF(ISNUMBER(J16),IF(INDEX(Despiece!$F$5:$F$1004,MATCH($C$4&amp;"|"&amp;9,Despiece!$H$5:$H$1004,0))="Sí","Sublimada",""),IF(NOT(ISNUMBER(D16)),"Faltan metros (Despiece). ","")&amp;IF(F16="","Elige tela. ",IF(NOT(ISNUMBER(G16)),"Falta precio o peso de 1 m (Precios). ",""))))</f>
        <v/>
      </c>
    </row>
    <row r="17" customFormat="false" ht="15" hidden="false" customHeight="false" outlineLevel="0" collapsed="false">
      <c r="A17" s="8" t="str">
        <f aca="false">IF(B17="","",10)</f>
        <v/>
      </c>
      <c r="B17" s="8" t="str">
        <f aca="false">IFERROR(INDEX(Despiece!$B$5:$B$1004,MATCH($C$4&amp;"|"&amp;10,Despiece!$H$5:$H$1004,0)),"")</f>
        <v/>
      </c>
      <c r="C17" s="8" t="str">
        <f aca="false">IF(B17="","",INDEX(Despiece!$C$5:$C$1004,MATCH($C$4&amp;"|"&amp;10,Despiece!$H$5:$H$1004,0)))</f>
        <v/>
      </c>
      <c r="D17" s="9" t="str">
        <f aca="false">IF(B17="","",IF(N(INDEX(Despiece!$D$5:$D$1004,MATCH($C$4&amp;"|"&amp;10,Despiece!$H$5:$H$1004,0)))&gt;0,INDEX(Despiece!$D$5:$D$1004,MATCH($C$4&amp;"|"&amp;10,Despiece!$H$5:$H$1004,0))*(1+IFERROR(IF(ISNUMBER(INDEX(Moldes!$K$5:$K$154,MATCH($C$4,Moldes!$A$5:$A$154,0))),INDEX(Moldes!$K$5:$K$154,MATCH($C$4,Moldes!$A$5:$A$154,0)),Precios!$Q$12),Precios!$Q$12)),""))</f>
        <v/>
      </c>
      <c r="E17" s="10"/>
      <c r="F17" s="8" t="str">
        <f aca="false">IF(B17="","",IF(E17&lt;&gt;"",E17,INDEX(Despiece!$E$5:$E$1004,MATCH($C$4&amp;"|"&amp;10,Despiece!$H$5:$H$1004,0))&amp;""))</f>
        <v/>
      </c>
      <c r="G17" s="11" t="str">
        <f aca="false">IF(OR(B17="",F17=""),"",IFERROR(INDEX(Precios!$F$5:$F$124,MATCH(F17,Precios!$A$5:$A$124,0))*1,""))</f>
        <v/>
      </c>
      <c r="H17" s="11" t="str">
        <f aca="false">IF(AND(ISNUMBER(D17),ISNUMBER(G17)),D17*G17,"")</f>
        <v/>
      </c>
      <c r="I17" s="11" t="str">
        <f aca="false">IF(OR(B17="",NOT(ISNUMBER(D17))),"",IF(INDEX(Despiece!$F$5:$F$1004,MATCH($C$4&amp;"|"&amp;10,Despiece!$H$5:$H$1004,0))="Sí",D17*Precios!$Q$10,0))</f>
        <v/>
      </c>
      <c r="J17" s="12" t="str">
        <f aca="false">IF(AND(ISNUMBER(H17),ISNUMBER(I17)),H17+I17,"")</f>
        <v/>
      </c>
      <c r="K17" s="13" t="str">
        <f aca="false">IF(B17="","",IF(ISNUMBER(J17),IF(INDEX(Despiece!$F$5:$F$1004,MATCH($C$4&amp;"|"&amp;10,Despiece!$H$5:$H$1004,0))="Sí","Sublimada",""),IF(NOT(ISNUMBER(D17)),"Faltan metros (Despiece). ","")&amp;IF(F17="","Elige tela. ",IF(NOT(ISNUMBER(G17)),"Falta precio o peso de 1 m (Precios). ",""))))</f>
        <v/>
      </c>
    </row>
    <row r="18" customFormat="false" ht="15" hidden="false" customHeight="false" outlineLevel="0" collapsed="false">
      <c r="A18" s="8" t="str">
        <f aca="false">IF(B18="","",11)</f>
        <v/>
      </c>
      <c r="B18" s="8" t="str">
        <f aca="false">IFERROR(INDEX(Despiece!$B$5:$B$1004,MATCH($C$4&amp;"|"&amp;11,Despiece!$H$5:$H$1004,0)),"")</f>
        <v/>
      </c>
      <c r="C18" s="8" t="str">
        <f aca="false">IF(B18="","",INDEX(Despiece!$C$5:$C$1004,MATCH($C$4&amp;"|"&amp;11,Despiece!$H$5:$H$1004,0)))</f>
        <v/>
      </c>
      <c r="D18" s="9" t="str">
        <f aca="false">IF(B18="","",IF(N(INDEX(Despiece!$D$5:$D$1004,MATCH($C$4&amp;"|"&amp;11,Despiece!$H$5:$H$1004,0)))&gt;0,INDEX(Despiece!$D$5:$D$1004,MATCH($C$4&amp;"|"&amp;11,Despiece!$H$5:$H$1004,0))*(1+IFERROR(IF(ISNUMBER(INDEX(Moldes!$K$5:$K$154,MATCH($C$4,Moldes!$A$5:$A$154,0))),INDEX(Moldes!$K$5:$K$154,MATCH($C$4,Moldes!$A$5:$A$154,0)),Precios!$Q$12),Precios!$Q$12)),""))</f>
        <v/>
      </c>
      <c r="E18" s="10"/>
      <c r="F18" s="8" t="str">
        <f aca="false">IF(B18="","",IF(E18&lt;&gt;"",E18,INDEX(Despiece!$E$5:$E$1004,MATCH($C$4&amp;"|"&amp;11,Despiece!$H$5:$H$1004,0))&amp;""))</f>
        <v/>
      </c>
      <c r="G18" s="11" t="str">
        <f aca="false">IF(OR(B18="",F18=""),"",IFERROR(INDEX(Precios!$F$5:$F$124,MATCH(F18,Precios!$A$5:$A$124,0))*1,""))</f>
        <v/>
      </c>
      <c r="H18" s="11" t="str">
        <f aca="false">IF(AND(ISNUMBER(D18),ISNUMBER(G18)),D18*G18,"")</f>
        <v/>
      </c>
      <c r="I18" s="11" t="str">
        <f aca="false">IF(OR(B18="",NOT(ISNUMBER(D18))),"",IF(INDEX(Despiece!$F$5:$F$1004,MATCH($C$4&amp;"|"&amp;11,Despiece!$H$5:$H$1004,0))="Sí",D18*Precios!$Q$10,0))</f>
        <v/>
      </c>
      <c r="J18" s="12" t="str">
        <f aca="false">IF(AND(ISNUMBER(H18),ISNUMBER(I18)),H18+I18,"")</f>
        <v/>
      </c>
      <c r="K18" s="13" t="str">
        <f aca="false">IF(B18="","",IF(ISNUMBER(J18),IF(INDEX(Despiece!$F$5:$F$1004,MATCH($C$4&amp;"|"&amp;11,Despiece!$H$5:$H$1004,0))="Sí","Sublimada",""),IF(NOT(ISNUMBER(D18)),"Faltan metros (Despiece). ","")&amp;IF(F18="","Elige tela. ",IF(NOT(ISNUMBER(G18)),"Falta precio o peso de 1 m (Precios). ",""))))</f>
        <v/>
      </c>
    </row>
    <row r="19" customFormat="false" ht="15" hidden="false" customHeight="false" outlineLevel="0" collapsed="false">
      <c r="A19" s="8" t="str">
        <f aca="false">IF(B19="","",12)</f>
        <v/>
      </c>
      <c r="B19" s="8" t="str">
        <f aca="false">IFERROR(INDEX(Despiece!$B$5:$B$1004,MATCH($C$4&amp;"|"&amp;12,Despiece!$H$5:$H$1004,0)),"")</f>
        <v/>
      </c>
      <c r="C19" s="8" t="str">
        <f aca="false">IF(B19="","",INDEX(Despiece!$C$5:$C$1004,MATCH($C$4&amp;"|"&amp;12,Despiece!$H$5:$H$1004,0)))</f>
        <v/>
      </c>
      <c r="D19" s="9" t="str">
        <f aca="false">IF(B19="","",IF(N(INDEX(Despiece!$D$5:$D$1004,MATCH($C$4&amp;"|"&amp;12,Despiece!$H$5:$H$1004,0)))&gt;0,INDEX(Despiece!$D$5:$D$1004,MATCH($C$4&amp;"|"&amp;12,Despiece!$H$5:$H$1004,0))*(1+IFERROR(IF(ISNUMBER(INDEX(Moldes!$K$5:$K$154,MATCH($C$4,Moldes!$A$5:$A$154,0))),INDEX(Moldes!$K$5:$K$154,MATCH($C$4,Moldes!$A$5:$A$154,0)),Precios!$Q$12),Precios!$Q$12)),""))</f>
        <v/>
      </c>
      <c r="E19" s="10"/>
      <c r="F19" s="8" t="str">
        <f aca="false">IF(B19="","",IF(E19&lt;&gt;"",E19,INDEX(Despiece!$E$5:$E$1004,MATCH($C$4&amp;"|"&amp;12,Despiece!$H$5:$H$1004,0))&amp;""))</f>
        <v/>
      </c>
      <c r="G19" s="11" t="str">
        <f aca="false">IF(OR(B19="",F19=""),"",IFERROR(INDEX(Precios!$F$5:$F$124,MATCH(F19,Precios!$A$5:$A$124,0))*1,""))</f>
        <v/>
      </c>
      <c r="H19" s="11" t="str">
        <f aca="false">IF(AND(ISNUMBER(D19),ISNUMBER(G19)),D19*G19,"")</f>
        <v/>
      </c>
      <c r="I19" s="11" t="str">
        <f aca="false">IF(OR(B19="",NOT(ISNUMBER(D19))),"",IF(INDEX(Despiece!$F$5:$F$1004,MATCH($C$4&amp;"|"&amp;12,Despiece!$H$5:$H$1004,0))="Sí",D19*Precios!$Q$10,0))</f>
        <v/>
      </c>
      <c r="J19" s="12" t="str">
        <f aca="false">IF(AND(ISNUMBER(H19),ISNUMBER(I19)),H19+I19,"")</f>
        <v/>
      </c>
      <c r="K19" s="13" t="str">
        <f aca="false">IF(B19="","",IF(ISNUMBER(J19),IF(INDEX(Despiece!$F$5:$F$1004,MATCH($C$4&amp;"|"&amp;12,Despiece!$H$5:$H$1004,0))="Sí","Sublimada",""),IF(NOT(ISNUMBER(D19)),"Faltan metros (Despiece). ","")&amp;IF(F19="","Elige tela. ",IF(NOT(ISNUMBER(G19)),"Falta precio o peso de 1 m (Precios). ",""))))</f>
        <v/>
      </c>
    </row>
    <row r="20" customFormat="false" ht="15" hidden="false" customHeight="false" outlineLevel="0" collapsed="false">
      <c r="A20" s="8" t="str">
        <f aca="false">IF(B20="","",13)</f>
        <v/>
      </c>
      <c r="B20" s="8" t="str">
        <f aca="false">IFERROR(INDEX(Despiece!$B$5:$B$1004,MATCH($C$4&amp;"|"&amp;13,Despiece!$H$5:$H$1004,0)),"")</f>
        <v/>
      </c>
      <c r="C20" s="8" t="str">
        <f aca="false">IF(B20="","",INDEX(Despiece!$C$5:$C$1004,MATCH($C$4&amp;"|"&amp;13,Despiece!$H$5:$H$1004,0)))</f>
        <v/>
      </c>
      <c r="D20" s="9" t="str">
        <f aca="false">IF(B20="","",IF(N(INDEX(Despiece!$D$5:$D$1004,MATCH($C$4&amp;"|"&amp;13,Despiece!$H$5:$H$1004,0)))&gt;0,INDEX(Despiece!$D$5:$D$1004,MATCH($C$4&amp;"|"&amp;13,Despiece!$H$5:$H$1004,0))*(1+IFERROR(IF(ISNUMBER(INDEX(Moldes!$K$5:$K$154,MATCH($C$4,Moldes!$A$5:$A$154,0))),INDEX(Moldes!$K$5:$K$154,MATCH($C$4,Moldes!$A$5:$A$154,0)),Precios!$Q$12),Precios!$Q$12)),""))</f>
        <v/>
      </c>
      <c r="E20" s="10"/>
      <c r="F20" s="8" t="str">
        <f aca="false">IF(B20="","",IF(E20&lt;&gt;"",E20,INDEX(Despiece!$E$5:$E$1004,MATCH($C$4&amp;"|"&amp;13,Despiece!$H$5:$H$1004,0))&amp;""))</f>
        <v/>
      </c>
      <c r="G20" s="11" t="str">
        <f aca="false">IF(OR(B20="",F20=""),"",IFERROR(INDEX(Precios!$F$5:$F$124,MATCH(F20,Precios!$A$5:$A$124,0))*1,""))</f>
        <v/>
      </c>
      <c r="H20" s="11" t="str">
        <f aca="false">IF(AND(ISNUMBER(D20),ISNUMBER(G20)),D20*G20,"")</f>
        <v/>
      </c>
      <c r="I20" s="11" t="str">
        <f aca="false">IF(OR(B20="",NOT(ISNUMBER(D20))),"",IF(INDEX(Despiece!$F$5:$F$1004,MATCH($C$4&amp;"|"&amp;13,Despiece!$H$5:$H$1004,0))="Sí",D20*Precios!$Q$10,0))</f>
        <v/>
      </c>
      <c r="J20" s="12" t="str">
        <f aca="false">IF(AND(ISNUMBER(H20),ISNUMBER(I20)),H20+I20,"")</f>
        <v/>
      </c>
      <c r="K20" s="13" t="str">
        <f aca="false">IF(B20="","",IF(ISNUMBER(J20),IF(INDEX(Despiece!$F$5:$F$1004,MATCH($C$4&amp;"|"&amp;13,Despiece!$H$5:$H$1004,0))="Sí","Sublimada",""),IF(NOT(ISNUMBER(D20)),"Faltan metros (Despiece). ","")&amp;IF(F20="","Elige tela. ",IF(NOT(ISNUMBER(G20)),"Falta precio o peso de 1 m (Precios). ",""))))</f>
        <v/>
      </c>
    </row>
    <row r="21" customFormat="false" ht="15" hidden="false" customHeight="false" outlineLevel="0" collapsed="false">
      <c r="A21" s="8" t="str">
        <f aca="false">IF(B21="","",14)</f>
        <v/>
      </c>
      <c r="B21" s="8" t="str">
        <f aca="false">IFERROR(INDEX(Despiece!$B$5:$B$1004,MATCH($C$4&amp;"|"&amp;14,Despiece!$H$5:$H$1004,0)),"")</f>
        <v/>
      </c>
      <c r="C21" s="8" t="str">
        <f aca="false">IF(B21="","",INDEX(Despiece!$C$5:$C$1004,MATCH($C$4&amp;"|"&amp;14,Despiece!$H$5:$H$1004,0)))</f>
        <v/>
      </c>
      <c r="D21" s="9" t="str">
        <f aca="false">IF(B21="","",IF(N(INDEX(Despiece!$D$5:$D$1004,MATCH($C$4&amp;"|"&amp;14,Despiece!$H$5:$H$1004,0)))&gt;0,INDEX(Despiece!$D$5:$D$1004,MATCH($C$4&amp;"|"&amp;14,Despiece!$H$5:$H$1004,0))*(1+IFERROR(IF(ISNUMBER(INDEX(Moldes!$K$5:$K$154,MATCH($C$4,Moldes!$A$5:$A$154,0))),INDEX(Moldes!$K$5:$K$154,MATCH($C$4,Moldes!$A$5:$A$154,0)),Precios!$Q$12),Precios!$Q$12)),""))</f>
        <v/>
      </c>
      <c r="E21" s="10"/>
      <c r="F21" s="8" t="str">
        <f aca="false">IF(B21="","",IF(E21&lt;&gt;"",E21,INDEX(Despiece!$E$5:$E$1004,MATCH($C$4&amp;"|"&amp;14,Despiece!$H$5:$H$1004,0))&amp;""))</f>
        <v/>
      </c>
      <c r="G21" s="11" t="str">
        <f aca="false">IF(OR(B21="",F21=""),"",IFERROR(INDEX(Precios!$F$5:$F$124,MATCH(F21,Precios!$A$5:$A$124,0))*1,""))</f>
        <v/>
      </c>
      <c r="H21" s="11" t="str">
        <f aca="false">IF(AND(ISNUMBER(D21),ISNUMBER(G21)),D21*G21,"")</f>
        <v/>
      </c>
      <c r="I21" s="11" t="str">
        <f aca="false">IF(OR(B21="",NOT(ISNUMBER(D21))),"",IF(INDEX(Despiece!$F$5:$F$1004,MATCH($C$4&amp;"|"&amp;14,Despiece!$H$5:$H$1004,0))="Sí",D21*Precios!$Q$10,0))</f>
        <v/>
      </c>
      <c r="J21" s="12" t="str">
        <f aca="false">IF(AND(ISNUMBER(H21),ISNUMBER(I21)),H21+I21,"")</f>
        <v/>
      </c>
      <c r="K21" s="13" t="str">
        <f aca="false">IF(B21="","",IF(ISNUMBER(J21),IF(INDEX(Despiece!$F$5:$F$1004,MATCH($C$4&amp;"|"&amp;14,Despiece!$H$5:$H$1004,0))="Sí","Sublimada",""),IF(NOT(ISNUMBER(D21)),"Faltan metros (Despiece). ","")&amp;IF(F21="","Elige tela. ",IF(NOT(ISNUMBER(G21)),"Falta precio o peso de 1 m (Precios). ",""))))</f>
        <v/>
      </c>
    </row>
    <row r="22" customFormat="false" ht="15" hidden="false" customHeight="false" outlineLevel="0" collapsed="false">
      <c r="A22" s="8" t="str">
        <f aca="false">IF(B22="","",15)</f>
        <v/>
      </c>
      <c r="B22" s="8" t="str">
        <f aca="false">IFERROR(INDEX(Despiece!$B$5:$B$1004,MATCH($C$4&amp;"|"&amp;15,Despiece!$H$5:$H$1004,0)),"")</f>
        <v/>
      </c>
      <c r="C22" s="8" t="str">
        <f aca="false">IF(B22="","",INDEX(Despiece!$C$5:$C$1004,MATCH($C$4&amp;"|"&amp;15,Despiece!$H$5:$H$1004,0)))</f>
        <v/>
      </c>
      <c r="D22" s="9" t="str">
        <f aca="false">IF(B22="","",IF(N(INDEX(Despiece!$D$5:$D$1004,MATCH($C$4&amp;"|"&amp;15,Despiece!$H$5:$H$1004,0)))&gt;0,INDEX(Despiece!$D$5:$D$1004,MATCH($C$4&amp;"|"&amp;15,Despiece!$H$5:$H$1004,0))*(1+IFERROR(IF(ISNUMBER(INDEX(Moldes!$K$5:$K$154,MATCH($C$4,Moldes!$A$5:$A$154,0))),INDEX(Moldes!$K$5:$K$154,MATCH($C$4,Moldes!$A$5:$A$154,0)),Precios!$Q$12),Precios!$Q$12)),""))</f>
        <v/>
      </c>
      <c r="E22" s="10"/>
      <c r="F22" s="8" t="str">
        <f aca="false">IF(B22="","",IF(E22&lt;&gt;"",E22,INDEX(Despiece!$E$5:$E$1004,MATCH($C$4&amp;"|"&amp;15,Despiece!$H$5:$H$1004,0))&amp;""))</f>
        <v/>
      </c>
      <c r="G22" s="11" t="str">
        <f aca="false">IF(OR(B22="",F22=""),"",IFERROR(INDEX(Precios!$F$5:$F$124,MATCH(F22,Precios!$A$5:$A$124,0))*1,""))</f>
        <v/>
      </c>
      <c r="H22" s="11" t="str">
        <f aca="false">IF(AND(ISNUMBER(D22),ISNUMBER(G22)),D22*G22,"")</f>
        <v/>
      </c>
      <c r="I22" s="11" t="str">
        <f aca="false">IF(OR(B22="",NOT(ISNUMBER(D22))),"",IF(INDEX(Despiece!$F$5:$F$1004,MATCH($C$4&amp;"|"&amp;15,Despiece!$H$5:$H$1004,0))="Sí",D22*Precios!$Q$10,0))</f>
        <v/>
      </c>
      <c r="J22" s="12" t="str">
        <f aca="false">IF(AND(ISNUMBER(H22),ISNUMBER(I22)),H22+I22,"")</f>
        <v/>
      </c>
      <c r="K22" s="13" t="str">
        <f aca="false">IF(B22="","",IF(ISNUMBER(J22),IF(INDEX(Despiece!$F$5:$F$1004,MATCH($C$4&amp;"|"&amp;15,Despiece!$H$5:$H$1004,0))="Sí","Sublimada",""),IF(NOT(ISNUMBER(D22)),"Faltan metros (Despiece). ","")&amp;IF(F22="","Elige tela. ",IF(NOT(ISNUMBER(G22)),"Falta precio o peso de 1 m (Precios). ",""))))</f>
        <v/>
      </c>
    </row>
    <row r="23" customFormat="false" ht="15" hidden="false" customHeight="false" outlineLevel="0" collapsed="false">
      <c r="A23" s="8" t="str">
        <f aca="false">IF(B23="","",16)</f>
        <v/>
      </c>
      <c r="B23" s="8" t="str">
        <f aca="false">IFERROR(INDEX(Despiece!$B$5:$B$1004,MATCH($C$4&amp;"|"&amp;16,Despiece!$H$5:$H$1004,0)),"")</f>
        <v/>
      </c>
      <c r="C23" s="8" t="str">
        <f aca="false">IF(B23="","",INDEX(Despiece!$C$5:$C$1004,MATCH($C$4&amp;"|"&amp;16,Despiece!$H$5:$H$1004,0)))</f>
        <v/>
      </c>
      <c r="D23" s="9" t="str">
        <f aca="false">IF(B23="","",IF(N(INDEX(Despiece!$D$5:$D$1004,MATCH($C$4&amp;"|"&amp;16,Despiece!$H$5:$H$1004,0)))&gt;0,INDEX(Despiece!$D$5:$D$1004,MATCH($C$4&amp;"|"&amp;16,Despiece!$H$5:$H$1004,0))*(1+IFERROR(IF(ISNUMBER(INDEX(Moldes!$K$5:$K$154,MATCH($C$4,Moldes!$A$5:$A$154,0))),INDEX(Moldes!$K$5:$K$154,MATCH($C$4,Moldes!$A$5:$A$154,0)),Precios!$Q$12),Precios!$Q$12)),""))</f>
        <v/>
      </c>
      <c r="E23" s="10"/>
      <c r="F23" s="8" t="str">
        <f aca="false">IF(B23="","",IF(E23&lt;&gt;"",E23,INDEX(Despiece!$E$5:$E$1004,MATCH($C$4&amp;"|"&amp;16,Despiece!$H$5:$H$1004,0))&amp;""))</f>
        <v/>
      </c>
      <c r="G23" s="11" t="str">
        <f aca="false">IF(OR(B23="",F23=""),"",IFERROR(INDEX(Precios!$F$5:$F$124,MATCH(F23,Precios!$A$5:$A$124,0))*1,""))</f>
        <v/>
      </c>
      <c r="H23" s="11" t="str">
        <f aca="false">IF(AND(ISNUMBER(D23),ISNUMBER(G23)),D23*G23,"")</f>
        <v/>
      </c>
      <c r="I23" s="11" t="str">
        <f aca="false">IF(OR(B23="",NOT(ISNUMBER(D23))),"",IF(INDEX(Despiece!$F$5:$F$1004,MATCH($C$4&amp;"|"&amp;16,Despiece!$H$5:$H$1004,0))="Sí",D23*Precios!$Q$10,0))</f>
        <v/>
      </c>
      <c r="J23" s="12" t="str">
        <f aca="false">IF(AND(ISNUMBER(H23),ISNUMBER(I23)),H23+I23,"")</f>
        <v/>
      </c>
      <c r="K23" s="13" t="str">
        <f aca="false">IF(B23="","",IF(ISNUMBER(J23),IF(INDEX(Despiece!$F$5:$F$1004,MATCH($C$4&amp;"|"&amp;16,Despiece!$H$5:$H$1004,0))="Sí","Sublimada",""),IF(NOT(ISNUMBER(D23)),"Faltan metros (Despiece). ","")&amp;IF(F23="","Elige tela. ",IF(NOT(ISNUMBER(G23)),"Falta precio o peso de 1 m (Precios). ",""))))</f>
        <v/>
      </c>
    </row>
    <row r="25" customFormat="false" ht="15" hidden="false" customHeight="false" outlineLevel="0" collapsed="false">
      <c r="B25" s="14" t="s">
        <v>16</v>
      </c>
      <c r="C25" s="15"/>
      <c r="D25" s="15"/>
      <c r="E25" s="15"/>
      <c r="F25" s="15"/>
      <c r="G25" s="15"/>
      <c r="H25" s="15"/>
      <c r="I25" s="15"/>
      <c r="J25" s="15"/>
    </row>
    <row r="26" customFormat="false" ht="15" hidden="false" customHeight="false" outlineLevel="0" collapsed="false">
      <c r="B26" s="0" t="s">
        <v>17</v>
      </c>
      <c r="J26" s="11" t="str">
        <f aca="false">IF(SUMPRODUCT((B8:B23&lt;&gt;"")*NOT(ISNUMBER(J8:J23)))=0,SUM(H8:H23),"Faltan datos ↑")</f>
        <v>Faltan datos ↑</v>
      </c>
      <c r="K26" s="16" t="s">
        <v>18</v>
      </c>
    </row>
    <row r="27" customFormat="false" ht="15" hidden="false" customHeight="false" outlineLevel="0" collapsed="false">
      <c r="B27" s="0" t="s">
        <v>19</v>
      </c>
      <c r="J27" s="11" t="str">
        <f aca="false">IF(SUMPRODUCT((B8:B23&lt;&gt;"")*NOT(ISNUMBER(J8:J23)))=0,SUM(I8:I23),"Faltan datos ↑")</f>
        <v>Faltan datos ↑</v>
      </c>
      <c r="K27" s="16" t="str">
        <f aca="false">IF(N(Precios!$Q$10)=0,"OJO: costo de impresión en $0 (hoja Precios)",TEXT(SUMIF(I8:I23,"&gt;0",D8:D23),"0.00")&amp;" m impresos × "&amp;TEXT(Precios!$Q$10,"$#,##0"))</f>
        <v>OJO: costo de impresión en $0 (hoja Precios)</v>
      </c>
    </row>
    <row r="28" customFormat="false" ht="15" hidden="false" customHeight="false" outlineLevel="0" collapsed="false">
      <c r="B28" s="0" t="s">
        <v>20</v>
      </c>
      <c r="J28" s="11" t="n">
        <f aca="false">IFERROR(INDEX(Moldes!$M$5:$M$154,MATCH($C$4,Moldes!$A$5:$A$154,0))*1,"Falta tipo de confección (Moldes)")</f>
        <v>2000</v>
      </c>
      <c r="K28" s="16" t="str">
        <f aca="false">IFERROR(INDEX(Moldes!$E$5:$E$154,MATCH($C$4,Moldes!$A$5:$A$154,0))&amp;"","")</f>
        <v>Camiseta De Futbol</v>
      </c>
    </row>
    <row r="29" customFormat="false" ht="15" hidden="false" customHeight="false" outlineLevel="0" collapsed="false">
      <c r="B29" s="0" t="s">
        <v>21</v>
      </c>
      <c r="J29" s="11" t="n">
        <f aca="false">IFERROR(INDEX(Moldes!$N$5:$N$154,MATCH($C$4,Moldes!$A$5:$A$154,0))*1,0)</f>
        <v>0</v>
      </c>
      <c r="K29" s="16" t="str">
        <f aca="false">IFERROR(IF(INDEX(Moldes!$F$5:$F$154,MATCH($C$4,Moldes!$A$5:$A$154,0))&amp;""="","Sin avíos",INDEX(Moldes!$F$5:$F$154,MATCH($C$4,Moldes!$A$5:$A$154,0))&amp;" × "&amp;INDEX(Moldes!$G$5:$G$154,MATCH($C$4,Moldes!$A$5:$A$154,0))&amp;IF(INDEX(Moldes!$H$5:$H$154,MATCH($C$4,Moldes!$A$5:$A$154,0))&amp;""="",""," + "&amp;INDEX(Moldes!$H$5:$H$154,MATCH($C$4,Moldes!$A$5:$A$154,0))&amp;" × "&amp;INDEX(Moldes!$I$5:$I$154,MATCH($C$4,Moldes!$A$5:$A$154,0)))),"")</f>
        <v>Sin avíos</v>
      </c>
    </row>
    <row r="30" customFormat="false" ht="15" hidden="false" customHeight="false" outlineLevel="0" collapsed="false">
      <c r="B30" s="0" t="s">
        <v>22</v>
      </c>
      <c r="J30" s="17"/>
      <c r="K30" s="16" t="s">
        <v>23</v>
      </c>
    </row>
    <row r="31" customFormat="false" ht="16.15" hidden="false" customHeight="false" outlineLevel="0" collapsed="false">
      <c r="B31" s="18" t="s">
        <v>24</v>
      </c>
      <c r="C31" s="15"/>
      <c r="D31" s="15"/>
      <c r="E31" s="15"/>
      <c r="F31" s="15"/>
      <c r="G31" s="15"/>
      <c r="H31" s="15"/>
      <c r="I31" s="15"/>
      <c r="J31" s="19" t="str">
        <f aca="false">IFERROR(J26+J27+J28+J29+N(J30),"Completa los datos ↑")</f>
        <v>Completa los datos ↑</v>
      </c>
    </row>
    <row r="33" customFormat="false" ht="15" hidden="false" customHeight="false" outlineLevel="0" collapsed="false">
      <c r="B33" s="0" t="str">
        <f aca="false">"Precio mínimo de venta (neto) = costo × "&amp;TEXT(Precios!$Q$16,"0.00")&amp;"   (gastos generales "&amp;TEXT(Precios!$Q$14,"0.0%")&amp;" + ganancia "&amp;TEXT(Precios!$Q$15,"0%")&amp;")"</f>
        <v>Precio mínimo de venta (neto) = costo × 2.40   (gastos generales 43.4% + ganancia 15%)</v>
      </c>
      <c r="J33" s="12" t="str">
        <f aca="false">IF(ISNUMBER(J31),J31*Precios!$Q$16,"")</f>
        <v/>
      </c>
    </row>
    <row r="34" customFormat="false" ht="15" hidden="false" customHeight="false" outlineLevel="0" collapsed="false">
      <c r="B34" s="0" t="s">
        <v>25</v>
      </c>
      <c r="J34" s="17"/>
    </row>
    <row r="35" customFormat="false" ht="15" hidden="false" customHeight="false" outlineLevel="0" collapsed="false">
      <c r="B35" s="0" t="s">
        <v>26</v>
      </c>
      <c r="J35" s="20" t="str">
        <f aca="false">IF(AND(ISNUMBER(J31),N(J34)&gt;0),J34-J31-J34*Precios!$Q$14,"")</f>
        <v/>
      </c>
      <c r="K35" s="21" t="str">
        <f aca="false">IF(ISNUMBER(J35),TEXT(J35/J34,"0.0%")&amp;" del precio"&amp;IF(J35&lt;0,"  ← PIERDE PLATA",IF(J35/J34&lt;Precios!$Q$15,"  ← bajo la meta","")),"")</f>
        <v/>
      </c>
    </row>
    <row r="37" customFormat="false" ht="15" hidden="false" customHeight="false" outlineLevel="0" collapsed="false">
      <c r="B37" s="14" t="s">
        <v>27</v>
      </c>
      <c r="C37" s="15"/>
      <c r="D37" s="15"/>
      <c r="E37" s="15"/>
      <c r="F37" s="15"/>
      <c r="G37" s="15"/>
      <c r="H37" s="15"/>
      <c r="I37" s="15"/>
      <c r="J37" s="15"/>
    </row>
    <row r="38" customFormat="false" ht="15" hidden="false" customHeight="false" outlineLevel="0" collapsed="false">
      <c r="B38" s="6" t="s">
        <v>28</v>
      </c>
    </row>
    <row r="39" customFormat="false" ht="15" hidden="false" customHeight="false" outlineLevel="0" collapsed="false">
      <c r="B39" s="22" t="s">
        <v>29</v>
      </c>
      <c r="J39" s="10"/>
    </row>
    <row r="40" customFormat="false" ht="15" hidden="false" customHeight="false" outlineLevel="0" collapsed="false">
      <c r="B40" s="22" t="s">
        <v>30</v>
      </c>
      <c r="J40" s="23"/>
    </row>
    <row r="41" customFormat="false" ht="15" hidden="false" customHeight="false" outlineLevel="0" collapsed="false">
      <c r="B41" s="22" t="s">
        <v>31</v>
      </c>
      <c r="J41" s="24"/>
    </row>
    <row r="42" customFormat="false" ht="15" hidden="false" customHeight="false" outlineLevel="0" collapsed="false">
      <c r="B42" s="22" t="s">
        <v>32</v>
      </c>
      <c r="J42" s="9" t="str">
        <f aca="false">IFERROR(J41/INDEX(Precios!$E$5:$E$124,MATCH(J39,Precios!$A$5:$A$124,0))/J40,"")</f>
        <v/>
      </c>
    </row>
    <row r="43" customFormat="false" ht="15" hidden="false" customHeight="false" outlineLevel="0" collapsed="false">
      <c r="B43" s="22" t="s">
        <v>33</v>
      </c>
      <c r="J43" s="9" t="str">
        <f aca="false">IF(J39="","",SUMIF(F8:F23,J39,D8:D23)/(1+IFERROR(IF(ISNUMBER(INDEX(Moldes!$K$5:$K$154,MATCH($C$4,Moldes!$A$5:$A$154,0))),INDEX(Moldes!$K$5:$K$154,MATCH($C$4,Moldes!$A$5:$A$154,0)),Precios!$Q$12),Precios!$Q$12)))</f>
        <v/>
      </c>
    </row>
    <row r="44" customFormat="false" ht="15" hidden="false" customHeight="false" outlineLevel="0" collapsed="false">
      <c r="B44" s="21" t="s">
        <v>34</v>
      </c>
      <c r="J44" s="25" t="str">
        <f aca="false">IF(AND(ISNUMBER(J42),N(J43)&gt;0),J42/J43-1,"")</f>
        <v/>
      </c>
    </row>
    <row r="45" customFormat="false" ht="15" hidden="false" customHeight="false" outlineLevel="0" collapsed="false">
      <c r="B45" s="6" t="s">
        <v>35</v>
      </c>
    </row>
    <row r="47" customFormat="false" ht="15" hidden="false" customHeight="false" outlineLevel="0" collapsed="false">
      <c r="B47" s="6" t="s">
        <v>36</v>
      </c>
    </row>
  </sheetData>
  <mergeCells count="1">
    <mergeCell ref="C4:E4"/>
  </mergeCells>
  <dataValidations count="18">
    <dataValidation allowBlank="true" errorStyle="stop" operator="between" showDropDown="false" showErrorMessage="false" showInputMessage="false" sqref="C4" type="list">
      <formula1>Moldes!$A$5:$A$154</formula1>
      <formula2>0</formula2>
    </dataValidation>
    <dataValidation allowBlank="true" errorStyle="stop" operator="between" showDropDown="false" showErrorMessage="false" showInputMessage="false" sqref="E8" type="list">
      <formula1>Precios!$A$5:$A$124</formula1>
      <formula2>0</formula2>
    </dataValidation>
    <dataValidation allowBlank="true" errorStyle="stop" operator="between" showDropDown="false" showErrorMessage="false" showInputMessage="false" sqref="E9" type="list">
      <formula1>Precios!$A$5:$A$124</formula1>
      <formula2>0</formula2>
    </dataValidation>
    <dataValidation allowBlank="true" errorStyle="stop" operator="between" showDropDown="false" showErrorMessage="false" showInputMessage="false" sqref="E10" type="list">
      <formula1>Precios!$A$5:$A$124</formula1>
      <formula2>0</formula2>
    </dataValidation>
    <dataValidation allowBlank="true" errorStyle="stop" operator="between" showDropDown="false" showErrorMessage="false" showInputMessage="false" sqref="E11" type="list">
      <formula1>Precios!$A$5:$A$124</formula1>
      <formula2>0</formula2>
    </dataValidation>
    <dataValidation allowBlank="true" errorStyle="stop" operator="between" showDropDown="false" showErrorMessage="false" showInputMessage="false" sqref="E12" type="list">
      <formula1>Precios!$A$5:$A$124</formula1>
      <formula2>0</formula2>
    </dataValidation>
    <dataValidation allowBlank="true" errorStyle="stop" operator="between" showDropDown="false" showErrorMessage="false" showInputMessage="false" sqref="E13" type="list">
      <formula1>Precios!$A$5:$A$124</formula1>
      <formula2>0</formula2>
    </dataValidation>
    <dataValidation allowBlank="true" errorStyle="stop" operator="between" showDropDown="false" showErrorMessage="false" showInputMessage="false" sqref="E14" type="list">
      <formula1>Precios!$A$5:$A$124</formula1>
      <formula2>0</formula2>
    </dataValidation>
    <dataValidation allowBlank="true" errorStyle="stop" operator="between" showDropDown="false" showErrorMessage="false" showInputMessage="false" sqref="E15" type="list">
      <formula1>Precios!$A$5:$A$124</formula1>
      <formula2>0</formula2>
    </dataValidation>
    <dataValidation allowBlank="true" errorStyle="stop" operator="between" showDropDown="false" showErrorMessage="false" showInputMessage="false" sqref="E16" type="list">
      <formula1>Precios!$A$5:$A$124</formula1>
      <formula2>0</formula2>
    </dataValidation>
    <dataValidation allowBlank="true" errorStyle="stop" operator="between" showDropDown="false" showErrorMessage="false" showInputMessage="false" sqref="E17" type="list">
      <formula1>Precios!$A$5:$A$124</formula1>
      <formula2>0</formula2>
    </dataValidation>
    <dataValidation allowBlank="true" errorStyle="stop" operator="between" showDropDown="false" showErrorMessage="false" showInputMessage="false" sqref="E18" type="list">
      <formula1>Precios!$A$5:$A$124</formula1>
      <formula2>0</formula2>
    </dataValidation>
    <dataValidation allowBlank="true" errorStyle="stop" operator="between" showDropDown="false" showErrorMessage="false" showInputMessage="false" sqref="E19" type="list">
      <formula1>Precios!$A$5:$A$124</formula1>
      <formula2>0</formula2>
    </dataValidation>
    <dataValidation allowBlank="true" errorStyle="stop" operator="between" showDropDown="false" showErrorMessage="false" showInputMessage="false" sqref="E20" type="list">
      <formula1>Precios!$A$5:$A$124</formula1>
      <formula2>0</formula2>
    </dataValidation>
    <dataValidation allowBlank="true" errorStyle="stop" operator="between" showDropDown="false" showErrorMessage="false" showInputMessage="false" sqref="E21" type="list">
      <formula1>Precios!$A$5:$A$124</formula1>
      <formula2>0</formula2>
    </dataValidation>
    <dataValidation allowBlank="true" errorStyle="stop" operator="between" showDropDown="false" showErrorMessage="false" showInputMessage="false" sqref="E22" type="list">
      <formula1>Precios!$A$5:$A$124</formula1>
      <formula2>0</formula2>
    </dataValidation>
    <dataValidation allowBlank="true" errorStyle="stop" operator="between" showDropDown="false" showErrorMessage="false" showInputMessage="false" sqref="E23" type="list">
      <formula1>Precios!$A$5:$A$124</formula1>
      <formula2>0</formula2>
    </dataValidation>
    <dataValidation allowBlank="true" errorStyle="stop" operator="between" showDropDown="false" showErrorMessage="false" showInputMessage="false" sqref="J39" type="list">
      <formula1>Precios!$A$5:$A$124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9"/>
    <col collapsed="false" customWidth="true" hidden="false" outlineLevel="0" max="4" min="4" style="0" width="15"/>
    <col collapsed="false" customWidth="true" hidden="false" outlineLevel="0" max="5" min="5" style="0" width="30"/>
    <col collapsed="false" customWidth="true" hidden="false" outlineLevel="0" max="6" min="6" style="0" width="13"/>
    <col collapsed="false" customWidth="true" hidden="false" outlineLevel="0" max="7" min="7" style="0" width="6"/>
    <col collapsed="false" customWidth="true" hidden="false" outlineLevel="0" max="8" min="8" style="0" width="13"/>
    <col collapsed="false" customWidth="true" hidden="false" outlineLevel="0" max="9" min="9" style="0" width="6"/>
    <col collapsed="false" customWidth="true" hidden="false" outlineLevel="0" max="10" min="10" style="0" width="9"/>
    <col collapsed="false" customWidth="true" hidden="false" outlineLevel="0" max="11" min="11" style="0" width="16"/>
    <col collapsed="false" customWidth="true" hidden="false" outlineLevel="0" max="13" min="12" style="0" width="12"/>
    <col collapsed="false" customWidth="true" hidden="false" outlineLevel="0" max="14" min="14" style="0" width="10"/>
    <col collapsed="false" customWidth="true" hidden="false" outlineLevel="0" max="15" min="15" style="0" width="13"/>
    <col collapsed="false" customWidth="true" hidden="false" outlineLevel="0" max="16" min="16" style="0" width="40"/>
    <col collapsed="false" customWidth="true" hidden="false" outlineLevel="0" max="17" min="17" style="0" width="60"/>
  </cols>
  <sheetData>
    <row r="1" customFormat="false" ht="17.35" hidden="false" customHeight="false" outlineLevel="0" collapsed="false">
      <c r="A1" s="26" t="s">
        <v>37</v>
      </c>
    </row>
    <row r="2" customFormat="false" ht="15" hidden="false" customHeight="false" outlineLevel="0" collapsed="false">
      <c r="A2" s="2" t="s">
        <v>38</v>
      </c>
    </row>
    <row r="3" customFormat="false" ht="15" hidden="false" customHeight="false" outlineLevel="0" collapsed="false">
      <c r="A3" s="27" t="str">
        <f aca="false">"Moldes con costo completo: "&amp;COUNTIF(P5:P154,"Lista*")&amp;" de "&amp;COUNTA(A5:A154)</f>
        <v>Moldes con costo completo: 0 de 58</v>
      </c>
    </row>
    <row r="4" customFormat="false" ht="42" hidden="false" customHeight="true" outlineLevel="0" collapsed="false">
      <c r="A4" s="7" t="s">
        <v>39</v>
      </c>
      <c r="B4" s="7" t="s">
        <v>40</v>
      </c>
      <c r="C4" s="7" t="s">
        <v>41</v>
      </c>
      <c r="D4" s="7" t="s">
        <v>42</v>
      </c>
      <c r="E4" s="7" t="s">
        <v>43</v>
      </c>
      <c r="F4" s="7" t="s">
        <v>44</v>
      </c>
      <c r="G4" s="7" t="s">
        <v>7</v>
      </c>
      <c r="H4" s="7" t="s">
        <v>45</v>
      </c>
      <c r="I4" s="7" t="s">
        <v>7</v>
      </c>
      <c r="J4" s="7" t="s">
        <v>46</v>
      </c>
      <c r="K4" s="7" t="s">
        <v>47</v>
      </c>
      <c r="L4" s="7" t="s">
        <v>48</v>
      </c>
      <c r="M4" s="7" t="s">
        <v>49</v>
      </c>
      <c r="N4" s="7" t="s">
        <v>50</v>
      </c>
      <c r="O4" s="7" t="s">
        <v>51</v>
      </c>
      <c r="P4" s="7" t="s">
        <v>52</v>
      </c>
      <c r="Q4" s="7" t="s">
        <v>53</v>
      </c>
    </row>
    <row r="5" customFormat="false" ht="15" hidden="false" customHeight="false" outlineLevel="0" collapsed="false">
      <c r="A5" s="28" t="s">
        <v>54</v>
      </c>
      <c r="B5" s="28" t="s">
        <v>55</v>
      </c>
      <c r="C5" s="28" t="s">
        <v>56</v>
      </c>
      <c r="D5" s="28" t="s">
        <v>57</v>
      </c>
      <c r="E5" s="28" t="s">
        <v>58</v>
      </c>
      <c r="F5" s="10"/>
      <c r="G5" s="28"/>
      <c r="H5" s="10"/>
      <c r="I5" s="28"/>
      <c r="J5" s="8" t="n">
        <f aca="false">IF(A5="","",COUNTIF(Despiece!$A$5:$A$1004,A5))</f>
        <v>4</v>
      </c>
      <c r="K5" s="29"/>
      <c r="L5" s="11" t="str">
        <f aca="false">IF(A5="","",IF(COUNTIFS(Despiece!$A$5:$A$1004,A5,Despiece!$D$5:$D$1004,"&gt;0")&lt;J5,"",IF(COUNTIFS(Despiece!$A$5:$A$1004,A5,Despiece!$G$5:$G$1004,"falta*")&gt;0,"",SUMIFS(Despiece!$G$5:$G$1004,Despiece!$A$5:$A$1004,A5))))</f>
        <v/>
      </c>
      <c r="M5" s="11" t="n">
        <f aca="false">IF(OR(A5="",E5=""),"",IFERROR(INDEX(Precios!$K$5:$K$84,MATCH(E5,Precios!$J$5:$J$84,0)),""))</f>
        <v>2000</v>
      </c>
      <c r="N5" s="11" t="n">
        <f aca="false">IF(A5="","",IFERROR(N(G5)*IF(F5="",0,INDEX(Precios!$N$5:$N$64,MATCH(F5,Precios!$M$5:$M$64,0)))+N(I5)*IF(H5="",0,INDEX(Precios!$N$5:$N$64,MATCH(H5,Precios!$M$5:$M$64,0))),""))</f>
        <v>0</v>
      </c>
      <c r="O5" s="12" t="str">
        <f aca="false">IF(A5="","",IFERROR(L5+M5+N5,""))</f>
        <v/>
      </c>
      <c r="P5" s="30" t="str">
        <f aca="false">IF(A5="","",IF(ISNUMBER(O5),"Lista"&amp;IF(N(Precios!$Q$10)=0," (impresión en $0)",""),IF(J5=0,"Agregar piezas en Despiece. ",IF(COUNTIFS(Despiece!$A$5:$A$1004,A5,Despiece!$D$5:$D$1004,"&gt;0")&lt;J5,"Metros de "&amp;(J5-COUNTIFS(Despiece!$A$5:$A$1004,A5,Despiece!$D$5:$D$1004,"&gt;0"))&amp;" pieza(s). ",""))&amp;IF(COUNTIFS(Despiece!$A$5:$A$1004,A5,Despiece!$G$5:$G$1004,"falta*")&gt;0,"Precio o peso de 1 m de alguna tela. ","")&amp;IF(M5="","Tipo/precio de confección. ","")))</f>
        <v>Metros de 4 pieza(s). </v>
      </c>
      <c r="Q5" s="28"/>
    </row>
    <row r="6" customFormat="false" ht="15" hidden="false" customHeight="false" outlineLevel="0" collapsed="false">
      <c r="A6" s="28" t="s">
        <v>59</v>
      </c>
      <c r="B6" s="28" t="s">
        <v>55</v>
      </c>
      <c r="C6" s="28" t="s">
        <v>56</v>
      </c>
      <c r="D6" s="28" t="s">
        <v>60</v>
      </c>
      <c r="E6" s="28" t="s">
        <v>58</v>
      </c>
      <c r="F6" s="10"/>
      <c r="G6" s="28"/>
      <c r="H6" s="10"/>
      <c r="I6" s="28"/>
      <c r="J6" s="8" t="n">
        <f aca="false">IF(A6="","",COUNTIF(Despiece!$A$5:$A$1004,A6))</f>
        <v>4</v>
      </c>
      <c r="K6" s="29"/>
      <c r="L6" s="11" t="str">
        <f aca="false">IF(A6="","",IF(COUNTIFS(Despiece!$A$5:$A$1004,A6,Despiece!$D$5:$D$1004,"&gt;0")&lt;J6,"",IF(COUNTIFS(Despiece!$A$5:$A$1004,A6,Despiece!$G$5:$G$1004,"falta*")&gt;0,"",SUMIFS(Despiece!$G$5:$G$1004,Despiece!$A$5:$A$1004,A6))))</f>
        <v/>
      </c>
      <c r="M6" s="11" t="n">
        <f aca="false">IF(OR(A6="",E6=""),"",IFERROR(INDEX(Precios!$K$5:$K$84,MATCH(E6,Precios!$J$5:$J$84,0)),""))</f>
        <v>2000</v>
      </c>
      <c r="N6" s="11" t="n">
        <f aca="false">IF(A6="","",IFERROR(N(G6)*IF(F6="",0,INDEX(Precios!$N$5:$N$64,MATCH(F6,Precios!$M$5:$M$64,0)))+N(I6)*IF(H6="",0,INDEX(Precios!$N$5:$N$64,MATCH(H6,Precios!$M$5:$M$64,0))),""))</f>
        <v>0</v>
      </c>
      <c r="O6" s="12" t="str">
        <f aca="false">IF(A6="","",IFERROR(L6+M6+N6,""))</f>
        <v/>
      </c>
      <c r="P6" s="30" t="str">
        <f aca="false">IF(A6="","",IF(ISNUMBER(O6),"Lista"&amp;IF(N(Precios!$Q$10)=0," (impresión en $0)",""),IF(J6=0,"Agregar piezas en Despiece. ",IF(COUNTIFS(Despiece!$A$5:$A$1004,A6,Despiece!$D$5:$D$1004,"&gt;0")&lt;J6,"Metros de "&amp;(J6-COUNTIFS(Despiece!$A$5:$A$1004,A6,Despiece!$D$5:$D$1004,"&gt;0"))&amp;" pieza(s). ",""))&amp;IF(COUNTIFS(Despiece!$A$5:$A$1004,A6,Despiece!$G$5:$G$1004,"falta*")&gt;0,"Precio o peso de 1 m de alguna tela. ","")&amp;IF(M6="","Tipo/precio de confección. ","")))</f>
        <v>Metros de 4 pieza(s). </v>
      </c>
      <c r="Q6" s="28"/>
    </row>
    <row r="7" customFormat="false" ht="15" hidden="false" customHeight="false" outlineLevel="0" collapsed="false">
      <c r="A7" s="28" t="s">
        <v>61</v>
      </c>
      <c r="B7" s="28" t="s">
        <v>62</v>
      </c>
      <c r="C7" s="28" t="s">
        <v>56</v>
      </c>
      <c r="D7" s="28" t="s">
        <v>63</v>
      </c>
      <c r="E7" s="28" t="s">
        <v>58</v>
      </c>
      <c r="F7" s="10"/>
      <c r="G7" s="28"/>
      <c r="H7" s="10"/>
      <c r="I7" s="28"/>
      <c r="J7" s="8" t="n">
        <f aca="false">IF(A7="","",COUNTIF(Despiece!$A$5:$A$1004,A7))</f>
        <v>4</v>
      </c>
      <c r="K7" s="29"/>
      <c r="L7" s="11" t="str">
        <f aca="false">IF(A7="","",IF(COUNTIFS(Despiece!$A$5:$A$1004,A7,Despiece!$D$5:$D$1004,"&gt;0")&lt;J7,"",IF(COUNTIFS(Despiece!$A$5:$A$1004,A7,Despiece!$G$5:$G$1004,"falta*")&gt;0,"",SUMIFS(Despiece!$G$5:$G$1004,Despiece!$A$5:$A$1004,A7))))</f>
        <v/>
      </c>
      <c r="M7" s="11" t="n">
        <f aca="false">IF(OR(A7="",E7=""),"",IFERROR(INDEX(Precios!$K$5:$K$84,MATCH(E7,Precios!$J$5:$J$84,0)),""))</f>
        <v>2000</v>
      </c>
      <c r="N7" s="11" t="n">
        <f aca="false">IF(A7="","",IFERROR(N(G7)*IF(F7="",0,INDEX(Precios!$N$5:$N$64,MATCH(F7,Precios!$M$5:$M$64,0)))+N(I7)*IF(H7="",0,INDEX(Precios!$N$5:$N$64,MATCH(H7,Precios!$M$5:$M$64,0))),""))</f>
        <v>0</v>
      </c>
      <c r="O7" s="12" t="str">
        <f aca="false">IF(A7="","",IFERROR(L7+M7+N7,""))</f>
        <v/>
      </c>
      <c r="P7" s="30" t="str">
        <f aca="false">IF(A7="","",IF(ISNUMBER(O7),"Lista"&amp;IF(N(Precios!$Q$10)=0," (impresión en $0)",""),IF(J7=0,"Agregar piezas en Despiece. ",IF(COUNTIFS(Despiece!$A$5:$A$1004,A7,Despiece!$D$5:$D$1004,"&gt;0")&lt;J7,"Metros de "&amp;(J7-COUNTIFS(Despiece!$A$5:$A$1004,A7,Despiece!$D$5:$D$1004,"&gt;0"))&amp;" pieza(s). ",""))&amp;IF(COUNTIFS(Despiece!$A$5:$A$1004,A7,Despiece!$G$5:$G$1004,"falta*")&gt;0,"Precio o peso de 1 m de alguna tela. ","")&amp;IF(M7="","Tipo/precio de confección. ","")))</f>
        <v>Metros de 4 pieza(s). </v>
      </c>
      <c r="Q7" s="28"/>
    </row>
    <row r="8" customFormat="false" ht="15" hidden="false" customHeight="false" outlineLevel="0" collapsed="false">
      <c r="A8" s="28" t="s">
        <v>64</v>
      </c>
      <c r="B8" s="28" t="s">
        <v>62</v>
      </c>
      <c r="C8" s="28" t="s">
        <v>56</v>
      </c>
      <c r="D8" s="28" t="s">
        <v>65</v>
      </c>
      <c r="E8" s="28" t="s">
        <v>58</v>
      </c>
      <c r="F8" s="10"/>
      <c r="G8" s="28"/>
      <c r="H8" s="10"/>
      <c r="I8" s="28"/>
      <c r="J8" s="8" t="n">
        <f aca="false">IF(A8="","",COUNTIF(Despiece!$A$5:$A$1004,A8))</f>
        <v>4</v>
      </c>
      <c r="K8" s="29"/>
      <c r="L8" s="11" t="str">
        <f aca="false">IF(A8="","",IF(COUNTIFS(Despiece!$A$5:$A$1004,A8,Despiece!$D$5:$D$1004,"&gt;0")&lt;J8,"",IF(COUNTIFS(Despiece!$A$5:$A$1004,A8,Despiece!$G$5:$G$1004,"falta*")&gt;0,"",SUMIFS(Despiece!$G$5:$G$1004,Despiece!$A$5:$A$1004,A8))))</f>
        <v/>
      </c>
      <c r="M8" s="11" t="n">
        <f aca="false">IF(OR(A8="",E8=""),"",IFERROR(INDEX(Precios!$K$5:$K$84,MATCH(E8,Precios!$J$5:$J$84,0)),""))</f>
        <v>2000</v>
      </c>
      <c r="N8" s="11" t="n">
        <f aca="false">IF(A8="","",IFERROR(N(G8)*IF(F8="",0,INDEX(Precios!$N$5:$N$64,MATCH(F8,Precios!$M$5:$M$64,0)))+N(I8)*IF(H8="",0,INDEX(Precios!$N$5:$N$64,MATCH(H8,Precios!$M$5:$M$64,0))),""))</f>
        <v>0</v>
      </c>
      <c r="O8" s="12" t="str">
        <f aca="false">IF(A8="","",IFERROR(L8+M8+N8,""))</f>
        <v/>
      </c>
      <c r="P8" s="30" t="str">
        <f aca="false">IF(A8="","",IF(ISNUMBER(O8),"Lista"&amp;IF(N(Precios!$Q$10)=0," (impresión en $0)",""),IF(J8=0,"Agregar piezas en Despiece. ",IF(COUNTIFS(Despiece!$A$5:$A$1004,A8,Despiece!$D$5:$D$1004,"&gt;0")&lt;J8,"Metros de "&amp;(J8-COUNTIFS(Despiece!$A$5:$A$1004,A8,Despiece!$D$5:$D$1004,"&gt;0"))&amp;" pieza(s). ",""))&amp;IF(COUNTIFS(Despiece!$A$5:$A$1004,A8,Despiece!$G$5:$G$1004,"falta*")&gt;0,"Precio o peso de 1 m de alguna tela. ","")&amp;IF(M8="","Tipo/precio de confección. ","")))</f>
        <v>Metros de 4 pieza(s). </v>
      </c>
      <c r="Q8" s="28" t="s">
        <v>66</v>
      </c>
    </row>
    <row r="9" customFormat="false" ht="15" hidden="false" customHeight="false" outlineLevel="0" collapsed="false">
      <c r="A9" s="28" t="s">
        <v>67</v>
      </c>
      <c r="B9" s="28" t="s">
        <v>68</v>
      </c>
      <c r="C9" s="28" t="s">
        <v>56</v>
      </c>
      <c r="D9" s="28" t="s">
        <v>57</v>
      </c>
      <c r="E9" s="28" t="s">
        <v>58</v>
      </c>
      <c r="F9" s="10"/>
      <c r="G9" s="28"/>
      <c r="H9" s="10"/>
      <c r="I9" s="28"/>
      <c r="J9" s="8" t="n">
        <f aca="false">IF(A9="","",COUNTIF(Despiece!$A$5:$A$1004,A9))</f>
        <v>4</v>
      </c>
      <c r="K9" s="29"/>
      <c r="L9" s="11" t="str">
        <f aca="false">IF(A9="","",IF(COUNTIFS(Despiece!$A$5:$A$1004,A9,Despiece!$D$5:$D$1004,"&gt;0")&lt;J9,"",IF(COUNTIFS(Despiece!$A$5:$A$1004,A9,Despiece!$G$5:$G$1004,"falta*")&gt;0,"",SUMIFS(Despiece!$G$5:$G$1004,Despiece!$A$5:$A$1004,A9))))</f>
        <v/>
      </c>
      <c r="M9" s="11" t="n">
        <f aca="false">IF(OR(A9="",E9=""),"",IFERROR(INDEX(Precios!$K$5:$K$84,MATCH(E9,Precios!$J$5:$J$84,0)),""))</f>
        <v>2000</v>
      </c>
      <c r="N9" s="11" t="n">
        <f aca="false">IF(A9="","",IFERROR(N(G9)*IF(F9="",0,INDEX(Precios!$N$5:$N$64,MATCH(F9,Precios!$M$5:$M$64,0)))+N(I9)*IF(H9="",0,INDEX(Precios!$N$5:$N$64,MATCH(H9,Precios!$M$5:$M$64,0))),""))</f>
        <v>0</v>
      </c>
      <c r="O9" s="12" t="str">
        <f aca="false">IF(A9="","",IFERROR(L9+M9+N9,""))</f>
        <v/>
      </c>
      <c r="P9" s="30" t="str">
        <f aca="false">IF(A9="","",IF(ISNUMBER(O9),"Lista"&amp;IF(N(Precios!$Q$10)=0," (impresión en $0)",""),IF(J9=0,"Agregar piezas en Despiece. ",IF(COUNTIFS(Despiece!$A$5:$A$1004,A9,Despiece!$D$5:$D$1004,"&gt;0")&lt;J9,"Metros de "&amp;(J9-COUNTIFS(Despiece!$A$5:$A$1004,A9,Despiece!$D$5:$D$1004,"&gt;0"))&amp;" pieza(s). ",""))&amp;IF(COUNTIFS(Despiece!$A$5:$A$1004,A9,Despiece!$G$5:$G$1004,"falta*")&gt;0,"Precio o peso de 1 m de alguna tela. ","")&amp;IF(M9="","Tipo/precio de confección. ","")))</f>
        <v>Metros de 4 pieza(s). </v>
      </c>
      <c r="Q9" s="28"/>
    </row>
    <row r="10" customFormat="false" ht="15" hidden="false" customHeight="false" outlineLevel="0" collapsed="false">
      <c r="A10" s="28" t="s">
        <v>69</v>
      </c>
      <c r="B10" s="28" t="s">
        <v>68</v>
      </c>
      <c r="C10" s="28" t="s">
        <v>56</v>
      </c>
      <c r="D10" s="28" t="s">
        <v>60</v>
      </c>
      <c r="E10" s="28" t="s">
        <v>58</v>
      </c>
      <c r="F10" s="10"/>
      <c r="G10" s="28"/>
      <c r="H10" s="10"/>
      <c r="I10" s="28"/>
      <c r="J10" s="8" t="n">
        <f aca="false">IF(A10="","",COUNTIF(Despiece!$A$5:$A$1004,A10))</f>
        <v>4</v>
      </c>
      <c r="K10" s="29"/>
      <c r="L10" s="11" t="str">
        <f aca="false">IF(A10="","",IF(COUNTIFS(Despiece!$A$5:$A$1004,A10,Despiece!$D$5:$D$1004,"&gt;0")&lt;J10,"",IF(COUNTIFS(Despiece!$A$5:$A$1004,A10,Despiece!$G$5:$G$1004,"falta*")&gt;0,"",SUMIFS(Despiece!$G$5:$G$1004,Despiece!$A$5:$A$1004,A10))))</f>
        <v/>
      </c>
      <c r="M10" s="11" t="n">
        <f aca="false">IF(OR(A10="",E10=""),"",IFERROR(INDEX(Precios!$K$5:$K$84,MATCH(E10,Precios!$J$5:$J$84,0)),""))</f>
        <v>2000</v>
      </c>
      <c r="N10" s="11" t="n">
        <f aca="false">IF(A10="","",IFERROR(N(G10)*IF(F10="",0,INDEX(Precios!$N$5:$N$64,MATCH(F10,Precios!$M$5:$M$64,0)))+N(I10)*IF(H10="",0,INDEX(Precios!$N$5:$N$64,MATCH(H10,Precios!$M$5:$M$64,0))),""))</f>
        <v>0</v>
      </c>
      <c r="O10" s="12" t="str">
        <f aca="false">IF(A10="","",IFERROR(L10+M10+N10,""))</f>
        <v/>
      </c>
      <c r="P10" s="30" t="str">
        <f aca="false">IF(A10="","",IF(ISNUMBER(O10),"Lista"&amp;IF(N(Precios!$Q$10)=0," (impresión en $0)",""),IF(J10=0,"Agregar piezas en Despiece. ",IF(COUNTIFS(Despiece!$A$5:$A$1004,A10,Despiece!$D$5:$D$1004,"&gt;0")&lt;J10,"Metros de "&amp;(J10-COUNTIFS(Despiece!$A$5:$A$1004,A10,Despiece!$D$5:$D$1004,"&gt;0"))&amp;" pieza(s). ",""))&amp;IF(COUNTIFS(Despiece!$A$5:$A$1004,A10,Despiece!$G$5:$G$1004,"falta*")&gt;0,"Precio o peso de 1 m de alguna tela. ","")&amp;IF(M10="","Tipo/precio de confección. ","")))</f>
        <v>Metros de 4 pieza(s). </v>
      </c>
      <c r="Q10" s="28"/>
    </row>
    <row r="11" customFormat="false" ht="15" hidden="false" customHeight="false" outlineLevel="0" collapsed="false">
      <c r="A11" s="28" t="s">
        <v>70</v>
      </c>
      <c r="B11" s="28" t="s">
        <v>71</v>
      </c>
      <c r="C11" s="28" t="s">
        <v>56</v>
      </c>
      <c r="D11" s="28" t="s">
        <v>63</v>
      </c>
      <c r="E11" s="28" t="s">
        <v>58</v>
      </c>
      <c r="F11" s="10"/>
      <c r="G11" s="28"/>
      <c r="H11" s="10"/>
      <c r="I11" s="28"/>
      <c r="J11" s="8" t="n">
        <f aca="false">IF(A11="","",COUNTIF(Despiece!$A$5:$A$1004,A11))</f>
        <v>4</v>
      </c>
      <c r="K11" s="29"/>
      <c r="L11" s="11" t="str">
        <f aca="false">IF(A11="","",IF(COUNTIFS(Despiece!$A$5:$A$1004,A11,Despiece!$D$5:$D$1004,"&gt;0")&lt;J11,"",IF(COUNTIFS(Despiece!$A$5:$A$1004,A11,Despiece!$G$5:$G$1004,"falta*")&gt;0,"",SUMIFS(Despiece!$G$5:$G$1004,Despiece!$A$5:$A$1004,A11))))</f>
        <v/>
      </c>
      <c r="M11" s="11" t="n">
        <f aca="false">IF(OR(A11="",E11=""),"",IFERROR(INDEX(Precios!$K$5:$K$84,MATCH(E11,Precios!$J$5:$J$84,0)),""))</f>
        <v>2000</v>
      </c>
      <c r="N11" s="11" t="n">
        <f aca="false">IF(A11="","",IFERROR(N(G11)*IF(F11="",0,INDEX(Precios!$N$5:$N$64,MATCH(F11,Precios!$M$5:$M$64,0)))+N(I11)*IF(H11="",0,INDEX(Precios!$N$5:$N$64,MATCH(H11,Precios!$M$5:$M$64,0))),""))</f>
        <v>0</v>
      </c>
      <c r="O11" s="12" t="str">
        <f aca="false">IF(A11="","",IFERROR(L11+M11+N11,""))</f>
        <v/>
      </c>
      <c r="P11" s="30" t="str">
        <f aca="false">IF(A11="","",IF(ISNUMBER(O11),"Lista"&amp;IF(N(Precios!$Q$10)=0," (impresión en $0)",""),IF(J11=0,"Agregar piezas en Despiece. ",IF(COUNTIFS(Despiece!$A$5:$A$1004,A11,Despiece!$D$5:$D$1004,"&gt;0")&lt;J11,"Metros de "&amp;(J11-COUNTIFS(Despiece!$A$5:$A$1004,A11,Despiece!$D$5:$D$1004,"&gt;0"))&amp;" pieza(s). ",""))&amp;IF(COUNTIFS(Despiece!$A$5:$A$1004,A11,Despiece!$G$5:$G$1004,"falta*")&gt;0,"Precio o peso de 1 m de alguna tela. ","")&amp;IF(M11="","Tipo/precio de confección. ","")))</f>
        <v>Metros de 4 pieza(s). </v>
      </c>
      <c r="Q11" s="28"/>
    </row>
    <row r="12" customFormat="false" ht="15" hidden="false" customHeight="false" outlineLevel="0" collapsed="false">
      <c r="A12" s="28" t="s">
        <v>72</v>
      </c>
      <c r="B12" s="28" t="s">
        <v>71</v>
      </c>
      <c r="C12" s="28" t="s">
        <v>56</v>
      </c>
      <c r="D12" s="28" t="s">
        <v>65</v>
      </c>
      <c r="E12" s="28" t="s">
        <v>58</v>
      </c>
      <c r="F12" s="10"/>
      <c r="G12" s="28"/>
      <c r="H12" s="10"/>
      <c r="I12" s="28"/>
      <c r="J12" s="8" t="n">
        <f aca="false">IF(A12="","",COUNTIF(Despiece!$A$5:$A$1004,A12))</f>
        <v>4</v>
      </c>
      <c r="K12" s="29"/>
      <c r="L12" s="11" t="str">
        <f aca="false">IF(A12="","",IF(COUNTIFS(Despiece!$A$5:$A$1004,A12,Despiece!$D$5:$D$1004,"&gt;0")&lt;J12,"",IF(COUNTIFS(Despiece!$A$5:$A$1004,A12,Despiece!$G$5:$G$1004,"falta*")&gt;0,"",SUMIFS(Despiece!$G$5:$G$1004,Despiece!$A$5:$A$1004,A12))))</f>
        <v/>
      </c>
      <c r="M12" s="11" t="n">
        <f aca="false">IF(OR(A12="",E12=""),"",IFERROR(INDEX(Precios!$K$5:$K$84,MATCH(E12,Precios!$J$5:$J$84,0)),""))</f>
        <v>2000</v>
      </c>
      <c r="N12" s="11" t="n">
        <f aca="false">IF(A12="","",IFERROR(N(G12)*IF(F12="",0,INDEX(Precios!$N$5:$N$64,MATCH(F12,Precios!$M$5:$M$64,0)))+N(I12)*IF(H12="",0,INDEX(Precios!$N$5:$N$64,MATCH(H12,Precios!$M$5:$M$64,0))),""))</f>
        <v>0</v>
      </c>
      <c r="O12" s="12" t="str">
        <f aca="false">IF(A12="","",IFERROR(L12+M12+N12,""))</f>
        <v/>
      </c>
      <c r="P12" s="30" t="str">
        <f aca="false">IF(A12="","",IF(ISNUMBER(O12),"Lista"&amp;IF(N(Precios!$Q$10)=0," (impresión en $0)",""),IF(J12=0,"Agregar piezas en Despiece. ",IF(COUNTIFS(Despiece!$A$5:$A$1004,A12,Despiece!$D$5:$D$1004,"&gt;0")&lt;J12,"Metros de "&amp;(J12-COUNTIFS(Despiece!$A$5:$A$1004,A12,Despiece!$D$5:$D$1004,"&gt;0"))&amp;" pieza(s). ",""))&amp;IF(COUNTIFS(Despiece!$A$5:$A$1004,A12,Despiece!$G$5:$G$1004,"falta*")&gt;0,"Precio o peso de 1 m de alguna tela. ","")&amp;IF(M12="","Tipo/precio de confección. ","")))</f>
        <v>Metros de 4 pieza(s). </v>
      </c>
      <c r="Q12" s="28"/>
    </row>
    <row r="13" customFormat="false" ht="15" hidden="false" customHeight="false" outlineLevel="0" collapsed="false">
      <c r="A13" s="28" t="s">
        <v>73</v>
      </c>
      <c r="B13" s="28" t="s">
        <v>74</v>
      </c>
      <c r="C13" s="28" t="s">
        <v>56</v>
      </c>
      <c r="D13" s="28" t="s">
        <v>57</v>
      </c>
      <c r="E13" s="28" t="s">
        <v>58</v>
      </c>
      <c r="F13" s="10"/>
      <c r="G13" s="28"/>
      <c r="H13" s="10"/>
      <c r="I13" s="28"/>
      <c r="J13" s="8" t="n">
        <f aca="false">IF(A13="","",COUNTIF(Despiece!$A$5:$A$1004,A13))</f>
        <v>4</v>
      </c>
      <c r="K13" s="29"/>
      <c r="L13" s="11" t="str">
        <f aca="false">IF(A13="","",IF(COUNTIFS(Despiece!$A$5:$A$1004,A13,Despiece!$D$5:$D$1004,"&gt;0")&lt;J13,"",IF(COUNTIFS(Despiece!$A$5:$A$1004,A13,Despiece!$G$5:$G$1004,"falta*")&gt;0,"",SUMIFS(Despiece!$G$5:$G$1004,Despiece!$A$5:$A$1004,A13))))</f>
        <v/>
      </c>
      <c r="M13" s="11" t="n">
        <f aca="false">IF(OR(A13="",E13=""),"",IFERROR(INDEX(Precios!$K$5:$K$84,MATCH(E13,Precios!$J$5:$J$84,0)),""))</f>
        <v>2000</v>
      </c>
      <c r="N13" s="11" t="n">
        <f aca="false">IF(A13="","",IFERROR(N(G13)*IF(F13="",0,INDEX(Precios!$N$5:$N$64,MATCH(F13,Precios!$M$5:$M$64,0)))+N(I13)*IF(H13="",0,INDEX(Precios!$N$5:$N$64,MATCH(H13,Precios!$M$5:$M$64,0))),""))</f>
        <v>0</v>
      </c>
      <c r="O13" s="12" t="str">
        <f aca="false">IF(A13="","",IFERROR(L13+M13+N13,""))</f>
        <v/>
      </c>
      <c r="P13" s="30" t="str">
        <f aca="false">IF(A13="","",IF(ISNUMBER(O13),"Lista"&amp;IF(N(Precios!$Q$10)=0," (impresión en $0)",""),IF(J13=0,"Agregar piezas en Despiece. ",IF(COUNTIFS(Despiece!$A$5:$A$1004,A13,Despiece!$D$5:$D$1004,"&gt;0")&lt;J13,"Metros de "&amp;(J13-COUNTIFS(Despiece!$A$5:$A$1004,A13,Despiece!$D$5:$D$1004,"&gt;0"))&amp;" pieza(s). ",""))&amp;IF(COUNTIFS(Despiece!$A$5:$A$1004,A13,Despiece!$G$5:$G$1004,"falta*")&gt;0,"Precio o peso de 1 m de alguna tela. ","")&amp;IF(M13="","Tipo/precio de confección. ","")))</f>
        <v>Metros de 4 pieza(s). </v>
      </c>
      <c r="Q13" s="28"/>
    </row>
    <row r="14" customFormat="false" ht="15" hidden="false" customHeight="false" outlineLevel="0" collapsed="false">
      <c r="A14" s="28" t="s">
        <v>75</v>
      </c>
      <c r="B14" s="28" t="s">
        <v>74</v>
      </c>
      <c r="C14" s="28" t="s">
        <v>56</v>
      </c>
      <c r="D14" s="28" t="s">
        <v>60</v>
      </c>
      <c r="E14" s="28" t="s">
        <v>58</v>
      </c>
      <c r="F14" s="10"/>
      <c r="G14" s="28"/>
      <c r="H14" s="10"/>
      <c r="I14" s="28"/>
      <c r="J14" s="8" t="n">
        <f aca="false">IF(A14="","",COUNTIF(Despiece!$A$5:$A$1004,A14))</f>
        <v>4</v>
      </c>
      <c r="K14" s="29"/>
      <c r="L14" s="11" t="str">
        <f aca="false">IF(A14="","",IF(COUNTIFS(Despiece!$A$5:$A$1004,A14,Despiece!$D$5:$D$1004,"&gt;0")&lt;J14,"",IF(COUNTIFS(Despiece!$A$5:$A$1004,A14,Despiece!$G$5:$G$1004,"falta*")&gt;0,"",SUMIFS(Despiece!$G$5:$G$1004,Despiece!$A$5:$A$1004,A14))))</f>
        <v/>
      </c>
      <c r="M14" s="11" t="n">
        <f aca="false">IF(OR(A14="",E14=""),"",IFERROR(INDEX(Precios!$K$5:$K$84,MATCH(E14,Precios!$J$5:$J$84,0)),""))</f>
        <v>2000</v>
      </c>
      <c r="N14" s="11" t="n">
        <f aca="false">IF(A14="","",IFERROR(N(G14)*IF(F14="",0,INDEX(Precios!$N$5:$N$64,MATCH(F14,Precios!$M$5:$M$64,0)))+N(I14)*IF(H14="",0,INDEX(Precios!$N$5:$N$64,MATCH(H14,Precios!$M$5:$M$64,0))),""))</f>
        <v>0</v>
      </c>
      <c r="O14" s="12" t="str">
        <f aca="false">IF(A14="","",IFERROR(L14+M14+N14,""))</f>
        <v/>
      </c>
      <c r="P14" s="30" t="str">
        <f aca="false">IF(A14="","",IF(ISNUMBER(O14),"Lista"&amp;IF(N(Precios!$Q$10)=0," (impresión en $0)",""),IF(J14=0,"Agregar piezas en Despiece. ",IF(COUNTIFS(Despiece!$A$5:$A$1004,A14,Despiece!$D$5:$D$1004,"&gt;0")&lt;J14,"Metros de "&amp;(J14-COUNTIFS(Despiece!$A$5:$A$1004,A14,Despiece!$D$5:$D$1004,"&gt;0"))&amp;" pieza(s). ",""))&amp;IF(COUNTIFS(Despiece!$A$5:$A$1004,A14,Despiece!$G$5:$G$1004,"falta*")&gt;0,"Precio o peso de 1 m de alguna tela. ","")&amp;IF(M14="","Tipo/precio de confección. ","")))</f>
        <v>Metros de 4 pieza(s). </v>
      </c>
      <c r="Q14" s="28"/>
    </row>
    <row r="15" customFormat="false" ht="15" hidden="false" customHeight="false" outlineLevel="0" collapsed="false">
      <c r="A15" s="28" t="s">
        <v>76</v>
      </c>
      <c r="B15" s="28" t="s">
        <v>77</v>
      </c>
      <c r="C15" s="28" t="s">
        <v>56</v>
      </c>
      <c r="D15" s="28" t="s">
        <v>63</v>
      </c>
      <c r="E15" s="28" t="s">
        <v>58</v>
      </c>
      <c r="F15" s="10"/>
      <c r="G15" s="28"/>
      <c r="H15" s="10"/>
      <c r="I15" s="28"/>
      <c r="J15" s="8" t="n">
        <f aca="false">IF(A15="","",COUNTIF(Despiece!$A$5:$A$1004,A15))</f>
        <v>4</v>
      </c>
      <c r="K15" s="29"/>
      <c r="L15" s="11" t="str">
        <f aca="false">IF(A15="","",IF(COUNTIFS(Despiece!$A$5:$A$1004,A15,Despiece!$D$5:$D$1004,"&gt;0")&lt;J15,"",IF(COUNTIFS(Despiece!$A$5:$A$1004,A15,Despiece!$G$5:$G$1004,"falta*")&gt;0,"",SUMIFS(Despiece!$G$5:$G$1004,Despiece!$A$5:$A$1004,A15))))</f>
        <v/>
      </c>
      <c r="M15" s="11" t="n">
        <f aca="false">IF(OR(A15="",E15=""),"",IFERROR(INDEX(Precios!$K$5:$K$84,MATCH(E15,Precios!$J$5:$J$84,0)),""))</f>
        <v>2000</v>
      </c>
      <c r="N15" s="11" t="n">
        <f aca="false">IF(A15="","",IFERROR(N(G15)*IF(F15="",0,INDEX(Precios!$N$5:$N$64,MATCH(F15,Precios!$M$5:$M$64,0)))+N(I15)*IF(H15="",0,INDEX(Precios!$N$5:$N$64,MATCH(H15,Precios!$M$5:$M$64,0))),""))</f>
        <v>0</v>
      </c>
      <c r="O15" s="12" t="str">
        <f aca="false">IF(A15="","",IFERROR(L15+M15+N15,""))</f>
        <v/>
      </c>
      <c r="P15" s="30" t="str">
        <f aca="false">IF(A15="","",IF(ISNUMBER(O15),"Lista"&amp;IF(N(Precios!$Q$10)=0," (impresión en $0)",""),IF(J15=0,"Agregar piezas en Despiece. ",IF(COUNTIFS(Despiece!$A$5:$A$1004,A15,Despiece!$D$5:$D$1004,"&gt;0")&lt;J15,"Metros de "&amp;(J15-COUNTIFS(Despiece!$A$5:$A$1004,A15,Despiece!$D$5:$D$1004,"&gt;0"))&amp;" pieza(s). ",""))&amp;IF(COUNTIFS(Despiece!$A$5:$A$1004,A15,Despiece!$G$5:$G$1004,"falta*")&gt;0,"Precio o peso de 1 m de alguna tela. ","")&amp;IF(M15="","Tipo/precio de confección. ","")))</f>
        <v>Metros de 4 pieza(s). </v>
      </c>
      <c r="Q15" s="28"/>
    </row>
    <row r="16" customFormat="false" ht="15" hidden="false" customHeight="false" outlineLevel="0" collapsed="false">
      <c r="A16" s="28" t="s">
        <v>78</v>
      </c>
      <c r="B16" s="28" t="s">
        <v>77</v>
      </c>
      <c r="C16" s="28" t="s">
        <v>56</v>
      </c>
      <c r="D16" s="28" t="s">
        <v>65</v>
      </c>
      <c r="E16" s="28" t="s">
        <v>58</v>
      </c>
      <c r="F16" s="10"/>
      <c r="G16" s="28"/>
      <c r="H16" s="10"/>
      <c r="I16" s="28"/>
      <c r="J16" s="8" t="n">
        <f aca="false">IF(A16="","",COUNTIF(Despiece!$A$5:$A$1004,A16))</f>
        <v>4</v>
      </c>
      <c r="K16" s="29"/>
      <c r="L16" s="11" t="str">
        <f aca="false">IF(A16="","",IF(COUNTIFS(Despiece!$A$5:$A$1004,A16,Despiece!$D$5:$D$1004,"&gt;0")&lt;J16,"",IF(COUNTIFS(Despiece!$A$5:$A$1004,A16,Despiece!$G$5:$G$1004,"falta*")&gt;0,"",SUMIFS(Despiece!$G$5:$G$1004,Despiece!$A$5:$A$1004,A16))))</f>
        <v/>
      </c>
      <c r="M16" s="11" t="n">
        <f aca="false">IF(OR(A16="",E16=""),"",IFERROR(INDEX(Precios!$K$5:$K$84,MATCH(E16,Precios!$J$5:$J$84,0)),""))</f>
        <v>2000</v>
      </c>
      <c r="N16" s="11" t="n">
        <f aca="false">IF(A16="","",IFERROR(N(G16)*IF(F16="",0,INDEX(Precios!$N$5:$N$64,MATCH(F16,Precios!$M$5:$M$64,0)))+N(I16)*IF(H16="",0,INDEX(Precios!$N$5:$N$64,MATCH(H16,Precios!$M$5:$M$64,0))),""))</f>
        <v>0</v>
      </c>
      <c r="O16" s="12" t="str">
        <f aca="false">IF(A16="","",IFERROR(L16+M16+N16,""))</f>
        <v/>
      </c>
      <c r="P16" s="30" t="str">
        <f aca="false">IF(A16="","",IF(ISNUMBER(O16),"Lista"&amp;IF(N(Precios!$Q$10)=0," (impresión en $0)",""),IF(J16=0,"Agregar piezas en Despiece. ",IF(COUNTIFS(Despiece!$A$5:$A$1004,A16,Despiece!$D$5:$D$1004,"&gt;0")&lt;J16,"Metros de "&amp;(J16-COUNTIFS(Despiece!$A$5:$A$1004,A16,Despiece!$D$5:$D$1004,"&gt;0"))&amp;" pieza(s). ",""))&amp;IF(COUNTIFS(Despiece!$A$5:$A$1004,A16,Despiece!$G$5:$G$1004,"falta*")&gt;0,"Precio o peso de 1 m de alguna tela. ","")&amp;IF(M16="","Tipo/precio de confección. ","")))</f>
        <v>Metros de 4 pieza(s). </v>
      </c>
      <c r="Q16" s="28"/>
    </row>
    <row r="17" customFormat="false" ht="15" hidden="false" customHeight="false" outlineLevel="0" collapsed="false">
      <c r="A17" s="28" t="s">
        <v>79</v>
      </c>
      <c r="B17" s="28" t="s">
        <v>80</v>
      </c>
      <c r="C17" s="28" t="s">
        <v>56</v>
      </c>
      <c r="D17" s="28" t="s">
        <v>57</v>
      </c>
      <c r="E17" s="28" t="s">
        <v>58</v>
      </c>
      <c r="F17" s="10"/>
      <c r="G17" s="28"/>
      <c r="H17" s="10"/>
      <c r="I17" s="28"/>
      <c r="J17" s="8" t="n">
        <f aca="false">IF(A17="","",COUNTIF(Despiece!$A$5:$A$1004,A17))</f>
        <v>5</v>
      </c>
      <c r="K17" s="29"/>
      <c r="L17" s="11" t="str">
        <f aca="false">IF(A17="","",IF(COUNTIFS(Despiece!$A$5:$A$1004,A17,Despiece!$D$5:$D$1004,"&gt;0")&lt;J17,"",IF(COUNTIFS(Despiece!$A$5:$A$1004,A17,Despiece!$G$5:$G$1004,"falta*")&gt;0,"",SUMIFS(Despiece!$G$5:$G$1004,Despiece!$A$5:$A$1004,A17))))</f>
        <v/>
      </c>
      <c r="M17" s="11" t="n">
        <f aca="false">IF(OR(A17="",E17=""),"",IFERROR(INDEX(Precios!$K$5:$K$84,MATCH(E17,Precios!$J$5:$J$84,0)),""))</f>
        <v>2000</v>
      </c>
      <c r="N17" s="11" t="n">
        <f aca="false">IF(A17="","",IFERROR(N(G17)*IF(F17="",0,INDEX(Precios!$N$5:$N$64,MATCH(F17,Precios!$M$5:$M$64,0)))+N(I17)*IF(H17="",0,INDEX(Precios!$N$5:$N$64,MATCH(H17,Precios!$M$5:$M$64,0))),""))</f>
        <v>0</v>
      </c>
      <c r="O17" s="12" t="str">
        <f aca="false">IF(A17="","",IFERROR(L17+M17+N17,""))</f>
        <v/>
      </c>
      <c r="P17" s="30" t="str">
        <f aca="false">IF(A17="","",IF(ISNUMBER(O17),"Lista"&amp;IF(N(Precios!$Q$10)=0," (impresión en $0)",""),IF(J17=0,"Agregar piezas en Despiece. ",IF(COUNTIFS(Despiece!$A$5:$A$1004,A17,Despiece!$D$5:$D$1004,"&gt;0")&lt;J17,"Metros de "&amp;(J17-COUNTIFS(Despiece!$A$5:$A$1004,A17,Despiece!$D$5:$D$1004,"&gt;0"))&amp;" pieza(s). ",""))&amp;IF(COUNTIFS(Despiece!$A$5:$A$1004,A17,Despiece!$G$5:$G$1004,"falta*")&gt;0,"Precio o peso de 1 m de alguna tela. ","")&amp;IF(M17="","Tipo/precio de confección. ","")))</f>
        <v>Metros de 5 pieza(s). </v>
      </c>
      <c r="Q17" s="28" t="s">
        <v>81</v>
      </c>
    </row>
    <row r="18" customFormat="false" ht="15" hidden="false" customHeight="false" outlineLevel="0" collapsed="false">
      <c r="A18" s="28" t="s">
        <v>4</v>
      </c>
      <c r="B18" s="28" t="s">
        <v>80</v>
      </c>
      <c r="C18" s="28" t="s">
        <v>56</v>
      </c>
      <c r="D18" s="28" t="s">
        <v>60</v>
      </c>
      <c r="E18" s="28" t="s">
        <v>58</v>
      </c>
      <c r="F18" s="10"/>
      <c r="G18" s="28"/>
      <c r="H18" s="10"/>
      <c r="I18" s="28"/>
      <c r="J18" s="8" t="n">
        <f aca="false">IF(A18="","",COUNTIF(Despiece!$A$5:$A$1004,A18))</f>
        <v>5</v>
      </c>
      <c r="K18" s="29"/>
      <c r="L18" s="11" t="str">
        <f aca="false">IF(A18="","",IF(COUNTIFS(Despiece!$A$5:$A$1004,A18,Despiece!$D$5:$D$1004,"&gt;0")&lt;J18,"",IF(COUNTIFS(Despiece!$A$5:$A$1004,A18,Despiece!$G$5:$G$1004,"falta*")&gt;0,"",SUMIFS(Despiece!$G$5:$G$1004,Despiece!$A$5:$A$1004,A18))))</f>
        <v/>
      </c>
      <c r="M18" s="11" t="n">
        <f aca="false">IF(OR(A18="",E18=""),"",IFERROR(INDEX(Precios!$K$5:$K$84,MATCH(E18,Precios!$J$5:$J$84,0)),""))</f>
        <v>2000</v>
      </c>
      <c r="N18" s="11" t="n">
        <f aca="false">IF(A18="","",IFERROR(N(G18)*IF(F18="",0,INDEX(Precios!$N$5:$N$64,MATCH(F18,Precios!$M$5:$M$64,0)))+N(I18)*IF(H18="",0,INDEX(Precios!$N$5:$N$64,MATCH(H18,Precios!$M$5:$M$64,0))),""))</f>
        <v>0</v>
      </c>
      <c r="O18" s="12" t="str">
        <f aca="false">IF(A18="","",IFERROR(L18+M18+N18,""))</f>
        <v/>
      </c>
      <c r="P18" s="30" t="str">
        <f aca="false">IF(A18="","",IF(ISNUMBER(O18),"Lista"&amp;IF(N(Precios!$Q$10)=0," (impresión en $0)",""),IF(J18=0,"Agregar piezas en Despiece. ",IF(COUNTIFS(Despiece!$A$5:$A$1004,A18,Despiece!$D$5:$D$1004,"&gt;0")&lt;J18,"Metros de "&amp;(J18-COUNTIFS(Despiece!$A$5:$A$1004,A18,Despiece!$D$5:$D$1004,"&gt;0"))&amp;" pieza(s). ",""))&amp;IF(COUNTIFS(Despiece!$A$5:$A$1004,A18,Despiece!$G$5:$G$1004,"falta*")&gt;0,"Precio o peso de 1 m de alguna tela. ","")&amp;IF(M18="","Tipo/precio de confección. ","")))</f>
        <v>Metros de 5 pieza(s). </v>
      </c>
      <c r="Q18" s="28" t="s">
        <v>82</v>
      </c>
    </row>
    <row r="19" customFormat="false" ht="15" hidden="false" customHeight="false" outlineLevel="0" collapsed="false">
      <c r="A19" s="28" t="s">
        <v>83</v>
      </c>
      <c r="B19" s="28" t="s">
        <v>84</v>
      </c>
      <c r="C19" s="28" t="s">
        <v>56</v>
      </c>
      <c r="D19" s="28" t="s">
        <v>57</v>
      </c>
      <c r="E19" s="28" t="s">
        <v>58</v>
      </c>
      <c r="F19" s="10"/>
      <c r="G19" s="28"/>
      <c r="H19" s="10"/>
      <c r="I19" s="28"/>
      <c r="J19" s="8" t="n">
        <f aca="false">IF(A19="","",COUNTIF(Despiece!$A$5:$A$1004,A19))</f>
        <v>5</v>
      </c>
      <c r="K19" s="29"/>
      <c r="L19" s="11" t="str">
        <f aca="false">IF(A19="","",IF(COUNTIFS(Despiece!$A$5:$A$1004,A19,Despiece!$D$5:$D$1004,"&gt;0")&lt;J19,"",IF(COUNTIFS(Despiece!$A$5:$A$1004,A19,Despiece!$G$5:$G$1004,"falta*")&gt;0,"",SUMIFS(Despiece!$G$5:$G$1004,Despiece!$A$5:$A$1004,A19))))</f>
        <v/>
      </c>
      <c r="M19" s="11" t="n">
        <f aca="false">IF(OR(A19="",E19=""),"",IFERROR(INDEX(Precios!$K$5:$K$84,MATCH(E19,Precios!$J$5:$J$84,0)),""))</f>
        <v>2000</v>
      </c>
      <c r="N19" s="11" t="n">
        <f aca="false">IF(A19="","",IFERROR(N(G19)*IF(F19="",0,INDEX(Precios!$N$5:$N$64,MATCH(F19,Precios!$M$5:$M$64,0)))+N(I19)*IF(H19="",0,INDEX(Precios!$N$5:$N$64,MATCH(H19,Precios!$M$5:$M$64,0))),""))</f>
        <v>0</v>
      </c>
      <c r="O19" s="12" t="str">
        <f aca="false">IF(A19="","",IFERROR(L19+M19+N19,""))</f>
        <v/>
      </c>
      <c r="P19" s="30" t="str">
        <f aca="false">IF(A19="","",IF(ISNUMBER(O19),"Lista"&amp;IF(N(Precios!$Q$10)=0," (impresión en $0)",""),IF(J19=0,"Agregar piezas en Despiece. ",IF(COUNTIFS(Despiece!$A$5:$A$1004,A19,Despiece!$D$5:$D$1004,"&gt;0")&lt;J19,"Metros de "&amp;(J19-COUNTIFS(Despiece!$A$5:$A$1004,A19,Despiece!$D$5:$D$1004,"&gt;0"))&amp;" pieza(s). ",""))&amp;IF(COUNTIFS(Despiece!$A$5:$A$1004,A19,Despiece!$G$5:$G$1004,"falta*")&gt;0,"Precio o peso de 1 m de alguna tela. ","")&amp;IF(M19="","Tipo/precio de confección. ","")))</f>
        <v>Metros de 5 pieza(s). </v>
      </c>
      <c r="Q19" s="28"/>
    </row>
    <row r="20" customFormat="false" ht="15" hidden="false" customHeight="false" outlineLevel="0" collapsed="false">
      <c r="A20" s="28" t="s">
        <v>85</v>
      </c>
      <c r="B20" s="28" t="s">
        <v>84</v>
      </c>
      <c r="C20" s="28" t="s">
        <v>56</v>
      </c>
      <c r="D20" s="28" t="s">
        <v>60</v>
      </c>
      <c r="E20" s="28" t="s">
        <v>58</v>
      </c>
      <c r="F20" s="10"/>
      <c r="G20" s="28"/>
      <c r="H20" s="10"/>
      <c r="I20" s="28"/>
      <c r="J20" s="8" t="n">
        <f aca="false">IF(A20="","",COUNTIF(Despiece!$A$5:$A$1004,A20))</f>
        <v>5</v>
      </c>
      <c r="K20" s="29"/>
      <c r="L20" s="11" t="str">
        <f aca="false">IF(A20="","",IF(COUNTIFS(Despiece!$A$5:$A$1004,A20,Despiece!$D$5:$D$1004,"&gt;0")&lt;J20,"",IF(COUNTIFS(Despiece!$A$5:$A$1004,A20,Despiece!$G$5:$G$1004,"falta*")&gt;0,"",SUMIFS(Despiece!$G$5:$G$1004,Despiece!$A$5:$A$1004,A20))))</f>
        <v/>
      </c>
      <c r="M20" s="11" t="n">
        <f aca="false">IF(OR(A20="",E20=""),"",IFERROR(INDEX(Precios!$K$5:$K$84,MATCH(E20,Precios!$J$5:$J$84,0)),""))</f>
        <v>2000</v>
      </c>
      <c r="N20" s="11" t="n">
        <f aca="false">IF(A20="","",IFERROR(N(G20)*IF(F20="",0,INDEX(Precios!$N$5:$N$64,MATCH(F20,Precios!$M$5:$M$64,0)))+N(I20)*IF(H20="",0,INDEX(Precios!$N$5:$N$64,MATCH(H20,Precios!$M$5:$M$64,0))),""))</f>
        <v>0</v>
      </c>
      <c r="O20" s="12" t="str">
        <f aca="false">IF(A20="","",IFERROR(L20+M20+N20,""))</f>
        <v/>
      </c>
      <c r="P20" s="30" t="str">
        <f aca="false">IF(A20="","",IF(ISNUMBER(O20),"Lista"&amp;IF(N(Precios!$Q$10)=0," (impresión en $0)",""),IF(J20=0,"Agregar piezas en Despiece. ",IF(COUNTIFS(Despiece!$A$5:$A$1004,A20,Despiece!$D$5:$D$1004,"&gt;0")&lt;J20,"Metros de "&amp;(J20-COUNTIFS(Despiece!$A$5:$A$1004,A20,Despiece!$D$5:$D$1004,"&gt;0"))&amp;" pieza(s). ",""))&amp;IF(COUNTIFS(Despiece!$A$5:$A$1004,A20,Despiece!$G$5:$G$1004,"falta*")&gt;0,"Precio o peso de 1 m de alguna tela. ","")&amp;IF(M20="","Tipo/precio de confección. ","")))</f>
        <v>Metros de 5 pieza(s). </v>
      </c>
      <c r="Q20" s="28"/>
    </row>
    <row r="21" customFormat="false" ht="15" hidden="false" customHeight="false" outlineLevel="0" collapsed="false">
      <c r="A21" s="28" t="s">
        <v>86</v>
      </c>
      <c r="B21" s="28" t="s">
        <v>87</v>
      </c>
      <c r="C21" s="28" t="s">
        <v>56</v>
      </c>
      <c r="D21" s="28" t="s">
        <v>57</v>
      </c>
      <c r="E21" s="28" t="s">
        <v>88</v>
      </c>
      <c r="F21" s="10"/>
      <c r="G21" s="28"/>
      <c r="H21" s="10"/>
      <c r="I21" s="28"/>
      <c r="J21" s="8" t="n">
        <f aca="false">IF(A21="","",COUNTIF(Despiece!$A$5:$A$1004,A21))</f>
        <v>4</v>
      </c>
      <c r="K21" s="29"/>
      <c r="L21" s="11" t="str">
        <f aca="false">IF(A21="","",IF(COUNTIFS(Despiece!$A$5:$A$1004,A21,Despiece!$D$5:$D$1004,"&gt;0")&lt;J21,"",IF(COUNTIFS(Despiece!$A$5:$A$1004,A21,Despiece!$G$5:$G$1004,"falta*")&gt;0,"",SUMIFS(Despiece!$G$5:$G$1004,Despiece!$A$5:$A$1004,A21))))</f>
        <v/>
      </c>
      <c r="M21" s="11" t="n">
        <f aca="false">IF(OR(A21="",E21=""),"",IFERROR(INDEX(Precios!$K$5:$K$84,MATCH(E21,Precios!$J$5:$J$84,0)),""))</f>
        <v>2300</v>
      </c>
      <c r="N21" s="11" t="n">
        <f aca="false">IF(A21="","",IFERROR(N(G21)*IF(F21="",0,INDEX(Precios!$N$5:$N$64,MATCH(F21,Precios!$M$5:$M$64,0)))+N(I21)*IF(H21="",0,INDEX(Precios!$N$5:$N$64,MATCH(H21,Precios!$M$5:$M$64,0))),""))</f>
        <v>0</v>
      </c>
      <c r="O21" s="12" t="str">
        <f aca="false">IF(A21="","",IFERROR(L21+M21+N21,""))</f>
        <v/>
      </c>
      <c r="P21" s="30" t="str">
        <f aca="false">IF(A21="","",IF(ISNUMBER(O21),"Lista"&amp;IF(N(Precios!$Q$10)=0," (impresión en $0)",""),IF(J21=0,"Agregar piezas en Despiece. ",IF(COUNTIFS(Despiece!$A$5:$A$1004,A21,Despiece!$D$5:$D$1004,"&gt;0")&lt;J21,"Metros de "&amp;(J21-COUNTIFS(Despiece!$A$5:$A$1004,A21,Despiece!$D$5:$D$1004,"&gt;0"))&amp;" pieza(s). ",""))&amp;IF(COUNTIFS(Despiece!$A$5:$A$1004,A21,Despiece!$G$5:$G$1004,"falta*")&gt;0,"Precio o peso de 1 m de alguna tela. ","")&amp;IF(M21="","Tipo/precio de confección. ","")))</f>
        <v>Metros de 4 pieza(s). </v>
      </c>
      <c r="Q21" s="28"/>
    </row>
    <row r="22" customFormat="false" ht="15" hidden="false" customHeight="false" outlineLevel="0" collapsed="false">
      <c r="A22" s="28" t="s">
        <v>89</v>
      </c>
      <c r="B22" s="28" t="s">
        <v>87</v>
      </c>
      <c r="C22" s="28" t="s">
        <v>56</v>
      </c>
      <c r="D22" s="28" t="s">
        <v>60</v>
      </c>
      <c r="E22" s="28" t="s">
        <v>88</v>
      </c>
      <c r="F22" s="10"/>
      <c r="G22" s="28"/>
      <c r="H22" s="10"/>
      <c r="I22" s="28"/>
      <c r="J22" s="8" t="n">
        <f aca="false">IF(A22="","",COUNTIF(Despiece!$A$5:$A$1004,A22))</f>
        <v>4</v>
      </c>
      <c r="K22" s="29"/>
      <c r="L22" s="11" t="str">
        <f aca="false">IF(A22="","",IF(COUNTIFS(Despiece!$A$5:$A$1004,A22,Despiece!$D$5:$D$1004,"&gt;0")&lt;J22,"",IF(COUNTIFS(Despiece!$A$5:$A$1004,A22,Despiece!$G$5:$G$1004,"falta*")&gt;0,"",SUMIFS(Despiece!$G$5:$G$1004,Despiece!$A$5:$A$1004,A22))))</f>
        <v/>
      </c>
      <c r="M22" s="11" t="n">
        <f aca="false">IF(OR(A22="",E22=""),"",IFERROR(INDEX(Precios!$K$5:$K$84,MATCH(E22,Precios!$J$5:$J$84,0)),""))</f>
        <v>2300</v>
      </c>
      <c r="N22" s="11" t="n">
        <f aca="false">IF(A22="","",IFERROR(N(G22)*IF(F22="",0,INDEX(Precios!$N$5:$N$64,MATCH(F22,Precios!$M$5:$M$64,0)))+N(I22)*IF(H22="",0,INDEX(Precios!$N$5:$N$64,MATCH(H22,Precios!$M$5:$M$64,0))),""))</f>
        <v>0</v>
      </c>
      <c r="O22" s="12" t="str">
        <f aca="false">IF(A22="","",IFERROR(L22+M22+N22,""))</f>
        <v/>
      </c>
      <c r="P22" s="30" t="str">
        <f aca="false">IF(A22="","",IF(ISNUMBER(O22),"Lista"&amp;IF(N(Precios!$Q$10)=0," (impresión en $0)",""),IF(J22=0,"Agregar piezas en Despiece. ",IF(COUNTIFS(Despiece!$A$5:$A$1004,A22,Despiece!$D$5:$D$1004,"&gt;0")&lt;J22,"Metros de "&amp;(J22-COUNTIFS(Despiece!$A$5:$A$1004,A22,Despiece!$D$5:$D$1004,"&gt;0"))&amp;" pieza(s). ",""))&amp;IF(COUNTIFS(Despiece!$A$5:$A$1004,A22,Despiece!$G$5:$G$1004,"falta*")&gt;0,"Precio o peso de 1 m de alguna tela. ","")&amp;IF(M22="","Tipo/precio de confección. ","")))</f>
        <v>Metros de 4 pieza(s). </v>
      </c>
      <c r="Q22" s="28"/>
    </row>
    <row r="23" customFormat="false" ht="15" hidden="false" customHeight="false" outlineLevel="0" collapsed="false">
      <c r="A23" s="28" t="s">
        <v>90</v>
      </c>
      <c r="B23" s="28" t="s">
        <v>91</v>
      </c>
      <c r="C23" s="28" t="s">
        <v>56</v>
      </c>
      <c r="D23" s="28" t="s">
        <v>63</v>
      </c>
      <c r="E23" s="28" t="s">
        <v>88</v>
      </c>
      <c r="F23" s="10"/>
      <c r="G23" s="28"/>
      <c r="H23" s="10"/>
      <c r="I23" s="28"/>
      <c r="J23" s="8" t="n">
        <f aca="false">IF(A23="","",COUNTIF(Despiece!$A$5:$A$1004,A23))</f>
        <v>4</v>
      </c>
      <c r="K23" s="29"/>
      <c r="L23" s="11" t="str">
        <f aca="false">IF(A23="","",IF(COUNTIFS(Despiece!$A$5:$A$1004,A23,Despiece!$D$5:$D$1004,"&gt;0")&lt;J23,"",IF(COUNTIFS(Despiece!$A$5:$A$1004,A23,Despiece!$G$5:$G$1004,"falta*")&gt;0,"",SUMIFS(Despiece!$G$5:$G$1004,Despiece!$A$5:$A$1004,A23))))</f>
        <v/>
      </c>
      <c r="M23" s="11" t="n">
        <f aca="false">IF(OR(A23="",E23=""),"",IFERROR(INDEX(Precios!$K$5:$K$84,MATCH(E23,Precios!$J$5:$J$84,0)),""))</f>
        <v>2300</v>
      </c>
      <c r="N23" s="11" t="n">
        <f aca="false">IF(A23="","",IFERROR(N(G23)*IF(F23="",0,INDEX(Precios!$N$5:$N$64,MATCH(F23,Precios!$M$5:$M$64,0)))+N(I23)*IF(H23="",0,INDEX(Precios!$N$5:$N$64,MATCH(H23,Precios!$M$5:$M$64,0))),""))</f>
        <v>0</v>
      </c>
      <c r="O23" s="12" t="str">
        <f aca="false">IF(A23="","",IFERROR(L23+M23+N23,""))</f>
        <v/>
      </c>
      <c r="P23" s="30" t="str">
        <f aca="false">IF(A23="","",IF(ISNUMBER(O23),"Lista"&amp;IF(N(Precios!$Q$10)=0," (impresión en $0)",""),IF(J23=0,"Agregar piezas en Despiece. ",IF(COUNTIFS(Despiece!$A$5:$A$1004,A23,Despiece!$D$5:$D$1004,"&gt;0")&lt;J23,"Metros de "&amp;(J23-COUNTIFS(Despiece!$A$5:$A$1004,A23,Despiece!$D$5:$D$1004,"&gt;0"))&amp;" pieza(s). ",""))&amp;IF(COUNTIFS(Despiece!$A$5:$A$1004,A23,Despiece!$G$5:$G$1004,"falta*")&gt;0,"Precio o peso de 1 m de alguna tela. ","")&amp;IF(M23="","Tipo/precio de confección. ","")))</f>
        <v>Metros de 4 pieza(s). </v>
      </c>
      <c r="Q23" s="28"/>
    </row>
    <row r="24" customFormat="false" ht="15" hidden="false" customHeight="false" outlineLevel="0" collapsed="false">
      <c r="A24" s="28" t="s">
        <v>92</v>
      </c>
      <c r="B24" s="28" t="s">
        <v>91</v>
      </c>
      <c r="C24" s="28" t="s">
        <v>56</v>
      </c>
      <c r="D24" s="28" t="s">
        <v>65</v>
      </c>
      <c r="E24" s="28" t="s">
        <v>88</v>
      </c>
      <c r="F24" s="10"/>
      <c r="G24" s="28"/>
      <c r="H24" s="10"/>
      <c r="I24" s="28"/>
      <c r="J24" s="8" t="n">
        <f aca="false">IF(A24="","",COUNTIF(Despiece!$A$5:$A$1004,A24))</f>
        <v>4</v>
      </c>
      <c r="K24" s="29"/>
      <c r="L24" s="11" t="str">
        <f aca="false">IF(A24="","",IF(COUNTIFS(Despiece!$A$5:$A$1004,A24,Despiece!$D$5:$D$1004,"&gt;0")&lt;J24,"",IF(COUNTIFS(Despiece!$A$5:$A$1004,A24,Despiece!$G$5:$G$1004,"falta*")&gt;0,"",SUMIFS(Despiece!$G$5:$G$1004,Despiece!$A$5:$A$1004,A24))))</f>
        <v/>
      </c>
      <c r="M24" s="11" t="n">
        <f aca="false">IF(OR(A24="",E24=""),"",IFERROR(INDEX(Precios!$K$5:$K$84,MATCH(E24,Precios!$J$5:$J$84,0)),""))</f>
        <v>2300</v>
      </c>
      <c r="N24" s="11" t="n">
        <f aca="false">IF(A24="","",IFERROR(N(G24)*IF(F24="",0,INDEX(Precios!$N$5:$N$64,MATCH(F24,Precios!$M$5:$M$64,0)))+N(I24)*IF(H24="",0,INDEX(Precios!$N$5:$N$64,MATCH(H24,Precios!$M$5:$M$64,0))),""))</f>
        <v>0</v>
      </c>
      <c r="O24" s="12" t="str">
        <f aca="false">IF(A24="","",IFERROR(L24+M24+N24,""))</f>
        <v/>
      </c>
      <c r="P24" s="30" t="str">
        <f aca="false">IF(A24="","",IF(ISNUMBER(O24),"Lista"&amp;IF(N(Precios!$Q$10)=0," (impresión en $0)",""),IF(J24=0,"Agregar piezas en Despiece. ",IF(COUNTIFS(Despiece!$A$5:$A$1004,A24,Despiece!$D$5:$D$1004,"&gt;0")&lt;J24,"Metros de "&amp;(J24-COUNTIFS(Despiece!$A$5:$A$1004,A24,Despiece!$D$5:$D$1004,"&gt;0"))&amp;" pieza(s). ",""))&amp;IF(COUNTIFS(Despiece!$A$5:$A$1004,A24,Despiece!$G$5:$G$1004,"falta*")&gt;0,"Precio o peso de 1 m de alguna tela. ","")&amp;IF(M24="","Tipo/precio de confección. ","")))</f>
        <v>Metros de 4 pieza(s). </v>
      </c>
      <c r="Q24" s="28"/>
    </row>
    <row r="25" customFormat="false" ht="15" hidden="false" customHeight="false" outlineLevel="0" collapsed="false">
      <c r="A25" s="28" t="s">
        <v>93</v>
      </c>
      <c r="B25" s="28" t="s">
        <v>94</v>
      </c>
      <c r="C25" s="28" t="s">
        <v>56</v>
      </c>
      <c r="D25" s="28" t="s">
        <v>57</v>
      </c>
      <c r="E25" s="28" t="s">
        <v>88</v>
      </c>
      <c r="F25" s="10"/>
      <c r="G25" s="28"/>
      <c r="H25" s="10"/>
      <c r="I25" s="28"/>
      <c r="J25" s="8" t="n">
        <f aca="false">IF(A25="","",COUNTIF(Despiece!$A$5:$A$1004,A25))</f>
        <v>4</v>
      </c>
      <c r="K25" s="29"/>
      <c r="L25" s="11" t="str">
        <f aca="false">IF(A25="","",IF(COUNTIFS(Despiece!$A$5:$A$1004,A25,Despiece!$D$5:$D$1004,"&gt;0")&lt;J25,"",IF(COUNTIFS(Despiece!$A$5:$A$1004,A25,Despiece!$G$5:$G$1004,"falta*")&gt;0,"",SUMIFS(Despiece!$G$5:$G$1004,Despiece!$A$5:$A$1004,A25))))</f>
        <v/>
      </c>
      <c r="M25" s="11" t="n">
        <f aca="false">IF(OR(A25="",E25=""),"",IFERROR(INDEX(Precios!$K$5:$K$84,MATCH(E25,Precios!$J$5:$J$84,0)),""))</f>
        <v>2300</v>
      </c>
      <c r="N25" s="11" t="n">
        <f aca="false">IF(A25="","",IFERROR(N(G25)*IF(F25="",0,INDEX(Precios!$N$5:$N$64,MATCH(F25,Precios!$M$5:$M$64,0)))+N(I25)*IF(H25="",0,INDEX(Precios!$N$5:$N$64,MATCH(H25,Precios!$M$5:$M$64,0))),""))</f>
        <v>0</v>
      </c>
      <c r="O25" s="12" t="str">
        <f aca="false">IF(A25="","",IFERROR(L25+M25+N25,""))</f>
        <v/>
      </c>
      <c r="P25" s="30" t="str">
        <f aca="false">IF(A25="","",IF(ISNUMBER(O25),"Lista"&amp;IF(N(Precios!$Q$10)=0," (impresión en $0)",""),IF(J25=0,"Agregar piezas en Despiece. ",IF(COUNTIFS(Despiece!$A$5:$A$1004,A25,Despiece!$D$5:$D$1004,"&gt;0")&lt;J25,"Metros de "&amp;(J25-COUNTIFS(Despiece!$A$5:$A$1004,A25,Despiece!$D$5:$D$1004,"&gt;0"))&amp;" pieza(s). ",""))&amp;IF(COUNTIFS(Despiece!$A$5:$A$1004,A25,Despiece!$G$5:$G$1004,"falta*")&gt;0,"Precio o peso de 1 m de alguna tela. ","")&amp;IF(M25="","Tipo/precio de confección. ","")))</f>
        <v>Metros de 4 pieza(s). </v>
      </c>
      <c r="Q25" s="28"/>
    </row>
    <row r="26" customFormat="false" ht="15" hidden="false" customHeight="false" outlineLevel="0" collapsed="false">
      <c r="A26" s="28" t="s">
        <v>95</v>
      </c>
      <c r="B26" s="28" t="s">
        <v>94</v>
      </c>
      <c r="C26" s="28" t="s">
        <v>56</v>
      </c>
      <c r="D26" s="28" t="s">
        <v>60</v>
      </c>
      <c r="E26" s="28" t="s">
        <v>88</v>
      </c>
      <c r="F26" s="10"/>
      <c r="G26" s="28"/>
      <c r="H26" s="10"/>
      <c r="I26" s="28"/>
      <c r="J26" s="8" t="n">
        <f aca="false">IF(A26="","",COUNTIF(Despiece!$A$5:$A$1004,A26))</f>
        <v>4</v>
      </c>
      <c r="K26" s="29"/>
      <c r="L26" s="11" t="str">
        <f aca="false">IF(A26="","",IF(COUNTIFS(Despiece!$A$5:$A$1004,A26,Despiece!$D$5:$D$1004,"&gt;0")&lt;J26,"",IF(COUNTIFS(Despiece!$A$5:$A$1004,A26,Despiece!$G$5:$G$1004,"falta*")&gt;0,"",SUMIFS(Despiece!$G$5:$G$1004,Despiece!$A$5:$A$1004,A26))))</f>
        <v/>
      </c>
      <c r="M26" s="11" t="n">
        <f aca="false">IF(OR(A26="",E26=""),"",IFERROR(INDEX(Precios!$K$5:$K$84,MATCH(E26,Precios!$J$5:$J$84,0)),""))</f>
        <v>2300</v>
      </c>
      <c r="N26" s="11" t="n">
        <f aca="false">IF(A26="","",IFERROR(N(G26)*IF(F26="",0,INDEX(Precios!$N$5:$N$64,MATCH(F26,Precios!$M$5:$M$64,0)))+N(I26)*IF(H26="",0,INDEX(Precios!$N$5:$N$64,MATCH(H26,Precios!$M$5:$M$64,0))),""))</f>
        <v>0</v>
      </c>
      <c r="O26" s="12" t="str">
        <f aca="false">IF(A26="","",IFERROR(L26+M26+N26,""))</f>
        <v/>
      </c>
      <c r="P26" s="30" t="str">
        <f aca="false">IF(A26="","",IF(ISNUMBER(O26),"Lista"&amp;IF(N(Precios!$Q$10)=0," (impresión en $0)",""),IF(J26=0,"Agregar piezas en Despiece. ",IF(COUNTIFS(Despiece!$A$5:$A$1004,A26,Despiece!$D$5:$D$1004,"&gt;0")&lt;J26,"Metros de "&amp;(J26-COUNTIFS(Despiece!$A$5:$A$1004,A26,Despiece!$D$5:$D$1004,"&gt;0"))&amp;" pieza(s). ",""))&amp;IF(COUNTIFS(Despiece!$A$5:$A$1004,A26,Despiece!$G$5:$G$1004,"falta*")&gt;0,"Precio o peso de 1 m de alguna tela. ","")&amp;IF(M26="","Tipo/precio de confección. ","")))</f>
        <v>Metros de 4 pieza(s). </v>
      </c>
      <c r="Q26" s="28"/>
    </row>
    <row r="27" customFormat="false" ht="15" hidden="false" customHeight="false" outlineLevel="0" collapsed="false">
      <c r="A27" s="28" t="s">
        <v>96</v>
      </c>
      <c r="B27" s="28" t="s">
        <v>97</v>
      </c>
      <c r="C27" s="28" t="s">
        <v>56</v>
      </c>
      <c r="D27" s="28" t="s">
        <v>63</v>
      </c>
      <c r="E27" s="28" t="s">
        <v>88</v>
      </c>
      <c r="F27" s="10"/>
      <c r="G27" s="28"/>
      <c r="H27" s="10"/>
      <c r="I27" s="28"/>
      <c r="J27" s="8" t="n">
        <f aca="false">IF(A27="","",COUNTIF(Despiece!$A$5:$A$1004,A27))</f>
        <v>4</v>
      </c>
      <c r="K27" s="29"/>
      <c r="L27" s="11" t="str">
        <f aca="false">IF(A27="","",IF(COUNTIFS(Despiece!$A$5:$A$1004,A27,Despiece!$D$5:$D$1004,"&gt;0")&lt;J27,"",IF(COUNTIFS(Despiece!$A$5:$A$1004,A27,Despiece!$G$5:$G$1004,"falta*")&gt;0,"",SUMIFS(Despiece!$G$5:$G$1004,Despiece!$A$5:$A$1004,A27))))</f>
        <v/>
      </c>
      <c r="M27" s="11" t="n">
        <f aca="false">IF(OR(A27="",E27=""),"",IFERROR(INDEX(Precios!$K$5:$K$84,MATCH(E27,Precios!$J$5:$J$84,0)),""))</f>
        <v>2300</v>
      </c>
      <c r="N27" s="11" t="n">
        <f aca="false">IF(A27="","",IFERROR(N(G27)*IF(F27="",0,INDEX(Precios!$N$5:$N$64,MATCH(F27,Precios!$M$5:$M$64,0)))+N(I27)*IF(H27="",0,INDEX(Precios!$N$5:$N$64,MATCH(H27,Precios!$M$5:$M$64,0))),""))</f>
        <v>0</v>
      </c>
      <c r="O27" s="12" t="str">
        <f aca="false">IF(A27="","",IFERROR(L27+M27+N27,""))</f>
        <v/>
      </c>
      <c r="P27" s="30" t="str">
        <f aca="false">IF(A27="","",IF(ISNUMBER(O27),"Lista"&amp;IF(N(Precios!$Q$10)=0," (impresión en $0)",""),IF(J27=0,"Agregar piezas en Despiece. ",IF(COUNTIFS(Despiece!$A$5:$A$1004,A27,Despiece!$D$5:$D$1004,"&gt;0")&lt;J27,"Metros de "&amp;(J27-COUNTIFS(Despiece!$A$5:$A$1004,A27,Despiece!$D$5:$D$1004,"&gt;0"))&amp;" pieza(s). ",""))&amp;IF(COUNTIFS(Despiece!$A$5:$A$1004,A27,Despiece!$G$5:$G$1004,"falta*")&gt;0,"Precio o peso de 1 m de alguna tela. ","")&amp;IF(M27="","Tipo/precio de confección. ","")))</f>
        <v>Metros de 4 pieza(s). </v>
      </c>
      <c r="Q27" s="28"/>
    </row>
    <row r="28" customFormat="false" ht="15" hidden="false" customHeight="false" outlineLevel="0" collapsed="false">
      <c r="A28" s="28" t="s">
        <v>98</v>
      </c>
      <c r="B28" s="28" t="s">
        <v>97</v>
      </c>
      <c r="C28" s="28" t="s">
        <v>56</v>
      </c>
      <c r="D28" s="28" t="s">
        <v>65</v>
      </c>
      <c r="E28" s="28" t="s">
        <v>88</v>
      </c>
      <c r="F28" s="10"/>
      <c r="G28" s="28"/>
      <c r="H28" s="10"/>
      <c r="I28" s="28"/>
      <c r="J28" s="8" t="n">
        <f aca="false">IF(A28="","",COUNTIF(Despiece!$A$5:$A$1004,A28))</f>
        <v>4</v>
      </c>
      <c r="K28" s="29"/>
      <c r="L28" s="11" t="str">
        <f aca="false">IF(A28="","",IF(COUNTIFS(Despiece!$A$5:$A$1004,A28,Despiece!$D$5:$D$1004,"&gt;0")&lt;J28,"",IF(COUNTIFS(Despiece!$A$5:$A$1004,A28,Despiece!$G$5:$G$1004,"falta*")&gt;0,"",SUMIFS(Despiece!$G$5:$G$1004,Despiece!$A$5:$A$1004,A28))))</f>
        <v/>
      </c>
      <c r="M28" s="11" t="n">
        <f aca="false">IF(OR(A28="",E28=""),"",IFERROR(INDEX(Precios!$K$5:$K$84,MATCH(E28,Precios!$J$5:$J$84,0)),""))</f>
        <v>2300</v>
      </c>
      <c r="N28" s="11" t="n">
        <f aca="false">IF(A28="","",IFERROR(N(G28)*IF(F28="",0,INDEX(Precios!$N$5:$N$64,MATCH(F28,Precios!$M$5:$M$64,0)))+N(I28)*IF(H28="",0,INDEX(Precios!$N$5:$N$64,MATCH(H28,Precios!$M$5:$M$64,0))),""))</f>
        <v>0</v>
      </c>
      <c r="O28" s="12" t="str">
        <f aca="false">IF(A28="","",IFERROR(L28+M28+N28,""))</f>
        <v/>
      </c>
      <c r="P28" s="30" t="str">
        <f aca="false">IF(A28="","",IF(ISNUMBER(O28),"Lista"&amp;IF(N(Precios!$Q$10)=0," (impresión en $0)",""),IF(J28=0,"Agregar piezas en Despiece. ",IF(COUNTIFS(Despiece!$A$5:$A$1004,A28,Despiece!$D$5:$D$1004,"&gt;0")&lt;J28,"Metros de "&amp;(J28-COUNTIFS(Despiece!$A$5:$A$1004,A28,Despiece!$D$5:$D$1004,"&gt;0"))&amp;" pieza(s). ",""))&amp;IF(COUNTIFS(Despiece!$A$5:$A$1004,A28,Despiece!$G$5:$G$1004,"falta*")&gt;0,"Precio o peso de 1 m de alguna tela. ","")&amp;IF(M28="","Tipo/precio de confección. ","")))</f>
        <v>Metros de 4 pieza(s). </v>
      </c>
      <c r="Q28" s="28"/>
    </row>
    <row r="29" customFormat="false" ht="15" hidden="false" customHeight="false" outlineLevel="0" collapsed="false">
      <c r="A29" s="28" t="s">
        <v>99</v>
      </c>
      <c r="B29" s="28" t="s">
        <v>100</v>
      </c>
      <c r="C29" s="28" t="s">
        <v>56</v>
      </c>
      <c r="D29" s="28" t="s">
        <v>57</v>
      </c>
      <c r="E29" s="28" t="s">
        <v>88</v>
      </c>
      <c r="F29" s="10"/>
      <c r="G29" s="28"/>
      <c r="H29" s="10"/>
      <c r="I29" s="28"/>
      <c r="J29" s="8" t="n">
        <f aca="false">IF(A29="","",COUNTIF(Despiece!$A$5:$A$1004,A29))</f>
        <v>5</v>
      </c>
      <c r="K29" s="29"/>
      <c r="L29" s="11" t="str">
        <f aca="false">IF(A29="","",IF(COUNTIFS(Despiece!$A$5:$A$1004,A29,Despiece!$D$5:$D$1004,"&gt;0")&lt;J29,"",IF(COUNTIFS(Despiece!$A$5:$A$1004,A29,Despiece!$G$5:$G$1004,"falta*")&gt;0,"",SUMIFS(Despiece!$G$5:$G$1004,Despiece!$A$5:$A$1004,A29))))</f>
        <v/>
      </c>
      <c r="M29" s="11" t="n">
        <f aca="false">IF(OR(A29="",E29=""),"",IFERROR(INDEX(Precios!$K$5:$K$84,MATCH(E29,Precios!$J$5:$J$84,0)),""))</f>
        <v>2300</v>
      </c>
      <c r="N29" s="11" t="n">
        <f aca="false">IF(A29="","",IFERROR(N(G29)*IF(F29="",0,INDEX(Precios!$N$5:$N$64,MATCH(F29,Precios!$M$5:$M$64,0)))+N(I29)*IF(H29="",0,INDEX(Precios!$N$5:$N$64,MATCH(H29,Precios!$M$5:$M$64,0))),""))</f>
        <v>0</v>
      </c>
      <c r="O29" s="12" t="str">
        <f aca="false">IF(A29="","",IFERROR(L29+M29+N29,""))</f>
        <v/>
      </c>
      <c r="P29" s="30" t="str">
        <f aca="false">IF(A29="","",IF(ISNUMBER(O29),"Lista"&amp;IF(N(Precios!$Q$10)=0," (impresión en $0)",""),IF(J29=0,"Agregar piezas en Despiece. ",IF(COUNTIFS(Despiece!$A$5:$A$1004,A29,Despiece!$D$5:$D$1004,"&gt;0")&lt;J29,"Metros de "&amp;(J29-COUNTIFS(Despiece!$A$5:$A$1004,A29,Despiece!$D$5:$D$1004,"&gt;0"))&amp;" pieza(s). ",""))&amp;IF(COUNTIFS(Despiece!$A$5:$A$1004,A29,Despiece!$G$5:$G$1004,"falta*")&gt;0,"Precio o peso de 1 m de alguna tela. ","")&amp;IF(M29="","Tipo/precio de confección. ","")))</f>
        <v>Metros de 5 pieza(s). </v>
      </c>
      <c r="Q29" s="28"/>
    </row>
    <row r="30" customFormat="false" ht="15" hidden="false" customHeight="false" outlineLevel="0" collapsed="false">
      <c r="A30" s="28" t="s">
        <v>101</v>
      </c>
      <c r="B30" s="28" t="s">
        <v>100</v>
      </c>
      <c r="C30" s="28" t="s">
        <v>56</v>
      </c>
      <c r="D30" s="28" t="s">
        <v>60</v>
      </c>
      <c r="E30" s="28" t="s">
        <v>88</v>
      </c>
      <c r="F30" s="10"/>
      <c r="G30" s="28"/>
      <c r="H30" s="10"/>
      <c r="I30" s="28"/>
      <c r="J30" s="8" t="n">
        <f aca="false">IF(A30="","",COUNTIF(Despiece!$A$5:$A$1004,A30))</f>
        <v>5</v>
      </c>
      <c r="K30" s="29"/>
      <c r="L30" s="11" t="str">
        <f aca="false">IF(A30="","",IF(COUNTIFS(Despiece!$A$5:$A$1004,A30,Despiece!$D$5:$D$1004,"&gt;0")&lt;J30,"",IF(COUNTIFS(Despiece!$A$5:$A$1004,A30,Despiece!$G$5:$G$1004,"falta*")&gt;0,"",SUMIFS(Despiece!$G$5:$G$1004,Despiece!$A$5:$A$1004,A30))))</f>
        <v/>
      </c>
      <c r="M30" s="11" t="n">
        <f aca="false">IF(OR(A30="",E30=""),"",IFERROR(INDEX(Precios!$K$5:$K$84,MATCH(E30,Precios!$J$5:$J$84,0)),""))</f>
        <v>2300</v>
      </c>
      <c r="N30" s="11" t="n">
        <f aca="false">IF(A30="","",IFERROR(N(G30)*IF(F30="",0,INDEX(Precios!$N$5:$N$64,MATCH(F30,Precios!$M$5:$M$64,0)))+N(I30)*IF(H30="",0,INDEX(Precios!$N$5:$N$64,MATCH(H30,Precios!$M$5:$M$64,0))),""))</f>
        <v>0</v>
      </c>
      <c r="O30" s="12" t="str">
        <f aca="false">IF(A30="","",IFERROR(L30+M30+N30,""))</f>
        <v/>
      </c>
      <c r="P30" s="30" t="str">
        <f aca="false">IF(A30="","",IF(ISNUMBER(O30),"Lista"&amp;IF(N(Precios!$Q$10)=0," (impresión en $0)",""),IF(J30=0,"Agregar piezas en Despiece. ",IF(COUNTIFS(Despiece!$A$5:$A$1004,A30,Despiece!$D$5:$D$1004,"&gt;0")&lt;J30,"Metros de "&amp;(J30-COUNTIFS(Despiece!$A$5:$A$1004,A30,Despiece!$D$5:$D$1004,"&gt;0"))&amp;" pieza(s). ",""))&amp;IF(COUNTIFS(Despiece!$A$5:$A$1004,A30,Despiece!$G$5:$G$1004,"falta*")&gt;0,"Precio o peso de 1 m de alguna tela. ","")&amp;IF(M30="","Tipo/precio de confección. ","")))</f>
        <v>Metros de 5 pieza(s). </v>
      </c>
      <c r="Q30" s="28"/>
    </row>
    <row r="31" customFormat="false" ht="15" hidden="false" customHeight="false" outlineLevel="0" collapsed="false">
      <c r="A31" s="28" t="s">
        <v>102</v>
      </c>
      <c r="B31" s="28" t="s">
        <v>103</v>
      </c>
      <c r="C31" s="28" t="s">
        <v>56</v>
      </c>
      <c r="D31" s="28" t="s">
        <v>57</v>
      </c>
      <c r="E31" s="28" t="s">
        <v>88</v>
      </c>
      <c r="F31" s="10"/>
      <c r="G31" s="28"/>
      <c r="H31" s="10"/>
      <c r="I31" s="28"/>
      <c r="J31" s="8" t="n">
        <f aca="false">IF(A31="","",COUNTIF(Despiece!$A$5:$A$1004,A31))</f>
        <v>5</v>
      </c>
      <c r="K31" s="29"/>
      <c r="L31" s="11" t="str">
        <f aca="false">IF(A31="","",IF(COUNTIFS(Despiece!$A$5:$A$1004,A31,Despiece!$D$5:$D$1004,"&gt;0")&lt;J31,"",IF(COUNTIFS(Despiece!$A$5:$A$1004,A31,Despiece!$G$5:$G$1004,"falta*")&gt;0,"",SUMIFS(Despiece!$G$5:$G$1004,Despiece!$A$5:$A$1004,A31))))</f>
        <v/>
      </c>
      <c r="M31" s="11" t="n">
        <f aca="false">IF(OR(A31="",E31=""),"",IFERROR(INDEX(Precios!$K$5:$K$84,MATCH(E31,Precios!$J$5:$J$84,0)),""))</f>
        <v>2300</v>
      </c>
      <c r="N31" s="11" t="n">
        <f aca="false">IF(A31="","",IFERROR(N(G31)*IF(F31="",0,INDEX(Precios!$N$5:$N$64,MATCH(F31,Precios!$M$5:$M$64,0)))+N(I31)*IF(H31="",0,INDEX(Precios!$N$5:$N$64,MATCH(H31,Precios!$M$5:$M$64,0))),""))</f>
        <v>0</v>
      </c>
      <c r="O31" s="12" t="str">
        <f aca="false">IF(A31="","",IFERROR(L31+M31+N31,""))</f>
        <v/>
      </c>
      <c r="P31" s="30" t="str">
        <f aca="false">IF(A31="","",IF(ISNUMBER(O31),"Lista"&amp;IF(N(Precios!$Q$10)=0," (impresión en $0)",""),IF(J31=0,"Agregar piezas en Despiece. ",IF(COUNTIFS(Despiece!$A$5:$A$1004,A31,Despiece!$D$5:$D$1004,"&gt;0")&lt;J31,"Metros de "&amp;(J31-COUNTIFS(Despiece!$A$5:$A$1004,A31,Despiece!$D$5:$D$1004,"&gt;0"))&amp;" pieza(s). ",""))&amp;IF(COUNTIFS(Despiece!$A$5:$A$1004,A31,Despiece!$G$5:$G$1004,"falta*")&gt;0,"Precio o peso de 1 m de alguna tela. ","")&amp;IF(M31="","Tipo/precio de confección. ","")))</f>
        <v>Metros de 5 pieza(s). </v>
      </c>
      <c r="Q31" s="28"/>
    </row>
    <row r="32" customFormat="false" ht="15" hidden="false" customHeight="false" outlineLevel="0" collapsed="false">
      <c r="A32" s="28" t="s">
        <v>104</v>
      </c>
      <c r="B32" s="28" t="s">
        <v>103</v>
      </c>
      <c r="C32" s="28" t="s">
        <v>56</v>
      </c>
      <c r="D32" s="28" t="s">
        <v>60</v>
      </c>
      <c r="E32" s="28" t="s">
        <v>88</v>
      </c>
      <c r="F32" s="10"/>
      <c r="G32" s="28"/>
      <c r="H32" s="10"/>
      <c r="I32" s="28"/>
      <c r="J32" s="8" t="n">
        <f aca="false">IF(A32="","",COUNTIF(Despiece!$A$5:$A$1004,A32))</f>
        <v>5</v>
      </c>
      <c r="K32" s="29"/>
      <c r="L32" s="11" t="str">
        <f aca="false">IF(A32="","",IF(COUNTIFS(Despiece!$A$5:$A$1004,A32,Despiece!$D$5:$D$1004,"&gt;0")&lt;J32,"",IF(COUNTIFS(Despiece!$A$5:$A$1004,A32,Despiece!$G$5:$G$1004,"falta*")&gt;0,"",SUMIFS(Despiece!$G$5:$G$1004,Despiece!$A$5:$A$1004,A32))))</f>
        <v/>
      </c>
      <c r="M32" s="11" t="n">
        <f aca="false">IF(OR(A32="",E32=""),"",IFERROR(INDEX(Precios!$K$5:$K$84,MATCH(E32,Precios!$J$5:$J$84,0)),""))</f>
        <v>2300</v>
      </c>
      <c r="N32" s="11" t="n">
        <f aca="false">IF(A32="","",IFERROR(N(G32)*IF(F32="",0,INDEX(Precios!$N$5:$N$64,MATCH(F32,Precios!$M$5:$M$64,0)))+N(I32)*IF(H32="",0,INDEX(Precios!$N$5:$N$64,MATCH(H32,Precios!$M$5:$M$64,0))),""))</f>
        <v>0</v>
      </c>
      <c r="O32" s="12" t="str">
        <f aca="false">IF(A32="","",IFERROR(L32+M32+N32,""))</f>
        <v/>
      </c>
      <c r="P32" s="30" t="str">
        <f aca="false">IF(A32="","",IF(ISNUMBER(O32),"Lista"&amp;IF(N(Precios!$Q$10)=0," (impresión en $0)",""),IF(J32=0,"Agregar piezas en Despiece. ",IF(COUNTIFS(Despiece!$A$5:$A$1004,A32,Despiece!$D$5:$D$1004,"&gt;0")&lt;J32,"Metros de "&amp;(J32-COUNTIFS(Despiece!$A$5:$A$1004,A32,Despiece!$D$5:$D$1004,"&gt;0"))&amp;" pieza(s). ",""))&amp;IF(COUNTIFS(Despiece!$A$5:$A$1004,A32,Despiece!$G$5:$G$1004,"falta*")&gt;0,"Precio o peso de 1 m de alguna tela. ","")&amp;IF(M32="","Tipo/precio de confección. ","")))</f>
        <v>Metros de 5 pieza(s). </v>
      </c>
      <c r="Q32" s="28"/>
    </row>
    <row r="33" customFormat="false" ht="15" hidden="false" customHeight="false" outlineLevel="0" collapsed="false">
      <c r="A33" s="28" t="s">
        <v>105</v>
      </c>
      <c r="B33" s="28" t="s">
        <v>106</v>
      </c>
      <c r="C33" s="28" t="s">
        <v>56</v>
      </c>
      <c r="D33" s="28" t="s">
        <v>57</v>
      </c>
      <c r="E33" s="28" t="s">
        <v>107</v>
      </c>
      <c r="F33" s="10"/>
      <c r="G33" s="28"/>
      <c r="H33" s="10"/>
      <c r="I33" s="28"/>
      <c r="J33" s="8" t="n">
        <f aca="false">IF(A33="","",COUNTIF(Despiece!$A$5:$A$1004,A33))</f>
        <v>3</v>
      </c>
      <c r="K33" s="29"/>
      <c r="L33" s="11" t="str">
        <f aca="false">IF(A33="","",IF(COUNTIFS(Despiece!$A$5:$A$1004,A33,Despiece!$D$5:$D$1004,"&gt;0")&lt;J33,"",IF(COUNTIFS(Despiece!$A$5:$A$1004,A33,Despiece!$G$5:$G$1004,"falta*")&gt;0,"",SUMIFS(Despiece!$G$5:$G$1004,Despiece!$A$5:$A$1004,A33))))</f>
        <v/>
      </c>
      <c r="M33" s="11" t="n">
        <f aca="false">IF(OR(A33="",E33=""),"",IFERROR(INDEX(Precios!$K$5:$K$84,MATCH(E33,Precios!$J$5:$J$84,0)),""))</f>
        <v>1900</v>
      </c>
      <c r="N33" s="11" t="n">
        <f aca="false">IF(A33="","",IFERROR(N(G33)*IF(F33="",0,INDEX(Precios!$N$5:$N$64,MATCH(F33,Precios!$M$5:$M$64,0)))+N(I33)*IF(H33="",0,INDEX(Precios!$N$5:$N$64,MATCH(H33,Precios!$M$5:$M$64,0))),""))</f>
        <v>0</v>
      </c>
      <c r="O33" s="12" t="str">
        <f aca="false">IF(A33="","",IFERROR(L33+M33+N33,""))</f>
        <v/>
      </c>
      <c r="P33" s="30" t="str">
        <f aca="false">IF(A33="","",IF(ISNUMBER(O33),"Lista"&amp;IF(N(Precios!$Q$10)=0," (impresión en $0)",""),IF(J33=0,"Agregar piezas en Despiece. ",IF(COUNTIFS(Despiece!$A$5:$A$1004,A33,Despiece!$D$5:$D$1004,"&gt;0")&lt;J33,"Metros de "&amp;(J33-COUNTIFS(Despiece!$A$5:$A$1004,A33,Despiece!$D$5:$D$1004,"&gt;0"))&amp;" pieza(s). ",""))&amp;IF(COUNTIFS(Despiece!$A$5:$A$1004,A33,Despiece!$G$5:$G$1004,"falta*")&gt;0,"Precio o peso de 1 m de alguna tela. ","")&amp;IF(M33="","Tipo/precio de confección. ","")))</f>
        <v>Metros de 3 pieza(s). </v>
      </c>
      <c r="Q33" s="28"/>
    </row>
    <row r="34" customFormat="false" ht="15" hidden="false" customHeight="false" outlineLevel="0" collapsed="false">
      <c r="A34" s="28" t="s">
        <v>108</v>
      </c>
      <c r="B34" s="28" t="s">
        <v>106</v>
      </c>
      <c r="C34" s="28" t="s">
        <v>56</v>
      </c>
      <c r="D34" s="28" t="s">
        <v>60</v>
      </c>
      <c r="E34" s="28" t="s">
        <v>107</v>
      </c>
      <c r="F34" s="10"/>
      <c r="G34" s="28"/>
      <c r="H34" s="10"/>
      <c r="I34" s="28"/>
      <c r="J34" s="8" t="n">
        <f aca="false">IF(A34="","",COUNTIF(Despiece!$A$5:$A$1004,A34))</f>
        <v>3</v>
      </c>
      <c r="K34" s="29"/>
      <c r="L34" s="11" t="str">
        <f aca="false">IF(A34="","",IF(COUNTIFS(Despiece!$A$5:$A$1004,A34,Despiece!$D$5:$D$1004,"&gt;0")&lt;J34,"",IF(COUNTIFS(Despiece!$A$5:$A$1004,A34,Despiece!$G$5:$G$1004,"falta*")&gt;0,"",SUMIFS(Despiece!$G$5:$G$1004,Despiece!$A$5:$A$1004,A34))))</f>
        <v/>
      </c>
      <c r="M34" s="11" t="n">
        <f aca="false">IF(OR(A34="",E34=""),"",IFERROR(INDEX(Precios!$K$5:$K$84,MATCH(E34,Precios!$J$5:$J$84,0)),""))</f>
        <v>1900</v>
      </c>
      <c r="N34" s="11" t="n">
        <f aca="false">IF(A34="","",IFERROR(N(G34)*IF(F34="",0,INDEX(Precios!$N$5:$N$64,MATCH(F34,Precios!$M$5:$M$64,0)))+N(I34)*IF(H34="",0,INDEX(Precios!$N$5:$N$64,MATCH(H34,Precios!$M$5:$M$64,0))),""))</f>
        <v>0</v>
      </c>
      <c r="O34" s="12" t="str">
        <f aca="false">IF(A34="","",IFERROR(L34+M34+N34,""))</f>
        <v/>
      </c>
      <c r="P34" s="30" t="str">
        <f aca="false">IF(A34="","",IF(ISNUMBER(O34),"Lista"&amp;IF(N(Precios!$Q$10)=0," (impresión en $0)",""),IF(J34=0,"Agregar piezas en Despiece. ",IF(COUNTIFS(Despiece!$A$5:$A$1004,A34,Despiece!$D$5:$D$1004,"&gt;0")&lt;J34,"Metros de "&amp;(J34-COUNTIFS(Despiece!$A$5:$A$1004,A34,Despiece!$D$5:$D$1004,"&gt;0"))&amp;" pieza(s). ",""))&amp;IF(COUNTIFS(Despiece!$A$5:$A$1004,A34,Despiece!$G$5:$G$1004,"falta*")&gt;0,"Precio o peso de 1 m de alguna tela. ","")&amp;IF(M34="","Tipo/precio de confección. ","")))</f>
        <v>Metros de 3 pieza(s). </v>
      </c>
      <c r="Q34" s="28" t="s">
        <v>109</v>
      </c>
    </row>
    <row r="35" customFormat="false" ht="15" hidden="false" customHeight="false" outlineLevel="0" collapsed="false">
      <c r="A35" s="28" t="s">
        <v>110</v>
      </c>
      <c r="B35" s="28" t="s">
        <v>111</v>
      </c>
      <c r="C35" s="28" t="s">
        <v>56</v>
      </c>
      <c r="D35" s="28" t="s">
        <v>63</v>
      </c>
      <c r="E35" s="28" t="s">
        <v>107</v>
      </c>
      <c r="F35" s="10"/>
      <c r="G35" s="28"/>
      <c r="H35" s="10"/>
      <c r="I35" s="28"/>
      <c r="J35" s="8" t="n">
        <f aca="false">IF(A35="","",COUNTIF(Despiece!$A$5:$A$1004,A35))</f>
        <v>3</v>
      </c>
      <c r="K35" s="29"/>
      <c r="L35" s="11" t="str">
        <f aca="false">IF(A35="","",IF(COUNTIFS(Despiece!$A$5:$A$1004,A35,Despiece!$D$5:$D$1004,"&gt;0")&lt;J35,"",IF(COUNTIFS(Despiece!$A$5:$A$1004,A35,Despiece!$G$5:$G$1004,"falta*")&gt;0,"",SUMIFS(Despiece!$G$5:$G$1004,Despiece!$A$5:$A$1004,A35))))</f>
        <v/>
      </c>
      <c r="M35" s="11" t="n">
        <f aca="false">IF(OR(A35="",E35=""),"",IFERROR(INDEX(Precios!$K$5:$K$84,MATCH(E35,Precios!$J$5:$J$84,0)),""))</f>
        <v>1900</v>
      </c>
      <c r="N35" s="11" t="n">
        <f aca="false">IF(A35="","",IFERROR(N(G35)*IF(F35="",0,INDEX(Precios!$N$5:$N$64,MATCH(F35,Precios!$M$5:$M$64,0)))+N(I35)*IF(H35="",0,INDEX(Precios!$N$5:$N$64,MATCH(H35,Precios!$M$5:$M$64,0))),""))</f>
        <v>0</v>
      </c>
      <c r="O35" s="12" t="str">
        <f aca="false">IF(A35="","",IFERROR(L35+M35+N35,""))</f>
        <v/>
      </c>
      <c r="P35" s="30" t="str">
        <f aca="false">IF(A35="","",IF(ISNUMBER(O35),"Lista"&amp;IF(N(Precios!$Q$10)=0," (impresión en $0)",""),IF(J35=0,"Agregar piezas en Despiece. ",IF(COUNTIFS(Despiece!$A$5:$A$1004,A35,Despiece!$D$5:$D$1004,"&gt;0")&lt;J35,"Metros de "&amp;(J35-COUNTIFS(Despiece!$A$5:$A$1004,A35,Despiece!$D$5:$D$1004,"&gt;0"))&amp;" pieza(s). ",""))&amp;IF(COUNTIFS(Despiece!$A$5:$A$1004,A35,Despiece!$G$5:$G$1004,"falta*")&gt;0,"Precio o peso de 1 m de alguna tela. ","")&amp;IF(M35="","Tipo/precio de confección. ","")))</f>
        <v>Metros de 3 pieza(s). </v>
      </c>
      <c r="Q35" s="28"/>
    </row>
    <row r="36" customFormat="false" ht="15" hidden="false" customHeight="false" outlineLevel="0" collapsed="false">
      <c r="A36" s="28" t="s">
        <v>112</v>
      </c>
      <c r="B36" s="28" t="s">
        <v>111</v>
      </c>
      <c r="C36" s="28" t="s">
        <v>56</v>
      </c>
      <c r="D36" s="28" t="s">
        <v>65</v>
      </c>
      <c r="E36" s="28" t="s">
        <v>107</v>
      </c>
      <c r="F36" s="10"/>
      <c r="G36" s="28"/>
      <c r="H36" s="10"/>
      <c r="I36" s="28"/>
      <c r="J36" s="8" t="n">
        <f aca="false">IF(A36="","",COUNTIF(Despiece!$A$5:$A$1004,A36))</f>
        <v>3</v>
      </c>
      <c r="K36" s="29"/>
      <c r="L36" s="11" t="str">
        <f aca="false">IF(A36="","",IF(COUNTIFS(Despiece!$A$5:$A$1004,A36,Despiece!$D$5:$D$1004,"&gt;0")&lt;J36,"",IF(COUNTIFS(Despiece!$A$5:$A$1004,A36,Despiece!$G$5:$G$1004,"falta*")&gt;0,"",SUMIFS(Despiece!$G$5:$G$1004,Despiece!$A$5:$A$1004,A36))))</f>
        <v/>
      </c>
      <c r="M36" s="11" t="n">
        <f aca="false">IF(OR(A36="",E36=""),"",IFERROR(INDEX(Precios!$K$5:$K$84,MATCH(E36,Precios!$J$5:$J$84,0)),""))</f>
        <v>1900</v>
      </c>
      <c r="N36" s="11" t="n">
        <f aca="false">IF(A36="","",IFERROR(N(G36)*IF(F36="",0,INDEX(Precios!$N$5:$N$64,MATCH(F36,Precios!$M$5:$M$64,0)))+N(I36)*IF(H36="",0,INDEX(Precios!$N$5:$N$64,MATCH(H36,Precios!$M$5:$M$64,0))),""))</f>
        <v>0</v>
      </c>
      <c r="O36" s="12" t="str">
        <f aca="false">IF(A36="","",IFERROR(L36+M36+N36,""))</f>
        <v/>
      </c>
      <c r="P36" s="30" t="str">
        <f aca="false">IF(A36="","",IF(ISNUMBER(O36),"Lista"&amp;IF(N(Precios!$Q$10)=0," (impresión en $0)",""),IF(J36=0,"Agregar piezas en Despiece. ",IF(COUNTIFS(Despiece!$A$5:$A$1004,A36,Despiece!$D$5:$D$1004,"&gt;0")&lt;J36,"Metros de "&amp;(J36-COUNTIFS(Despiece!$A$5:$A$1004,A36,Despiece!$D$5:$D$1004,"&gt;0"))&amp;" pieza(s). ",""))&amp;IF(COUNTIFS(Despiece!$A$5:$A$1004,A36,Despiece!$G$5:$G$1004,"falta*")&gt;0,"Precio o peso de 1 m de alguna tela. ","")&amp;IF(M36="","Tipo/precio de confección. ","")))</f>
        <v>Metros de 3 pieza(s). </v>
      </c>
      <c r="Q36" s="28"/>
    </row>
    <row r="37" customFormat="false" ht="15" hidden="false" customHeight="false" outlineLevel="0" collapsed="false">
      <c r="A37" s="28" t="s">
        <v>113</v>
      </c>
      <c r="B37" s="28" t="s">
        <v>114</v>
      </c>
      <c r="C37" s="28" t="s">
        <v>56</v>
      </c>
      <c r="D37" s="28" t="s">
        <v>57</v>
      </c>
      <c r="E37" s="28" t="s">
        <v>107</v>
      </c>
      <c r="F37" s="10"/>
      <c r="G37" s="28"/>
      <c r="H37" s="10"/>
      <c r="I37" s="28"/>
      <c r="J37" s="8" t="n">
        <f aca="false">IF(A37="","",COUNTIF(Despiece!$A$5:$A$1004,A37))</f>
        <v>3</v>
      </c>
      <c r="K37" s="29"/>
      <c r="L37" s="11" t="str">
        <f aca="false">IF(A37="","",IF(COUNTIFS(Despiece!$A$5:$A$1004,A37,Despiece!$D$5:$D$1004,"&gt;0")&lt;J37,"",IF(COUNTIFS(Despiece!$A$5:$A$1004,A37,Despiece!$G$5:$G$1004,"falta*")&gt;0,"",SUMIFS(Despiece!$G$5:$G$1004,Despiece!$A$5:$A$1004,A37))))</f>
        <v/>
      </c>
      <c r="M37" s="11" t="n">
        <f aca="false">IF(OR(A37="",E37=""),"",IFERROR(INDEX(Precios!$K$5:$K$84,MATCH(E37,Precios!$J$5:$J$84,0)),""))</f>
        <v>1900</v>
      </c>
      <c r="N37" s="11" t="n">
        <f aca="false">IF(A37="","",IFERROR(N(G37)*IF(F37="",0,INDEX(Precios!$N$5:$N$64,MATCH(F37,Precios!$M$5:$M$64,0)))+N(I37)*IF(H37="",0,INDEX(Precios!$N$5:$N$64,MATCH(H37,Precios!$M$5:$M$64,0))),""))</f>
        <v>0</v>
      </c>
      <c r="O37" s="12" t="str">
        <f aca="false">IF(A37="","",IFERROR(L37+M37+N37,""))</f>
        <v/>
      </c>
      <c r="P37" s="30" t="str">
        <f aca="false">IF(A37="","",IF(ISNUMBER(O37),"Lista"&amp;IF(N(Precios!$Q$10)=0," (impresión en $0)",""),IF(J37=0,"Agregar piezas en Despiece. ",IF(COUNTIFS(Despiece!$A$5:$A$1004,A37,Despiece!$D$5:$D$1004,"&gt;0")&lt;J37,"Metros de "&amp;(J37-COUNTIFS(Despiece!$A$5:$A$1004,A37,Despiece!$D$5:$D$1004,"&gt;0"))&amp;" pieza(s). ",""))&amp;IF(COUNTIFS(Despiece!$A$5:$A$1004,A37,Despiece!$G$5:$G$1004,"falta*")&gt;0,"Precio o peso de 1 m de alguna tela. ","")&amp;IF(M37="","Tipo/precio de confección. ","")))</f>
        <v>Metros de 3 pieza(s). </v>
      </c>
      <c r="Q37" s="28"/>
    </row>
    <row r="38" customFormat="false" ht="15" hidden="false" customHeight="false" outlineLevel="0" collapsed="false">
      <c r="A38" s="28" t="s">
        <v>115</v>
      </c>
      <c r="B38" s="28" t="s">
        <v>114</v>
      </c>
      <c r="C38" s="28" t="s">
        <v>56</v>
      </c>
      <c r="D38" s="28" t="s">
        <v>60</v>
      </c>
      <c r="E38" s="28" t="s">
        <v>107</v>
      </c>
      <c r="F38" s="10"/>
      <c r="G38" s="28"/>
      <c r="H38" s="10"/>
      <c r="I38" s="28"/>
      <c r="J38" s="8" t="n">
        <f aca="false">IF(A38="","",COUNTIF(Despiece!$A$5:$A$1004,A38))</f>
        <v>3</v>
      </c>
      <c r="K38" s="29"/>
      <c r="L38" s="11" t="str">
        <f aca="false">IF(A38="","",IF(COUNTIFS(Despiece!$A$5:$A$1004,A38,Despiece!$D$5:$D$1004,"&gt;0")&lt;J38,"",IF(COUNTIFS(Despiece!$A$5:$A$1004,A38,Despiece!$G$5:$G$1004,"falta*")&gt;0,"",SUMIFS(Despiece!$G$5:$G$1004,Despiece!$A$5:$A$1004,A38))))</f>
        <v/>
      </c>
      <c r="M38" s="11" t="n">
        <f aca="false">IF(OR(A38="",E38=""),"",IFERROR(INDEX(Precios!$K$5:$K$84,MATCH(E38,Precios!$J$5:$J$84,0)),""))</f>
        <v>1900</v>
      </c>
      <c r="N38" s="11" t="n">
        <f aca="false">IF(A38="","",IFERROR(N(G38)*IF(F38="",0,INDEX(Precios!$N$5:$N$64,MATCH(F38,Precios!$M$5:$M$64,0)))+N(I38)*IF(H38="",0,INDEX(Precios!$N$5:$N$64,MATCH(H38,Precios!$M$5:$M$64,0))),""))</f>
        <v>0</v>
      </c>
      <c r="O38" s="12" t="str">
        <f aca="false">IF(A38="","",IFERROR(L38+M38+N38,""))</f>
        <v/>
      </c>
      <c r="P38" s="30" t="str">
        <f aca="false">IF(A38="","",IF(ISNUMBER(O38),"Lista"&amp;IF(N(Precios!$Q$10)=0," (impresión en $0)",""),IF(J38=0,"Agregar piezas en Despiece. ",IF(COUNTIFS(Despiece!$A$5:$A$1004,A38,Despiece!$D$5:$D$1004,"&gt;0")&lt;J38,"Metros de "&amp;(J38-COUNTIFS(Despiece!$A$5:$A$1004,A38,Despiece!$D$5:$D$1004,"&gt;0"))&amp;" pieza(s). ",""))&amp;IF(COUNTIFS(Despiece!$A$5:$A$1004,A38,Despiece!$G$5:$G$1004,"falta*")&gt;0,"Precio o peso de 1 m de alguna tela. ","")&amp;IF(M38="","Tipo/precio de confección. ","")))</f>
        <v>Metros de 3 pieza(s). </v>
      </c>
      <c r="Q38" s="28"/>
    </row>
    <row r="39" customFormat="false" ht="15" hidden="false" customHeight="false" outlineLevel="0" collapsed="false">
      <c r="A39" s="28" t="s">
        <v>116</v>
      </c>
      <c r="B39" s="28" t="s">
        <v>117</v>
      </c>
      <c r="C39" s="28" t="s">
        <v>56</v>
      </c>
      <c r="D39" s="28" t="s">
        <v>63</v>
      </c>
      <c r="E39" s="28" t="s">
        <v>107</v>
      </c>
      <c r="F39" s="10"/>
      <c r="G39" s="28"/>
      <c r="H39" s="10"/>
      <c r="I39" s="28"/>
      <c r="J39" s="8" t="n">
        <f aca="false">IF(A39="","",COUNTIF(Despiece!$A$5:$A$1004,A39))</f>
        <v>3</v>
      </c>
      <c r="K39" s="29"/>
      <c r="L39" s="11" t="str">
        <f aca="false">IF(A39="","",IF(COUNTIFS(Despiece!$A$5:$A$1004,A39,Despiece!$D$5:$D$1004,"&gt;0")&lt;J39,"",IF(COUNTIFS(Despiece!$A$5:$A$1004,A39,Despiece!$G$5:$G$1004,"falta*")&gt;0,"",SUMIFS(Despiece!$G$5:$G$1004,Despiece!$A$5:$A$1004,A39))))</f>
        <v/>
      </c>
      <c r="M39" s="11" t="n">
        <f aca="false">IF(OR(A39="",E39=""),"",IFERROR(INDEX(Precios!$K$5:$K$84,MATCH(E39,Precios!$J$5:$J$84,0)),""))</f>
        <v>1900</v>
      </c>
      <c r="N39" s="11" t="n">
        <f aca="false">IF(A39="","",IFERROR(N(G39)*IF(F39="",0,INDEX(Precios!$N$5:$N$64,MATCH(F39,Precios!$M$5:$M$64,0)))+N(I39)*IF(H39="",0,INDEX(Precios!$N$5:$N$64,MATCH(H39,Precios!$M$5:$M$64,0))),""))</f>
        <v>0</v>
      </c>
      <c r="O39" s="12" t="str">
        <f aca="false">IF(A39="","",IFERROR(L39+M39+N39,""))</f>
        <v/>
      </c>
      <c r="P39" s="30" t="str">
        <f aca="false">IF(A39="","",IF(ISNUMBER(O39),"Lista"&amp;IF(N(Precios!$Q$10)=0," (impresión en $0)",""),IF(J39=0,"Agregar piezas en Despiece. ",IF(COUNTIFS(Despiece!$A$5:$A$1004,A39,Despiece!$D$5:$D$1004,"&gt;0")&lt;J39,"Metros de "&amp;(J39-COUNTIFS(Despiece!$A$5:$A$1004,A39,Despiece!$D$5:$D$1004,"&gt;0"))&amp;" pieza(s). ",""))&amp;IF(COUNTIFS(Despiece!$A$5:$A$1004,A39,Despiece!$G$5:$G$1004,"falta*")&gt;0,"Precio o peso de 1 m de alguna tela. ","")&amp;IF(M39="","Tipo/precio de confección. ","")))</f>
        <v>Metros de 3 pieza(s). </v>
      </c>
      <c r="Q39" s="28"/>
    </row>
    <row r="40" customFormat="false" ht="15" hidden="false" customHeight="false" outlineLevel="0" collapsed="false">
      <c r="A40" s="28" t="s">
        <v>118</v>
      </c>
      <c r="B40" s="28" t="s">
        <v>117</v>
      </c>
      <c r="C40" s="28" t="s">
        <v>56</v>
      </c>
      <c r="D40" s="28" t="s">
        <v>65</v>
      </c>
      <c r="E40" s="28" t="s">
        <v>107</v>
      </c>
      <c r="F40" s="10"/>
      <c r="G40" s="28"/>
      <c r="H40" s="10"/>
      <c r="I40" s="28"/>
      <c r="J40" s="8" t="n">
        <f aca="false">IF(A40="","",COUNTIF(Despiece!$A$5:$A$1004,A40))</f>
        <v>3</v>
      </c>
      <c r="K40" s="29"/>
      <c r="L40" s="11" t="str">
        <f aca="false">IF(A40="","",IF(COUNTIFS(Despiece!$A$5:$A$1004,A40,Despiece!$D$5:$D$1004,"&gt;0")&lt;J40,"",IF(COUNTIFS(Despiece!$A$5:$A$1004,A40,Despiece!$G$5:$G$1004,"falta*")&gt;0,"",SUMIFS(Despiece!$G$5:$G$1004,Despiece!$A$5:$A$1004,A40))))</f>
        <v/>
      </c>
      <c r="M40" s="11" t="n">
        <f aca="false">IF(OR(A40="",E40=""),"",IFERROR(INDEX(Precios!$K$5:$K$84,MATCH(E40,Precios!$J$5:$J$84,0)),""))</f>
        <v>1900</v>
      </c>
      <c r="N40" s="11" t="n">
        <f aca="false">IF(A40="","",IFERROR(N(G40)*IF(F40="",0,INDEX(Precios!$N$5:$N$64,MATCH(F40,Precios!$M$5:$M$64,0)))+N(I40)*IF(H40="",0,INDEX(Precios!$N$5:$N$64,MATCH(H40,Precios!$M$5:$M$64,0))),""))</f>
        <v>0</v>
      </c>
      <c r="O40" s="12" t="str">
        <f aca="false">IF(A40="","",IFERROR(L40+M40+N40,""))</f>
        <v/>
      </c>
      <c r="P40" s="30" t="str">
        <f aca="false">IF(A40="","",IF(ISNUMBER(O40),"Lista"&amp;IF(N(Precios!$Q$10)=0," (impresión en $0)",""),IF(J40=0,"Agregar piezas en Despiece. ",IF(COUNTIFS(Despiece!$A$5:$A$1004,A40,Despiece!$D$5:$D$1004,"&gt;0")&lt;J40,"Metros de "&amp;(J40-COUNTIFS(Despiece!$A$5:$A$1004,A40,Despiece!$D$5:$D$1004,"&gt;0"))&amp;" pieza(s). ",""))&amp;IF(COUNTIFS(Despiece!$A$5:$A$1004,A40,Despiece!$G$5:$G$1004,"falta*")&gt;0,"Precio o peso de 1 m de alguna tela. ","")&amp;IF(M40="","Tipo/precio de confección. ","")))</f>
        <v>Metros de 3 pieza(s). </v>
      </c>
      <c r="Q40" s="28"/>
    </row>
    <row r="41" customFormat="false" ht="15" hidden="false" customHeight="false" outlineLevel="0" collapsed="false">
      <c r="A41" s="28" t="s">
        <v>119</v>
      </c>
      <c r="B41" s="28" t="s">
        <v>120</v>
      </c>
      <c r="C41" s="28" t="s">
        <v>56</v>
      </c>
      <c r="D41" s="28" t="s">
        <v>57</v>
      </c>
      <c r="E41" s="28" t="s">
        <v>121</v>
      </c>
      <c r="F41" s="10"/>
      <c r="G41" s="28"/>
      <c r="H41" s="10"/>
      <c r="I41" s="28"/>
      <c r="J41" s="8" t="n">
        <f aca="false">IF(A41="","",COUNTIF(Despiece!$A$5:$A$1004,A41))</f>
        <v>5</v>
      </c>
      <c r="K41" s="29"/>
      <c r="L41" s="11" t="str">
        <f aca="false">IF(A41="","",IF(COUNTIFS(Despiece!$A$5:$A$1004,A41,Despiece!$D$5:$D$1004,"&gt;0")&lt;J41,"",IF(COUNTIFS(Despiece!$A$5:$A$1004,A41,Despiece!$G$5:$G$1004,"falta*")&gt;0,"",SUMIFS(Despiece!$G$5:$G$1004,Despiece!$A$5:$A$1004,A41))))</f>
        <v/>
      </c>
      <c r="M41" s="11" t="n">
        <f aca="false">IF(OR(A41="",E41=""),"",IFERROR(INDEX(Precios!$K$5:$K$84,MATCH(E41,Precios!$J$5:$J$84,0)),""))</f>
        <v>2400</v>
      </c>
      <c r="N41" s="11" t="n">
        <f aca="false">IF(A41="","",IFERROR(N(G41)*IF(F41="",0,INDEX(Precios!$N$5:$N$64,MATCH(F41,Precios!$M$5:$M$64,0)))+N(I41)*IF(H41="",0,INDEX(Precios!$N$5:$N$64,MATCH(H41,Precios!$M$5:$M$64,0))),""))</f>
        <v>0</v>
      </c>
      <c r="O41" s="12" t="str">
        <f aca="false">IF(A41="","",IFERROR(L41+M41+N41,""))</f>
        <v/>
      </c>
      <c r="P41" s="30" t="str">
        <f aca="false">IF(A41="","",IF(ISNUMBER(O41),"Lista"&amp;IF(N(Precios!$Q$10)=0," (impresión en $0)",""),IF(J41=0,"Agregar piezas en Despiece. ",IF(COUNTIFS(Despiece!$A$5:$A$1004,A41,Despiece!$D$5:$D$1004,"&gt;0")&lt;J41,"Metros de "&amp;(J41-COUNTIFS(Despiece!$A$5:$A$1004,A41,Despiece!$D$5:$D$1004,"&gt;0"))&amp;" pieza(s). ",""))&amp;IF(COUNTIFS(Despiece!$A$5:$A$1004,A41,Despiece!$G$5:$G$1004,"falta*")&gt;0,"Precio o peso de 1 m de alguna tela. ","")&amp;IF(M41="","Tipo/precio de confección. ","")))</f>
        <v>Metros de 5 pieza(s). </v>
      </c>
      <c r="Q41" s="28"/>
    </row>
    <row r="42" customFormat="false" ht="15" hidden="false" customHeight="false" outlineLevel="0" collapsed="false">
      <c r="A42" s="28" t="s">
        <v>122</v>
      </c>
      <c r="B42" s="28" t="s">
        <v>120</v>
      </c>
      <c r="C42" s="28" t="s">
        <v>56</v>
      </c>
      <c r="D42" s="28" t="s">
        <v>60</v>
      </c>
      <c r="E42" s="28" t="s">
        <v>121</v>
      </c>
      <c r="F42" s="10"/>
      <c r="G42" s="28"/>
      <c r="H42" s="10"/>
      <c r="I42" s="28"/>
      <c r="J42" s="8" t="n">
        <f aca="false">IF(A42="","",COUNTIF(Despiece!$A$5:$A$1004,A42))</f>
        <v>5</v>
      </c>
      <c r="K42" s="29"/>
      <c r="L42" s="11" t="str">
        <f aca="false">IF(A42="","",IF(COUNTIFS(Despiece!$A$5:$A$1004,A42,Despiece!$D$5:$D$1004,"&gt;0")&lt;J42,"",IF(COUNTIFS(Despiece!$A$5:$A$1004,A42,Despiece!$G$5:$G$1004,"falta*")&gt;0,"",SUMIFS(Despiece!$G$5:$G$1004,Despiece!$A$5:$A$1004,A42))))</f>
        <v/>
      </c>
      <c r="M42" s="11" t="n">
        <f aca="false">IF(OR(A42="",E42=""),"",IFERROR(INDEX(Precios!$K$5:$K$84,MATCH(E42,Precios!$J$5:$J$84,0)),""))</f>
        <v>2400</v>
      </c>
      <c r="N42" s="11" t="n">
        <f aca="false">IF(A42="","",IFERROR(N(G42)*IF(F42="",0,INDEX(Precios!$N$5:$N$64,MATCH(F42,Precios!$M$5:$M$64,0)))+N(I42)*IF(H42="",0,INDEX(Precios!$N$5:$N$64,MATCH(H42,Precios!$M$5:$M$64,0))),""))</f>
        <v>0</v>
      </c>
      <c r="O42" s="12" t="str">
        <f aca="false">IF(A42="","",IFERROR(L42+M42+N42,""))</f>
        <v/>
      </c>
      <c r="P42" s="30" t="str">
        <f aca="false">IF(A42="","",IF(ISNUMBER(O42),"Lista"&amp;IF(N(Precios!$Q$10)=0," (impresión en $0)",""),IF(J42=0,"Agregar piezas en Despiece. ",IF(COUNTIFS(Despiece!$A$5:$A$1004,A42,Despiece!$D$5:$D$1004,"&gt;0")&lt;J42,"Metros de "&amp;(J42-COUNTIFS(Despiece!$A$5:$A$1004,A42,Despiece!$D$5:$D$1004,"&gt;0"))&amp;" pieza(s). ",""))&amp;IF(COUNTIFS(Despiece!$A$5:$A$1004,A42,Despiece!$G$5:$G$1004,"falta*")&gt;0,"Precio o peso de 1 m de alguna tela. ","")&amp;IF(M42="","Tipo/precio de confección. ","")))</f>
        <v>Metros de 5 pieza(s). </v>
      </c>
      <c r="Q42" s="28"/>
    </row>
    <row r="43" customFormat="false" ht="15" hidden="false" customHeight="false" outlineLevel="0" collapsed="false">
      <c r="A43" s="28" t="s">
        <v>123</v>
      </c>
      <c r="B43" s="28" t="s">
        <v>124</v>
      </c>
      <c r="C43" s="28" t="s">
        <v>56</v>
      </c>
      <c r="D43" s="28" t="s">
        <v>63</v>
      </c>
      <c r="E43" s="28" t="s">
        <v>121</v>
      </c>
      <c r="F43" s="10"/>
      <c r="G43" s="28"/>
      <c r="H43" s="10"/>
      <c r="I43" s="28"/>
      <c r="J43" s="8" t="n">
        <f aca="false">IF(A43="","",COUNTIF(Despiece!$A$5:$A$1004,A43))</f>
        <v>5</v>
      </c>
      <c r="K43" s="29"/>
      <c r="L43" s="11" t="str">
        <f aca="false">IF(A43="","",IF(COUNTIFS(Despiece!$A$5:$A$1004,A43,Despiece!$D$5:$D$1004,"&gt;0")&lt;J43,"",IF(COUNTIFS(Despiece!$A$5:$A$1004,A43,Despiece!$G$5:$G$1004,"falta*")&gt;0,"",SUMIFS(Despiece!$G$5:$G$1004,Despiece!$A$5:$A$1004,A43))))</f>
        <v/>
      </c>
      <c r="M43" s="11" t="n">
        <f aca="false">IF(OR(A43="",E43=""),"",IFERROR(INDEX(Precios!$K$5:$K$84,MATCH(E43,Precios!$J$5:$J$84,0)),""))</f>
        <v>2400</v>
      </c>
      <c r="N43" s="11" t="n">
        <f aca="false">IF(A43="","",IFERROR(N(G43)*IF(F43="",0,INDEX(Precios!$N$5:$N$64,MATCH(F43,Precios!$M$5:$M$64,0)))+N(I43)*IF(H43="",0,INDEX(Precios!$N$5:$N$64,MATCH(H43,Precios!$M$5:$M$64,0))),""))</f>
        <v>0</v>
      </c>
      <c r="O43" s="12" t="str">
        <f aca="false">IF(A43="","",IFERROR(L43+M43+N43,""))</f>
        <v/>
      </c>
      <c r="P43" s="30" t="str">
        <f aca="false">IF(A43="","",IF(ISNUMBER(O43),"Lista"&amp;IF(N(Precios!$Q$10)=0," (impresión en $0)",""),IF(J43=0,"Agregar piezas en Despiece. ",IF(COUNTIFS(Despiece!$A$5:$A$1004,A43,Despiece!$D$5:$D$1004,"&gt;0")&lt;J43,"Metros de "&amp;(J43-COUNTIFS(Despiece!$A$5:$A$1004,A43,Despiece!$D$5:$D$1004,"&gt;0"))&amp;" pieza(s). ",""))&amp;IF(COUNTIFS(Despiece!$A$5:$A$1004,A43,Despiece!$G$5:$G$1004,"falta*")&gt;0,"Precio o peso de 1 m de alguna tela. ","")&amp;IF(M43="","Tipo/precio de confección. ","")))</f>
        <v>Metros de 5 pieza(s). </v>
      </c>
      <c r="Q43" s="28"/>
    </row>
    <row r="44" customFormat="false" ht="15" hidden="false" customHeight="false" outlineLevel="0" collapsed="false">
      <c r="A44" s="28" t="s">
        <v>125</v>
      </c>
      <c r="B44" s="28" t="s">
        <v>124</v>
      </c>
      <c r="C44" s="28" t="s">
        <v>56</v>
      </c>
      <c r="D44" s="28" t="s">
        <v>65</v>
      </c>
      <c r="E44" s="28" t="s">
        <v>121</v>
      </c>
      <c r="F44" s="10"/>
      <c r="G44" s="28"/>
      <c r="H44" s="10"/>
      <c r="I44" s="28"/>
      <c r="J44" s="8" t="n">
        <f aca="false">IF(A44="","",COUNTIF(Despiece!$A$5:$A$1004,A44))</f>
        <v>5</v>
      </c>
      <c r="K44" s="29"/>
      <c r="L44" s="11" t="str">
        <f aca="false">IF(A44="","",IF(COUNTIFS(Despiece!$A$5:$A$1004,A44,Despiece!$D$5:$D$1004,"&gt;0")&lt;J44,"",IF(COUNTIFS(Despiece!$A$5:$A$1004,A44,Despiece!$G$5:$G$1004,"falta*")&gt;0,"",SUMIFS(Despiece!$G$5:$G$1004,Despiece!$A$5:$A$1004,A44))))</f>
        <v/>
      </c>
      <c r="M44" s="11" t="n">
        <f aca="false">IF(OR(A44="",E44=""),"",IFERROR(INDEX(Precios!$K$5:$K$84,MATCH(E44,Precios!$J$5:$J$84,0)),""))</f>
        <v>2400</v>
      </c>
      <c r="N44" s="11" t="n">
        <f aca="false">IF(A44="","",IFERROR(N(G44)*IF(F44="",0,INDEX(Precios!$N$5:$N$64,MATCH(F44,Precios!$M$5:$M$64,0)))+N(I44)*IF(H44="",0,INDEX(Precios!$N$5:$N$64,MATCH(H44,Precios!$M$5:$M$64,0))),""))</f>
        <v>0</v>
      </c>
      <c r="O44" s="12" t="str">
        <f aca="false">IF(A44="","",IFERROR(L44+M44+N44,""))</f>
        <v/>
      </c>
      <c r="P44" s="30" t="str">
        <f aca="false">IF(A44="","",IF(ISNUMBER(O44),"Lista"&amp;IF(N(Precios!$Q$10)=0," (impresión en $0)",""),IF(J44=0,"Agregar piezas en Despiece. ",IF(COUNTIFS(Despiece!$A$5:$A$1004,A44,Despiece!$D$5:$D$1004,"&gt;0")&lt;J44,"Metros de "&amp;(J44-COUNTIFS(Despiece!$A$5:$A$1004,A44,Despiece!$D$5:$D$1004,"&gt;0"))&amp;" pieza(s). ",""))&amp;IF(COUNTIFS(Despiece!$A$5:$A$1004,A44,Despiece!$G$5:$G$1004,"falta*")&gt;0,"Precio o peso de 1 m de alguna tela. ","")&amp;IF(M44="","Tipo/precio de confección. ","")))</f>
        <v>Metros de 5 pieza(s). </v>
      </c>
      <c r="Q44" s="28"/>
    </row>
    <row r="45" customFormat="false" ht="15" hidden="false" customHeight="false" outlineLevel="0" collapsed="false">
      <c r="A45" s="28" t="s">
        <v>126</v>
      </c>
      <c r="B45" s="28" t="s">
        <v>127</v>
      </c>
      <c r="C45" s="28" t="s">
        <v>56</v>
      </c>
      <c r="D45" s="28" t="s">
        <v>57</v>
      </c>
      <c r="E45" s="28" t="s">
        <v>128</v>
      </c>
      <c r="F45" s="10"/>
      <c r="G45" s="28"/>
      <c r="H45" s="10"/>
      <c r="I45" s="28"/>
      <c r="J45" s="8" t="n">
        <f aca="false">IF(A45="","",COUNTIF(Despiece!$A$5:$A$1004,A45))</f>
        <v>4</v>
      </c>
      <c r="K45" s="29"/>
      <c r="L45" s="11" t="str">
        <f aca="false">IF(A45="","",IF(COUNTIFS(Despiece!$A$5:$A$1004,A45,Despiece!$D$5:$D$1004,"&gt;0")&lt;J45,"",IF(COUNTIFS(Despiece!$A$5:$A$1004,A45,Despiece!$G$5:$G$1004,"falta*")&gt;0,"",SUMIFS(Despiece!$G$5:$G$1004,Despiece!$A$5:$A$1004,A45))))</f>
        <v/>
      </c>
      <c r="M45" s="11" t="n">
        <f aca="false">IF(OR(A45="",E45=""),"",IFERROR(INDEX(Precios!$K$5:$K$84,MATCH(E45,Precios!$J$5:$J$84,0)),""))</f>
        <v>2000</v>
      </c>
      <c r="N45" s="11" t="n">
        <f aca="false">IF(A45="","",IFERROR(N(G45)*IF(F45="",0,INDEX(Precios!$N$5:$N$64,MATCH(F45,Precios!$M$5:$M$64,0)))+N(I45)*IF(H45="",0,INDEX(Precios!$N$5:$N$64,MATCH(H45,Precios!$M$5:$M$64,0))),""))</f>
        <v>0</v>
      </c>
      <c r="O45" s="12" t="str">
        <f aca="false">IF(A45="","",IFERROR(L45+M45+N45,""))</f>
        <v/>
      </c>
      <c r="P45" s="30" t="str">
        <f aca="false">IF(A45="","",IF(ISNUMBER(O45),"Lista"&amp;IF(N(Precios!$Q$10)=0," (impresión en $0)",""),IF(J45=0,"Agregar piezas en Despiece. ",IF(COUNTIFS(Despiece!$A$5:$A$1004,A45,Despiece!$D$5:$D$1004,"&gt;0")&lt;J45,"Metros de "&amp;(J45-COUNTIFS(Despiece!$A$5:$A$1004,A45,Despiece!$D$5:$D$1004,"&gt;0"))&amp;" pieza(s). ",""))&amp;IF(COUNTIFS(Despiece!$A$5:$A$1004,A45,Despiece!$G$5:$G$1004,"falta*")&gt;0,"Precio o peso de 1 m de alguna tela. ","")&amp;IF(M45="","Tipo/precio de confección. ","")))</f>
        <v>Metros de 4 pieza(s). </v>
      </c>
      <c r="Q45" s="28"/>
    </row>
    <row r="46" customFormat="false" ht="15" hidden="false" customHeight="false" outlineLevel="0" collapsed="false">
      <c r="A46" s="28" t="s">
        <v>129</v>
      </c>
      <c r="B46" s="28" t="s">
        <v>127</v>
      </c>
      <c r="C46" s="28" t="s">
        <v>56</v>
      </c>
      <c r="D46" s="28" t="s">
        <v>60</v>
      </c>
      <c r="E46" s="28" t="s">
        <v>128</v>
      </c>
      <c r="F46" s="10"/>
      <c r="G46" s="28"/>
      <c r="H46" s="10"/>
      <c r="I46" s="28"/>
      <c r="J46" s="8" t="n">
        <f aca="false">IF(A46="","",COUNTIF(Despiece!$A$5:$A$1004,A46))</f>
        <v>4</v>
      </c>
      <c r="K46" s="29"/>
      <c r="L46" s="11" t="str">
        <f aca="false">IF(A46="","",IF(COUNTIFS(Despiece!$A$5:$A$1004,A46,Despiece!$D$5:$D$1004,"&gt;0")&lt;J46,"",IF(COUNTIFS(Despiece!$A$5:$A$1004,A46,Despiece!$G$5:$G$1004,"falta*")&gt;0,"",SUMIFS(Despiece!$G$5:$G$1004,Despiece!$A$5:$A$1004,A46))))</f>
        <v/>
      </c>
      <c r="M46" s="11" t="n">
        <f aca="false">IF(OR(A46="",E46=""),"",IFERROR(INDEX(Precios!$K$5:$K$84,MATCH(E46,Precios!$J$5:$J$84,0)),""))</f>
        <v>2000</v>
      </c>
      <c r="N46" s="11" t="n">
        <f aca="false">IF(A46="","",IFERROR(N(G46)*IF(F46="",0,INDEX(Precios!$N$5:$N$64,MATCH(F46,Precios!$M$5:$M$64,0)))+N(I46)*IF(H46="",0,INDEX(Precios!$N$5:$N$64,MATCH(H46,Precios!$M$5:$M$64,0))),""))</f>
        <v>0</v>
      </c>
      <c r="O46" s="12" t="str">
        <f aca="false">IF(A46="","",IFERROR(L46+M46+N46,""))</f>
        <v/>
      </c>
      <c r="P46" s="30" t="str">
        <f aca="false">IF(A46="","",IF(ISNUMBER(O46),"Lista"&amp;IF(N(Precios!$Q$10)=0," (impresión en $0)",""),IF(J46=0,"Agregar piezas en Despiece. ",IF(COUNTIFS(Despiece!$A$5:$A$1004,A46,Despiece!$D$5:$D$1004,"&gt;0")&lt;J46,"Metros de "&amp;(J46-COUNTIFS(Despiece!$A$5:$A$1004,A46,Despiece!$D$5:$D$1004,"&gt;0"))&amp;" pieza(s). ",""))&amp;IF(COUNTIFS(Despiece!$A$5:$A$1004,A46,Despiece!$G$5:$G$1004,"falta*")&gt;0,"Precio o peso de 1 m de alguna tela. ","")&amp;IF(M46="","Tipo/precio de confección. ","")))</f>
        <v>Metros de 4 pieza(s). </v>
      </c>
      <c r="Q46" s="28"/>
    </row>
    <row r="47" customFormat="false" ht="15" hidden="false" customHeight="false" outlineLevel="0" collapsed="false">
      <c r="A47" s="28" t="s">
        <v>130</v>
      </c>
      <c r="B47" s="28" t="s">
        <v>131</v>
      </c>
      <c r="C47" s="28" t="s">
        <v>56</v>
      </c>
      <c r="D47" s="28" t="s">
        <v>57</v>
      </c>
      <c r="E47" s="28" t="s">
        <v>128</v>
      </c>
      <c r="F47" s="10"/>
      <c r="G47" s="28"/>
      <c r="H47" s="10"/>
      <c r="I47" s="28"/>
      <c r="J47" s="8" t="n">
        <f aca="false">IF(A47="","",COUNTIF(Despiece!$A$5:$A$1004,A47))</f>
        <v>4</v>
      </c>
      <c r="K47" s="29"/>
      <c r="L47" s="11" t="str">
        <f aca="false">IF(A47="","",IF(COUNTIFS(Despiece!$A$5:$A$1004,A47,Despiece!$D$5:$D$1004,"&gt;0")&lt;J47,"",IF(COUNTIFS(Despiece!$A$5:$A$1004,A47,Despiece!$G$5:$G$1004,"falta*")&gt;0,"",SUMIFS(Despiece!$G$5:$G$1004,Despiece!$A$5:$A$1004,A47))))</f>
        <v/>
      </c>
      <c r="M47" s="11" t="n">
        <f aca="false">IF(OR(A47="",E47=""),"",IFERROR(INDEX(Precios!$K$5:$K$84,MATCH(E47,Precios!$J$5:$J$84,0)),""))</f>
        <v>2000</v>
      </c>
      <c r="N47" s="11" t="n">
        <f aca="false">IF(A47="","",IFERROR(N(G47)*IF(F47="",0,INDEX(Precios!$N$5:$N$64,MATCH(F47,Precios!$M$5:$M$64,0)))+N(I47)*IF(H47="",0,INDEX(Precios!$N$5:$N$64,MATCH(H47,Precios!$M$5:$M$64,0))),""))</f>
        <v>0</v>
      </c>
      <c r="O47" s="12" t="str">
        <f aca="false">IF(A47="","",IFERROR(L47+M47+N47,""))</f>
        <v/>
      </c>
      <c r="P47" s="30" t="str">
        <f aca="false">IF(A47="","",IF(ISNUMBER(O47),"Lista"&amp;IF(N(Precios!$Q$10)=0," (impresión en $0)",""),IF(J47=0,"Agregar piezas en Despiece. ",IF(COUNTIFS(Despiece!$A$5:$A$1004,A47,Despiece!$D$5:$D$1004,"&gt;0")&lt;J47,"Metros de "&amp;(J47-COUNTIFS(Despiece!$A$5:$A$1004,A47,Despiece!$D$5:$D$1004,"&gt;0"))&amp;" pieza(s). ",""))&amp;IF(COUNTIFS(Despiece!$A$5:$A$1004,A47,Despiece!$G$5:$G$1004,"falta*")&gt;0,"Precio o peso de 1 m de alguna tela. ","")&amp;IF(M47="","Tipo/precio de confección. ","")))</f>
        <v>Metros de 4 pieza(s). </v>
      </c>
      <c r="Q47" s="28"/>
    </row>
    <row r="48" customFormat="false" ht="15" hidden="false" customHeight="false" outlineLevel="0" collapsed="false">
      <c r="A48" s="28" t="s">
        <v>132</v>
      </c>
      <c r="B48" s="28" t="s">
        <v>131</v>
      </c>
      <c r="C48" s="28" t="s">
        <v>56</v>
      </c>
      <c r="D48" s="28" t="s">
        <v>60</v>
      </c>
      <c r="E48" s="28" t="s">
        <v>128</v>
      </c>
      <c r="F48" s="10"/>
      <c r="G48" s="28"/>
      <c r="H48" s="10"/>
      <c r="I48" s="28"/>
      <c r="J48" s="8" t="n">
        <f aca="false">IF(A48="","",COUNTIF(Despiece!$A$5:$A$1004,A48))</f>
        <v>4</v>
      </c>
      <c r="K48" s="29"/>
      <c r="L48" s="11" t="str">
        <f aca="false">IF(A48="","",IF(COUNTIFS(Despiece!$A$5:$A$1004,A48,Despiece!$D$5:$D$1004,"&gt;0")&lt;J48,"",IF(COUNTIFS(Despiece!$A$5:$A$1004,A48,Despiece!$G$5:$G$1004,"falta*")&gt;0,"",SUMIFS(Despiece!$G$5:$G$1004,Despiece!$A$5:$A$1004,A48))))</f>
        <v/>
      </c>
      <c r="M48" s="11" t="n">
        <f aca="false">IF(OR(A48="",E48=""),"",IFERROR(INDEX(Precios!$K$5:$K$84,MATCH(E48,Precios!$J$5:$J$84,0)),""))</f>
        <v>2000</v>
      </c>
      <c r="N48" s="11" t="n">
        <f aca="false">IF(A48="","",IFERROR(N(G48)*IF(F48="",0,INDEX(Precios!$N$5:$N$64,MATCH(F48,Precios!$M$5:$M$64,0)))+N(I48)*IF(H48="",0,INDEX(Precios!$N$5:$N$64,MATCH(H48,Precios!$M$5:$M$64,0))),""))</f>
        <v>0</v>
      </c>
      <c r="O48" s="12" t="str">
        <f aca="false">IF(A48="","",IFERROR(L48+M48+N48,""))</f>
        <v/>
      </c>
      <c r="P48" s="30" t="str">
        <f aca="false">IF(A48="","",IF(ISNUMBER(O48),"Lista"&amp;IF(N(Precios!$Q$10)=0," (impresión en $0)",""),IF(J48=0,"Agregar piezas en Despiece. ",IF(COUNTIFS(Despiece!$A$5:$A$1004,A48,Despiece!$D$5:$D$1004,"&gt;0")&lt;J48,"Metros de "&amp;(J48-COUNTIFS(Despiece!$A$5:$A$1004,A48,Despiece!$D$5:$D$1004,"&gt;0"))&amp;" pieza(s). ",""))&amp;IF(COUNTIFS(Despiece!$A$5:$A$1004,A48,Despiece!$G$5:$G$1004,"falta*")&gt;0,"Precio o peso de 1 m de alguna tela. ","")&amp;IF(M48="","Tipo/precio de confección. ","")))</f>
        <v>Metros de 4 pieza(s). </v>
      </c>
      <c r="Q48" s="28"/>
    </row>
    <row r="49" customFormat="false" ht="15" hidden="false" customHeight="false" outlineLevel="0" collapsed="false">
      <c r="A49" s="28" t="s">
        <v>133</v>
      </c>
      <c r="B49" s="28" t="s">
        <v>134</v>
      </c>
      <c r="C49" s="28" t="s">
        <v>135</v>
      </c>
      <c r="D49" s="28" t="s">
        <v>57</v>
      </c>
      <c r="E49" s="28" t="s">
        <v>136</v>
      </c>
      <c r="F49" s="10"/>
      <c r="G49" s="28"/>
      <c r="H49" s="10"/>
      <c r="I49" s="28"/>
      <c r="J49" s="8" t="n">
        <f aca="false">IF(A49="","",COUNTIF(Despiece!$A$5:$A$1004,A49))</f>
        <v>3</v>
      </c>
      <c r="K49" s="29"/>
      <c r="L49" s="11" t="str">
        <f aca="false">IF(A49="","",IF(COUNTIFS(Despiece!$A$5:$A$1004,A49,Despiece!$D$5:$D$1004,"&gt;0")&lt;J49,"",IF(COUNTIFS(Despiece!$A$5:$A$1004,A49,Despiece!$G$5:$G$1004,"falta*")&gt;0,"",SUMIFS(Despiece!$G$5:$G$1004,Despiece!$A$5:$A$1004,A49))))</f>
        <v/>
      </c>
      <c r="M49" s="11" t="n">
        <f aca="false">IF(OR(A49="",E49=""),"",IFERROR(INDEX(Precios!$K$5:$K$84,MATCH(E49,Precios!$J$5:$J$84,0)),""))</f>
        <v>1900</v>
      </c>
      <c r="N49" s="11" t="n">
        <f aca="false">IF(A49="","",IFERROR(N(G49)*IF(F49="",0,INDEX(Precios!$N$5:$N$64,MATCH(F49,Precios!$M$5:$M$64,0)))+N(I49)*IF(H49="",0,INDEX(Precios!$N$5:$N$64,MATCH(H49,Precios!$M$5:$M$64,0))),""))</f>
        <v>0</v>
      </c>
      <c r="O49" s="12" t="str">
        <f aca="false">IF(A49="","",IFERROR(L49+M49+N49,""))</f>
        <v/>
      </c>
      <c r="P49" s="30" t="str">
        <f aca="false">IF(A49="","",IF(ISNUMBER(O49),"Lista"&amp;IF(N(Precios!$Q$10)=0," (impresión en $0)",""),IF(J49=0,"Agregar piezas en Despiece. ",IF(COUNTIFS(Despiece!$A$5:$A$1004,A49,Despiece!$D$5:$D$1004,"&gt;0")&lt;J49,"Metros de "&amp;(J49-COUNTIFS(Despiece!$A$5:$A$1004,A49,Despiece!$D$5:$D$1004,"&gt;0"))&amp;" pieza(s). ",""))&amp;IF(COUNTIFS(Despiece!$A$5:$A$1004,A49,Despiece!$G$5:$G$1004,"falta*")&gt;0,"Precio o peso de 1 m de alguna tela. ","")&amp;IF(M49="","Tipo/precio de confección. ","")))</f>
        <v>Metros de 3 pieza(s). </v>
      </c>
      <c r="Q49" s="28"/>
    </row>
    <row r="50" customFormat="false" ht="15" hidden="false" customHeight="false" outlineLevel="0" collapsed="false">
      <c r="A50" s="28" t="s">
        <v>137</v>
      </c>
      <c r="B50" s="28" t="s">
        <v>134</v>
      </c>
      <c r="C50" s="28" t="s">
        <v>135</v>
      </c>
      <c r="D50" s="28" t="s">
        <v>60</v>
      </c>
      <c r="E50" s="28" t="s">
        <v>136</v>
      </c>
      <c r="F50" s="10"/>
      <c r="G50" s="28"/>
      <c r="H50" s="10"/>
      <c r="I50" s="28"/>
      <c r="J50" s="8" t="n">
        <f aca="false">IF(A50="","",COUNTIF(Despiece!$A$5:$A$1004,A50))</f>
        <v>3</v>
      </c>
      <c r="K50" s="29"/>
      <c r="L50" s="11" t="str">
        <f aca="false">IF(A50="","",IF(COUNTIFS(Despiece!$A$5:$A$1004,A50,Despiece!$D$5:$D$1004,"&gt;0")&lt;J50,"",IF(COUNTIFS(Despiece!$A$5:$A$1004,A50,Despiece!$G$5:$G$1004,"falta*")&gt;0,"",SUMIFS(Despiece!$G$5:$G$1004,Despiece!$A$5:$A$1004,A50))))</f>
        <v/>
      </c>
      <c r="M50" s="11" t="n">
        <f aca="false">IF(OR(A50="",E50=""),"",IFERROR(INDEX(Precios!$K$5:$K$84,MATCH(E50,Precios!$J$5:$J$84,0)),""))</f>
        <v>1900</v>
      </c>
      <c r="N50" s="11" t="n">
        <f aca="false">IF(A50="","",IFERROR(N(G50)*IF(F50="",0,INDEX(Precios!$N$5:$N$64,MATCH(F50,Precios!$M$5:$M$64,0)))+N(I50)*IF(H50="",0,INDEX(Precios!$N$5:$N$64,MATCH(H50,Precios!$M$5:$M$64,0))),""))</f>
        <v>0</v>
      </c>
      <c r="O50" s="12" t="str">
        <f aca="false">IF(A50="","",IFERROR(L50+M50+N50,""))</f>
        <v/>
      </c>
      <c r="P50" s="30" t="str">
        <f aca="false">IF(A50="","",IF(ISNUMBER(O50),"Lista"&amp;IF(N(Precios!$Q$10)=0," (impresión en $0)",""),IF(J50=0,"Agregar piezas en Despiece. ",IF(COUNTIFS(Despiece!$A$5:$A$1004,A50,Despiece!$D$5:$D$1004,"&gt;0")&lt;J50,"Metros de "&amp;(J50-COUNTIFS(Despiece!$A$5:$A$1004,A50,Despiece!$D$5:$D$1004,"&gt;0"))&amp;" pieza(s). ",""))&amp;IF(COUNTIFS(Despiece!$A$5:$A$1004,A50,Despiece!$G$5:$G$1004,"falta*")&gt;0,"Precio o peso de 1 m de alguna tela. ","")&amp;IF(M50="","Tipo/precio de confección. ","")))</f>
        <v>Metros de 3 pieza(s). </v>
      </c>
      <c r="Q50" s="28" t="s">
        <v>138</v>
      </c>
    </row>
    <row r="51" customFormat="false" ht="15" hidden="false" customHeight="false" outlineLevel="0" collapsed="false">
      <c r="A51" s="28" t="s">
        <v>139</v>
      </c>
      <c r="B51" s="28" t="s">
        <v>140</v>
      </c>
      <c r="C51" s="28" t="s">
        <v>135</v>
      </c>
      <c r="D51" s="28" t="s">
        <v>63</v>
      </c>
      <c r="E51" s="28" t="s">
        <v>136</v>
      </c>
      <c r="F51" s="10"/>
      <c r="G51" s="28"/>
      <c r="H51" s="10"/>
      <c r="I51" s="28"/>
      <c r="J51" s="8" t="n">
        <f aca="false">IF(A51="","",COUNTIF(Despiece!$A$5:$A$1004,A51))</f>
        <v>3</v>
      </c>
      <c r="K51" s="29"/>
      <c r="L51" s="11" t="str">
        <f aca="false">IF(A51="","",IF(COUNTIFS(Despiece!$A$5:$A$1004,A51,Despiece!$D$5:$D$1004,"&gt;0")&lt;J51,"",IF(COUNTIFS(Despiece!$A$5:$A$1004,A51,Despiece!$G$5:$G$1004,"falta*")&gt;0,"",SUMIFS(Despiece!$G$5:$G$1004,Despiece!$A$5:$A$1004,A51))))</f>
        <v/>
      </c>
      <c r="M51" s="11" t="n">
        <f aca="false">IF(OR(A51="",E51=""),"",IFERROR(INDEX(Precios!$K$5:$K$84,MATCH(E51,Precios!$J$5:$J$84,0)),""))</f>
        <v>1900</v>
      </c>
      <c r="N51" s="11" t="n">
        <f aca="false">IF(A51="","",IFERROR(N(G51)*IF(F51="",0,INDEX(Precios!$N$5:$N$64,MATCH(F51,Precios!$M$5:$M$64,0)))+N(I51)*IF(H51="",0,INDEX(Precios!$N$5:$N$64,MATCH(H51,Precios!$M$5:$M$64,0))),""))</f>
        <v>0</v>
      </c>
      <c r="O51" s="12" t="str">
        <f aca="false">IF(A51="","",IFERROR(L51+M51+N51,""))</f>
        <v/>
      </c>
      <c r="P51" s="30" t="str">
        <f aca="false">IF(A51="","",IF(ISNUMBER(O51),"Lista"&amp;IF(N(Precios!$Q$10)=0," (impresión en $0)",""),IF(J51=0,"Agregar piezas en Despiece. ",IF(COUNTIFS(Despiece!$A$5:$A$1004,A51,Despiece!$D$5:$D$1004,"&gt;0")&lt;J51,"Metros de "&amp;(J51-COUNTIFS(Despiece!$A$5:$A$1004,A51,Despiece!$D$5:$D$1004,"&gt;0"))&amp;" pieza(s). ",""))&amp;IF(COUNTIFS(Despiece!$A$5:$A$1004,A51,Despiece!$G$5:$G$1004,"falta*")&gt;0,"Precio o peso de 1 m de alguna tela. ","")&amp;IF(M51="","Tipo/precio de confección. ","")))</f>
        <v>Metros de 3 pieza(s). </v>
      </c>
      <c r="Q51" s="28"/>
    </row>
    <row r="52" customFormat="false" ht="15" hidden="false" customHeight="false" outlineLevel="0" collapsed="false">
      <c r="A52" s="28" t="s">
        <v>141</v>
      </c>
      <c r="B52" s="28" t="s">
        <v>140</v>
      </c>
      <c r="C52" s="28" t="s">
        <v>135</v>
      </c>
      <c r="D52" s="28" t="s">
        <v>65</v>
      </c>
      <c r="E52" s="28" t="s">
        <v>136</v>
      </c>
      <c r="F52" s="10"/>
      <c r="G52" s="28"/>
      <c r="H52" s="10"/>
      <c r="I52" s="28"/>
      <c r="J52" s="8" t="n">
        <f aca="false">IF(A52="","",COUNTIF(Despiece!$A$5:$A$1004,A52))</f>
        <v>3</v>
      </c>
      <c r="K52" s="29"/>
      <c r="L52" s="11" t="str">
        <f aca="false">IF(A52="","",IF(COUNTIFS(Despiece!$A$5:$A$1004,A52,Despiece!$D$5:$D$1004,"&gt;0")&lt;J52,"",IF(COUNTIFS(Despiece!$A$5:$A$1004,A52,Despiece!$G$5:$G$1004,"falta*")&gt;0,"",SUMIFS(Despiece!$G$5:$G$1004,Despiece!$A$5:$A$1004,A52))))</f>
        <v/>
      </c>
      <c r="M52" s="11" t="n">
        <f aca="false">IF(OR(A52="",E52=""),"",IFERROR(INDEX(Precios!$K$5:$K$84,MATCH(E52,Precios!$J$5:$J$84,0)),""))</f>
        <v>1900</v>
      </c>
      <c r="N52" s="11" t="n">
        <f aca="false">IF(A52="","",IFERROR(N(G52)*IF(F52="",0,INDEX(Precios!$N$5:$N$64,MATCH(F52,Precios!$M$5:$M$64,0)))+N(I52)*IF(H52="",0,INDEX(Precios!$N$5:$N$64,MATCH(H52,Precios!$M$5:$M$64,0))),""))</f>
        <v>0</v>
      </c>
      <c r="O52" s="12" t="str">
        <f aca="false">IF(A52="","",IFERROR(L52+M52+N52,""))</f>
        <v/>
      </c>
      <c r="P52" s="30" t="str">
        <f aca="false">IF(A52="","",IF(ISNUMBER(O52),"Lista"&amp;IF(N(Precios!$Q$10)=0," (impresión en $0)",""),IF(J52=0,"Agregar piezas en Despiece. ",IF(COUNTIFS(Despiece!$A$5:$A$1004,A52,Despiece!$D$5:$D$1004,"&gt;0")&lt;J52,"Metros de "&amp;(J52-COUNTIFS(Despiece!$A$5:$A$1004,A52,Despiece!$D$5:$D$1004,"&gt;0"))&amp;" pieza(s). ",""))&amp;IF(COUNTIFS(Despiece!$A$5:$A$1004,A52,Despiece!$G$5:$G$1004,"falta*")&gt;0,"Precio o peso de 1 m de alguna tela. ","")&amp;IF(M52="","Tipo/precio de confección. ","")))</f>
        <v>Metros de 3 pieza(s). </v>
      </c>
      <c r="Q52" s="28"/>
    </row>
    <row r="53" customFormat="false" ht="15" hidden="false" customHeight="false" outlineLevel="0" collapsed="false">
      <c r="A53" s="28" t="s">
        <v>142</v>
      </c>
      <c r="B53" s="28" t="s">
        <v>143</v>
      </c>
      <c r="C53" s="28" t="s">
        <v>135</v>
      </c>
      <c r="D53" s="28" t="s">
        <v>57</v>
      </c>
      <c r="E53" s="28" t="s">
        <v>144</v>
      </c>
      <c r="F53" s="10"/>
      <c r="G53" s="28"/>
      <c r="H53" s="10"/>
      <c r="I53" s="28"/>
      <c r="J53" s="8" t="n">
        <f aca="false">IF(A53="","",COUNTIF(Despiece!$A$5:$A$1004,A53))</f>
        <v>6</v>
      </c>
      <c r="K53" s="29"/>
      <c r="L53" s="11" t="str">
        <f aca="false">IF(A53="","",IF(COUNTIFS(Despiece!$A$5:$A$1004,A53,Despiece!$D$5:$D$1004,"&gt;0")&lt;J53,"",IF(COUNTIFS(Despiece!$A$5:$A$1004,A53,Despiece!$G$5:$G$1004,"falta*")&gt;0,"",SUMIFS(Despiece!$G$5:$G$1004,Despiece!$A$5:$A$1004,A53))))</f>
        <v/>
      </c>
      <c r="M53" s="11" t="n">
        <f aca="false">IF(OR(A53="",E53=""),"",IFERROR(INDEX(Precios!$K$5:$K$84,MATCH(E53,Precios!$J$5:$J$84,0)),""))</f>
        <v>2400</v>
      </c>
      <c r="N53" s="11" t="n">
        <f aca="false">IF(A53="","",IFERROR(N(G53)*IF(F53="",0,INDEX(Precios!$N$5:$N$64,MATCH(F53,Precios!$M$5:$M$64,0)))+N(I53)*IF(H53="",0,INDEX(Precios!$N$5:$N$64,MATCH(H53,Precios!$M$5:$M$64,0))),""))</f>
        <v>0</v>
      </c>
      <c r="O53" s="12" t="str">
        <f aca="false">IF(A53="","",IFERROR(L53+M53+N53,""))</f>
        <v/>
      </c>
      <c r="P53" s="30" t="str">
        <f aca="false">IF(A53="","",IF(ISNUMBER(O53),"Lista"&amp;IF(N(Precios!$Q$10)=0," (impresión en $0)",""),IF(J53=0,"Agregar piezas en Despiece. ",IF(COUNTIFS(Despiece!$A$5:$A$1004,A53,Despiece!$D$5:$D$1004,"&gt;0")&lt;J53,"Metros de "&amp;(J53-COUNTIFS(Despiece!$A$5:$A$1004,A53,Despiece!$D$5:$D$1004,"&gt;0"))&amp;" pieza(s). ",""))&amp;IF(COUNTIFS(Despiece!$A$5:$A$1004,A53,Despiece!$G$5:$G$1004,"falta*")&gt;0,"Precio o peso de 1 m de alguna tela. ","")&amp;IF(M53="","Tipo/precio de confección. ","")))</f>
        <v>Metros de 6 pieza(s). </v>
      </c>
      <c r="Q53" s="28"/>
    </row>
    <row r="54" customFormat="false" ht="15" hidden="false" customHeight="false" outlineLevel="0" collapsed="false">
      <c r="A54" s="28" t="s">
        <v>145</v>
      </c>
      <c r="B54" s="28" t="s">
        <v>143</v>
      </c>
      <c r="C54" s="28" t="s">
        <v>135</v>
      </c>
      <c r="D54" s="28" t="s">
        <v>60</v>
      </c>
      <c r="E54" s="28" t="s">
        <v>144</v>
      </c>
      <c r="F54" s="10"/>
      <c r="G54" s="28"/>
      <c r="H54" s="10"/>
      <c r="I54" s="28"/>
      <c r="J54" s="8" t="n">
        <f aca="false">IF(A54="","",COUNTIF(Despiece!$A$5:$A$1004,A54))</f>
        <v>6</v>
      </c>
      <c r="K54" s="29"/>
      <c r="L54" s="11" t="str">
        <f aca="false">IF(A54="","",IF(COUNTIFS(Despiece!$A$5:$A$1004,A54,Despiece!$D$5:$D$1004,"&gt;0")&lt;J54,"",IF(COUNTIFS(Despiece!$A$5:$A$1004,A54,Despiece!$G$5:$G$1004,"falta*")&gt;0,"",SUMIFS(Despiece!$G$5:$G$1004,Despiece!$A$5:$A$1004,A54))))</f>
        <v/>
      </c>
      <c r="M54" s="11" t="n">
        <f aca="false">IF(OR(A54="",E54=""),"",IFERROR(INDEX(Precios!$K$5:$K$84,MATCH(E54,Precios!$J$5:$J$84,0)),""))</f>
        <v>2400</v>
      </c>
      <c r="N54" s="11" t="n">
        <f aca="false">IF(A54="","",IFERROR(N(G54)*IF(F54="",0,INDEX(Precios!$N$5:$N$64,MATCH(F54,Precios!$M$5:$M$64,0)))+N(I54)*IF(H54="",0,INDEX(Precios!$N$5:$N$64,MATCH(H54,Precios!$M$5:$M$64,0))),""))</f>
        <v>0</v>
      </c>
      <c r="O54" s="12" t="str">
        <f aca="false">IF(A54="","",IFERROR(L54+M54+N54,""))</f>
        <v/>
      </c>
      <c r="P54" s="30" t="str">
        <f aca="false">IF(A54="","",IF(ISNUMBER(O54),"Lista"&amp;IF(N(Precios!$Q$10)=0," (impresión en $0)",""),IF(J54=0,"Agregar piezas en Despiece. ",IF(COUNTIFS(Despiece!$A$5:$A$1004,A54,Despiece!$D$5:$D$1004,"&gt;0")&lt;J54,"Metros de "&amp;(J54-COUNTIFS(Despiece!$A$5:$A$1004,A54,Despiece!$D$5:$D$1004,"&gt;0"))&amp;" pieza(s). ",""))&amp;IF(COUNTIFS(Despiece!$A$5:$A$1004,A54,Despiece!$G$5:$G$1004,"falta*")&gt;0,"Precio o peso de 1 m de alguna tela. ","")&amp;IF(M54="","Tipo/precio de confección. ","")))</f>
        <v>Metros de 6 pieza(s). </v>
      </c>
      <c r="Q54" s="28"/>
    </row>
    <row r="55" customFormat="false" ht="15" hidden="false" customHeight="false" outlineLevel="0" collapsed="false">
      <c r="A55" s="28" t="s">
        <v>146</v>
      </c>
      <c r="B55" s="28" t="s">
        <v>147</v>
      </c>
      <c r="C55" s="28" t="s">
        <v>135</v>
      </c>
      <c r="D55" s="28" t="s">
        <v>63</v>
      </c>
      <c r="E55" s="28" t="s">
        <v>144</v>
      </c>
      <c r="F55" s="10"/>
      <c r="G55" s="28"/>
      <c r="H55" s="10"/>
      <c r="I55" s="28"/>
      <c r="J55" s="8" t="n">
        <f aca="false">IF(A55="","",COUNTIF(Despiece!$A$5:$A$1004,A55))</f>
        <v>6</v>
      </c>
      <c r="K55" s="29"/>
      <c r="L55" s="11" t="str">
        <f aca="false">IF(A55="","",IF(COUNTIFS(Despiece!$A$5:$A$1004,A55,Despiece!$D$5:$D$1004,"&gt;0")&lt;J55,"",IF(COUNTIFS(Despiece!$A$5:$A$1004,A55,Despiece!$G$5:$G$1004,"falta*")&gt;0,"",SUMIFS(Despiece!$G$5:$G$1004,Despiece!$A$5:$A$1004,A55))))</f>
        <v/>
      </c>
      <c r="M55" s="11" t="n">
        <f aca="false">IF(OR(A55="",E55=""),"",IFERROR(INDEX(Precios!$K$5:$K$84,MATCH(E55,Precios!$J$5:$J$84,0)),""))</f>
        <v>2400</v>
      </c>
      <c r="N55" s="11" t="n">
        <f aca="false">IF(A55="","",IFERROR(N(G55)*IF(F55="",0,INDEX(Precios!$N$5:$N$64,MATCH(F55,Precios!$M$5:$M$64,0)))+N(I55)*IF(H55="",0,INDEX(Precios!$N$5:$N$64,MATCH(H55,Precios!$M$5:$M$64,0))),""))</f>
        <v>0</v>
      </c>
      <c r="O55" s="12" t="str">
        <f aca="false">IF(A55="","",IFERROR(L55+M55+N55,""))</f>
        <v/>
      </c>
      <c r="P55" s="30" t="str">
        <f aca="false">IF(A55="","",IF(ISNUMBER(O55),"Lista"&amp;IF(N(Precios!$Q$10)=0," (impresión en $0)",""),IF(J55=0,"Agregar piezas en Despiece. ",IF(COUNTIFS(Despiece!$A$5:$A$1004,A55,Despiece!$D$5:$D$1004,"&gt;0")&lt;J55,"Metros de "&amp;(J55-COUNTIFS(Despiece!$A$5:$A$1004,A55,Despiece!$D$5:$D$1004,"&gt;0"))&amp;" pieza(s). ",""))&amp;IF(COUNTIFS(Despiece!$A$5:$A$1004,A55,Despiece!$G$5:$G$1004,"falta*")&gt;0,"Precio o peso de 1 m de alguna tela. ","")&amp;IF(M55="","Tipo/precio de confección. ","")))</f>
        <v>Metros de 6 pieza(s). </v>
      </c>
      <c r="Q55" s="28"/>
    </row>
    <row r="56" customFormat="false" ht="15" hidden="false" customHeight="false" outlineLevel="0" collapsed="false">
      <c r="A56" s="28" t="s">
        <v>148</v>
      </c>
      <c r="B56" s="28" t="s">
        <v>147</v>
      </c>
      <c r="C56" s="28" t="s">
        <v>135</v>
      </c>
      <c r="D56" s="28" t="s">
        <v>65</v>
      </c>
      <c r="E56" s="28" t="s">
        <v>144</v>
      </c>
      <c r="F56" s="10"/>
      <c r="G56" s="28"/>
      <c r="H56" s="10"/>
      <c r="I56" s="28"/>
      <c r="J56" s="8" t="n">
        <f aca="false">IF(A56="","",COUNTIF(Despiece!$A$5:$A$1004,A56))</f>
        <v>6</v>
      </c>
      <c r="K56" s="29"/>
      <c r="L56" s="11" t="str">
        <f aca="false">IF(A56="","",IF(COUNTIFS(Despiece!$A$5:$A$1004,A56,Despiece!$D$5:$D$1004,"&gt;0")&lt;J56,"",IF(COUNTIFS(Despiece!$A$5:$A$1004,A56,Despiece!$G$5:$G$1004,"falta*")&gt;0,"",SUMIFS(Despiece!$G$5:$G$1004,Despiece!$A$5:$A$1004,A56))))</f>
        <v/>
      </c>
      <c r="M56" s="11" t="n">
        <f aca="false">IF(OR(A56="",E56=""),"",IFERROR(INDEX(Precios!$K$5:$K$84,MATCH(E56,Precios!$J$5:$J$84,0)),""))</f>
        <v>2400</v>
      </c>
      <c r="N56" s="11" t="n">
        <f aca="false">IF(A56="","",IFERROR(N(G56)*IF(F56="",0,INDEX(Precios!$N$5:$N$64,MATCH(F56,Precios!$M$5:$M$64,0)))+N(I56)*IF(H56="",0,INDEX(Precios!$N$5:$N$64,MATCH(H56,Precios!$M$5:$M$64,0))),""))</f>
        <v>0</v>
      </c>
      <c r="O56" s="12" t="str">
        <f aca="false">IF(A56="","",IFERROR(L56+M56+N56,""))</f>
        <v/>
      </c>
      <c r="P56" s="30" t="str">
        <f aca="false">IF(A56="","",IF(ISNUMBER(O56),"Lista"&amp;IF(N(Precios!$Q$10)=0," (impresión en $0)",""),IF(J56=0,"Agregar piezas en Despiece. ",IF(COUNTIFS(Despiece!$A$5:$A$1004,A56,Despiece!$D$5:$D$1004,"&gt;0")&lt;J56,"Metros de "&amp;(J56-COUNTIFS(Despiece!$A$5:$A$1004,A56,Despiece!$D$5:$D$1004,"&gt;0"))&amp;" pieza(s). ",""))&amp;IF(COUNTIFS(Despiece!$A$5:$A$1004,A56,Despiece!$G$5:$G$1004,"falta*")&gt;0,"Precio o peso de 1 m de alguna tela. ","")&amp;IF(M56="","Tipo/precio de confección. ","")))</f>
        <v>Metros de 6 pieza(s). </v>
      </c>
      <c r="Q56" s="28"/>
    </row>
    <row r="57" customFormat="false" ht="15" hidden="false" customHeight="false" outlineLevel="0" collapsed="false">
      <c r="A57" s="28" t="s">
        <v>149</v>
      </c>
      <c r="B57" s="28" t="s">
        <v>150</v>
      </c>
      <c r="C57" s="28" t="s">
        <v>135</v>
      </c>
      <c r="D57" s="28" t="s">
        <v>57</v>
      </c>
      <c r="E57" s="28" t="s">
        <v>151</v>
      </c>
      <c r="F57" s="10"/>
      <c r="G57" s="28"/>
      <c r="H57" s="10"/>
      <c r="I57" s="28"/>
      <c r="J57" s="8" t="n">
        <f aca="false">IF(A57="","",COUNTIF(Despiece!$A$5:$A$1004,A57))</f>
        <v>4</v>
      </c>
      <c r="K57" s="29"/>
      <c r="L57" s="11" t="str">
        <f aca="false">IF(A57="","",IF(COUNTIFS(Despiece!$A$5:$A$1004,A57,Despiece!$D$5:$D$1004,"&gt;0")&lt;J57,"",IF(COUNTIFS(Despiece!$A$5:$A$1004,A57,Despiece!$G$5:$G$1004,"falta*")&gt;0,"",SUMIFS(Despiece!$G$5:$G$1004,Despiece!$A$5:$A$1004,A57))))</f>
        <v/>
      </c>
      <c r="M57" s="11" t="n">
        <f aca="false">IF(OR(A57="",E57=""),"",IFERROR(INDEX(Precios!$K$5:$K$84,MATCH(E57,Precios!$J$5:$J$84,0)),""))</f>
        <v>2200</v>
      </c>
      <c r="N57" s="11" t="n">
        <f aca="false">IF(A57="","",IFERROR(N(G57)*IF(F57="",0,INDEX(Precios!$N$5:$N$64,MATCH(F57,Precios!$M$5:$M$64,0)))+N(I57)*IF(H57="",0,INDEX(Precios!$N$5:$N$64,MATCH(H57,Precios!$M$5:$M$64,0))),""))</f>
        <v>0</v>
      </c>
      <c r="O57" s="12" t="str">
        <f aca="false">IF(A57="","",IFERROR(L57+M57+N57,""))</f>
        <v/>
      </c>
      <c r="P57" s="30" t="str">
        <f aca="false">IF(A57="","",IF(ISNUMBER(O57),"Lista"&amp;IF(N(Precios!$Q$10)=0," (impresión en $0)",""),IF(J57=0,"Agregar piezas en Despiece. ",IF(COUNTIFS(Despiece!$A$5:$A$1004,A57,Despiece!$D$5:$D$1004,"&gt;0")&lt;J57,"Metros de "&amp;(J57-COUNTIFS(Despiece!$A$5:$A$1004,A57,Despiece!$D$5:$D$1004,"&gt;0"))&amp;" pieza(s). ",""))&amp;IF(COUNTIFS(Despiece!$A$5:$A$1004,A57,Despiece!$G$5:$G$1004,"falta*")&gt;0,"Precio o peso de 1 m de alguna tela. ","")&amp;IF(M57="","Tipo/precio de confección. ","")))</f>
        <v>Metros de 4 pieza(s). </v>
      </c>
      <c r="Q57" s="28"/>
    </row>
    <row r="58" customFormat="false" ht="15" hidden="false" customHeight="false" outlineLevel="0" collapsed="false">
      <c r="A58" s="28" t="s">
        <v>152</v>
      </c>
      <c r="B58" s="28" t="s">
        <v>150</v>
      </c>
      <c r="C58" s="28" t="s">
        <v>135</v>
      </c>
      <c r="D58" s="28" t="s">
        <v>60</v>
      </c>
      <c r="E58" s="28" t="s">
        <v>151</v>
      </c>
      <c r="F58" s="10"/>
      <c r="G58" s="28"/>
      <c r="H58" s="10"/>
      <c r="I58" s="28"/>
      <c r="J58" s="8" t="n">
        <f aca="false">IF(A58="","",COUNTIF(Despiece!$A$5:$A$1004,A58))</f>
        <v>4</v>
      </c>
      <c r="K58" s="29"/>
      <c r="L58" s="11" t="str">
        <f aca="false">IF(A58="","",IF(COUNTIFS(Despiece!$A$5:$A$1004,A58,Despiece!$D$5:$D$1004,"&gt;0")&lt;J58,"",IF(COUNTIFS(Despiece!$A$5:$A$1004,A58,Despiece!$G$5:$G$1004,"falta*")&gt;0,"",SUMIFS(Despiece!$G$5:$G$1004,Despiece!$A$5:$A$1004,A58))))</f>
        <v/>
      </c>
      <c r="M58" s="11" t="n">
        <f aca="false">IF(OR(A58="",E58=""),"",IFERROR(INDEX(Precios!$K$5:$K$84,MATCH(E58,Precios!$J$5:$J$84,0)),""))</f>
        <v>2200</v>
      </c>
      <c r="N58" s="11" t="n">
        <f aca="false">IF(A58="","",IFERROR(N(G58)*IF(F58="",0,INDEX(Precios!$N$5:$N$64,MATCH(F58,Precios!$M$5:$M$64,0)))+N(I58)*IF(H58="",0,INDEX(Precios!$N$5:$N$64,MATCH(H58,Precios!$M$5:$M$64,0))),""))</f>
        <v>0</v>
      </c>
      <c r="O58" s="12" t="str">
        <f aca="false">IF(A58="","",IFERROR(L58+M58+N58,""))</f>
        <v/>
      </c>
      <c r="P58" s="30" t="str">
        <f aca="false">IF(A58="","",IF(ISNUMBER(O58),"Lista"&amp;IF(N(Precios!$Q$10)=0," (impresión en $0)",""),IF(J58=0,"Agregar piezas en Despiece. ",IF(COUNTIFS(Despiece!$A$5:$A$1004,A58,Despiece!$D$5:$D$1004,"&gt;0")&lt;J58,"Metros de "&amp;(J58-COUNTIFS(Despiece!$A$5:$A$1004,A58,Despiece!$D$5:$D$1004,"&gt;0"))&amp;" pieza(s). ",""))&amp;IF(COUNTIFS(Despiece!$A$5:$A$1004,A58,Despiece!$G$5:$G$1004,"falta*")&gt;0,"Precio o peso de 1 m de alguna tela. ","")&amp;IF(M58="","Tipo/precio de confección. ","")))</f>
        <v>Metros de 4 pieza(s). </v>
      </c>
      <c r="Q58" s="28"/>
    </row>
    <row r="59" customFormat="false" ht="15" hidden="false" customHeight="false" outlineLevel="0" collapsed="false">
      <c r="A59" s="28" t="s">
        <v>153</v>
      </c>
      <c r="B59" s="28" t="s">
        <v>154</v>
      </c>
      <c r="C59" s="28" t="s">
        <v>135</v>
      </c>
      <c r="D59" s="28" t="s">
        <v>60</v>
      </c>
      <c r="E59" s="28" t="s">
        <v>155</v>
      </c>
      <c r="F59" s="10"/>
      <c r="G59" s="28"/>
      <c r="H59" s="10"/>
      <c r="I59" s="28"/>
      <c r="J59" s="8" t="n">
        <f aca="false">IF(A59="","",COUNTIF(Despiece!$A$5:$A$1004,A59))</f>
        <v>3</v>
      </c>
      <c r="K59" s="29"/>
      <c r="L59" s="11" t="str">
        <f aca="false">IF(A59="","",IF(COUNTIFS(Despiece!$A$5:$A$1004,A59,Despiece!$D$5:$D$1004,"&gt;0")&lt;J59,"",IF(COUNTIFS(Despiece!$A$5:$A$1004,A59,Despiece!$G$5:$G$1004,"falta*")&gt;0,"",SUMIFS(Despiece!$G$5:$G$1004,Despiece!$A$5:$A$1004,A59))))</f>
        <v/>
      </c>
      <c r="M59" s="11" t="n">
        <f aca="false">IF(OR(A59="",E59=""),"",IFERROR(INDEX(Precios!$K$5:$K$84,MATCH(E59,Precios!$J$5:$J$84,0)),""))</f>
        <v>1700</v>
      </c>
      <c r="N59" s="11" t="n">
        <f aca="false">IF(A59="","",IFERROR(N(G59)*IF(F59="",0,INDEX(Precios!$N$5:$N$64,MATCH(F59,Precios!$M$5:$M$64,0)))+N(I59)*IF(H59="",0,INDEX(Precios!$N$5:$N$64,MATCH(H59,Precios!$M$5:$M$64,0))),""))</f>
        <v>0</v>
      </c>
      <c r="O59" s="12" t="str">
        <f aca="false">IF(A59="","",IFERROR(L59+M59+N59,""))</f>
        <v/>
      </c>
      <c r="P59" s="30" t="str">
        <f aca="false">IF(A59="","",IF(ISNUMBER(O59),"Lista"&amp;IF(N(Precios!$Q$10)=0," (impresión en $0)",""),IF(J59=0,"Agregar piezas en Despiece. ",IF(COUNTIFS(Despiece!$A$5:$A$1004,A59,Despiece!$D$5:$D$1004,"&gt;0")&lt;J59,"Metros de "&amp;(J59-COUNTIFS(Despiece!$A$5:$A$1004,A59,Despiece!$D$5:$D$1004,"&gt;0"))&amp;" pieza(s). ",""))&amp;IF(COUNTIFS(Despiece!$A$5:$A$1004,A59,Despiece!$G$5:$G$1004,"falta*")&gt;0,"Precio o peso de 1 m de alguna tela. ","")&amp;IF(M59="","Tipo/precio de confección. ","")))</f>
        <v>Metros de 3 pieza(s). </v>
      </c>
      <c r="Q59" s="28" t="s">
        <v>156</v>
      </c>
    </row>
    <row r="60" customFormat="false" ht="15" hidden="false" customHeight="false" outlineLevel="0" collapsed="false">
      <c r="A60" s="28" t="s">
        <v>157</v>
      </c>
      <c r="B60" s="28" t="s">
        <v>158</v>
      </c>
      <c r="C60" s="28" t="s">
        <v>135</v>
      </c>
      <c r="D60" s="28" t="s">
        <v>60</v>
      </c>
      <c r="E60" s="28" t="s">
        <v>159</v>
      </c>
      <c r="F60" s="10"/>
      <c r="G60" s="28"/>
      <c r="H60" s="10"/>
      <c r="I60" s="28"/>
      <c r="J60" s="8" t="n">
        <f aca="false">IF(A60="","",COUNTIF(Despiece!$A$5:$A$1004,A60))</f>
        <v>3</v>
      </c>
      <c r="K60" s="29"/>
      <c r="L60" s="11" t="str">
        <f aca="false">IF(A60="","",IF(COUNTIFS(Despiece!$A$5:$A$1004,A60,Despiece!$D$5:$D$1004,"&gt;0")&lt;J60,"",IF(COUNTIFS(Despiece!$A$5:$A$1004,A60,Despiece!$G$5:$G$1004,"falta*")&gt;0,"",SUMIFS(Despiece!$G$5:$G$1004,Despiece!$A$5:$A$1004,A60))))</f>
        <v/>
      </c>
      <c r="M60" s="11" t="n">
        <f aca="false">IF(OR(A60="",E60=""),"",IFERROR(INDEX(Precios!$K$5:$K$84,MATCH(E60,Precios!$J$5:$J$84,0)),""))</f>
        <v>2200</v>
      </c>
      <c r="N60" s="11" t="n">
        <f aca="false">IF(A60="","",IFERROR(N(G60)*IF(F60="",0,INDEX(Precios!$N$5:$N$64,MATCH(F60,Precios!$M$5:$M$64,0)))+N(I60)*IF(H60="",0,INDEX(Precios!$N$5:$N$64,MATCH(H60,Precios!$M$5:$M$64,0))),""))</f>
        <v>0</v>
      </c>
      <c r="O60" s="12" t="str">
        <f aca="false">IF(A60="","",IFERROR(L60+M60+N60,""))</f>
        <v/>
      </c>
      <c r="P60" s="30" t="str">
        <f aca="false">IF(A60="","",IF(ISNUMBER(O60),"Lista"&amp;IF(N(Precios!$Q$10)=0," (impresión en $0)",""),IF(J60=0,"Agregar piezas en Despiece. ",IF(COUNTIFS(Despiece!$A$5:$A$1004,A60,Despiece!$D$5:$D$1004,"&gt;0")&lt;J60,"Metros de "&amp;(J60-COUNTIFS(Despiece!$A$5:$A$1004,A60,Despiece!$D$5:$D$1004,"&gt;0"))&amp;" pieza(s). ",""))&amp;IF(COUNTIFS(Despiece!$A$5:$A$1004,A60,Despiece!$G$5:$G$1004,"falta*")&gt;0,"Precio o peso de 1 m de alguna tela. ","")&amp;IF(M60="","Tipo/precio de confección. ","")))</f>
        <v>Metros de 3 pieza(s). </v>
      </c>
      <c r="Q60" s="28" t="s">
        <v>160</v>
      </c>
    </row>
    <row r="61" customFormat="false" ht="15" hidden="false" customHeight="false" outlineLevel="0" collapsed="false">
      <c r="A61" s="28" t="s">
        <v>161</v>
      </c>
      <c r="B61" s="28" t="s">
        <v>162</v>
      </c>
      <c r="C61" s="28" t="s">
        <v>56</v>
      </c>
      <c r="D61" s="28" t="s">
        <v>60</v>
      </c>
      <c r="E61" s="28" t="s">
        <v>163</v>
      </c>
      <c r="F61" s="10"/>
      <c r="G61" s="28"/>
      <c r="H61" s="10"/>
      <c r="I61" s="28"/>
      <c r="J61" s="8" t="n">
        <f aca="false">IF(A61="","",COUNTIF(Despiece!$A$5:$A$1004,A61))</f>
        <v>3</v>
      </c>
      <c r="K61" s="29"/>
      <c r="L61" s="11" t="str">
        <f aca="false">IF(A61="","",IF(COUNTIFS(Despiece!$A$5:$A$1004,A61,Despiece!$D$5:$D$1004,"&gt;0")&lt;J61,"",IF(COUNTIFS(Despiece!$A$5:$A$1004,A61,Despiece!$G$5:$G$1004,"falta*")&gt;0,"",SUMIFS(Despiece!$G$5:$G$1004,Despiece!$A$5:$A$1004,A61))))</f>
        <v/>
      </c>
      <c r="M61" s="11" t="n">
        <f aca="false">IF(OR(A61="",E61=""),"",IFERROR(INDEX(Precios!$K$5:$K$84,MATCH(E61,Precios!$J$5:$J$84,0)),""))</f>
        <v>1800</v>
      </c>
      <c r="N61" s="11" t="n">
        <f aca="false">IF(A61="","",IFERROR(N(G61)*IF(F61="",0,INDEX(Precios!$N$5:$N$64,MATCH(F61,Precios!$M$5:$M$64,0)))+N(I61)*IF(H61="",0,INDEX(Precios!$N$5:$N$64,MATCH(H61,Precios!$M$5:$M$64,0))),""))</f>
        <v>0</v>
      </c>
      <c r="O61" s="12" t="str">
        <f aca="false">IF(A61="","",IFERROR(L61+M61+N61,""))</f>
        <v/>
      </c>
      <c r="P61" s="30" t="str">
        <f aca="false">IF(A61="","",IF(ISNUMBER(O61),"Lista"&amp;IF(N(Precios!$Q$10)=0," (impresión en $0)",""),IF(J61=0,"Agregar piezas en Despiece. ",IF(COUNTIFS(Despiece!$A$5:$A$1004,A61,Despiece!$D$5:$D$1004,"&gt;0")&lt;J61,"Metros de "&amp;(J61-COUNTIFS(Despiece!$A$5:$A$1004,A61,Despiece!$D$5:$D$1004,"&gt;0"))&amp;" pieza(s). ",""))&amp;IF(COUNTIFS(Despiece!$A$5:$A$1004,A61,Despiece!$G$5:$G$1004,"falta*")&gt;0,"Precio o peso de 1 m de alguna tela. ","")&amp;IF(M61="","Tipo/precio de confección. ","")))</f>
        <v>Metros de 3 pieza(s). </v>
      </c>
      <c r="Q61" s="28" t="s">
        <v>164</v>
      </c>
    </row>
    <row r="62" customFormat="false" ht="15" hidden="false" customHeight="false" outlineLevel="0" collapsed="false">
      <c r="A62" s="28" t="s">
        <v>165</v>
      </c>
      <c r="B62" s="28" t="s">
        <v>166</v>
      </c>
      <c r="C62" s="28" t="s">
        <v>167</v>
      </c>
      <c r="D62" s="28" t="s">
        <v>60</v>
      </c>
      <c r="E62" s="28" t="s">
        <v>167</v>
      </c>
      <c r="F62" s="10"/>
      <c r="G62" s="28"/>
      <c r="H62" s="10"/>
      <c r="I62" s="28"/>
      <c r="J62" s="8" t="n">
        <f aca="false">IF(A62="","",COUNTIF(Despiece!$A$5:$A$1004,A62))</f>
        <v>2</v>
      </c>
      <c r="K62" s="29"/>
      <c r="L62" s="11" t="str">
        <f aca="false">IF(A62="","",IF(COUNTIFS(Despiece!$A$5:$A$1004,A62,Despiece!$D$5:$D$1004,"&gt;0")&lt;J62,"",IF(COUNTIFS(Despiece!$A$5:$A$1004,A62,Despiece!$G$5:$G$1004,"falta*")&gt;0,"",SUMIFS(Despiece!$G$5:$G$1004,Despiece!$A$5:$A$1004,A62))))</f>
        <v/>
      </c>
      <c r="M62" s="11" t="n">
        <f aca="false">IF(OR(A62="",E62=""),"",IFERROR(INDEX(Precios!$K$5:$K$84,MATCH(E62,Precios!$J$5:$J$84,0)),""))</f>
        <v>1200</v>
      </c>
      <c r="N62" s="11" t="n">
        <f aca="false">IF(A62="","",IFERROR(N(G62)*IF(F62="",0,INDEX(Precios!$N$5:$N$64,MATCH(F62,Precios!$M$5:$M$64,0)))+N(I62)*IF(H62="",0,INDEX(Precios!$N$5:$N$64,MATCH(H62,Precios!$M$5:$M$64,0))),""))</f>
        <v>0</v>
      </c>
      <c r="O62" s="12" t="str">
        <f aca="false">IF(A62="","",IFERROR(L62+M62+N62,""))</f>
        <v/>
      </c>
      <c r="P62" s="30" t="str">
        <f aca="false">IF(A62="","",IF(ISNUMBER(O62),"Lista"&amp;IF(N(Precios!$Q$10)=0," (impresión en $0)",""),IF(J62=0,"Agregar piezas en Despiece. ",IF(COUNTIFS(Despiece!$A$5:$A$1004,A62,Despiece!$D$5:$D$1004,"&gt;0")&lt;J62,"Metros de "&amp;(J62-COUNTIFS(Despiece!$A$5:$A$1004,A62,Despiece!$D$5:$D$1004,"&gt;0"))&amp;" pieza(s). ",""))&amp;IF(COUNTIFS(Despiece!$A$5:$A$1004,A62,Despiece!$G$5:$G$1004,"falta*")&gt;0,"Precio o peso de 1 m de alguna tela. ","")&amp;IF(M62="","Tipo/precio de confección. ","")))</f>
        <v>Metros de 2 pieza(s). </v>
      </c>
      <c r="Q62" s="28" t="s">
        <v>168</v>
      </c>
    </row>
    <row r="63" customFormat="false" ht="15" hidden="false" customHeight="false" outlineLevel="0" collapsed="false">
      <c r="A63" s="28"/>
      <c r="B63" s="28"/>
      <c r="C63" s="28"/>
      <c r="D63" s="28"/>
      <c r="E63" s="28"/>
      <c r="F63" s="10"/>
      <c r="G63" s="28"/>
      <c r="H63" s="10"/>
      <c r="I63" s="28"/>
      <c r="J63" s="8" t="str">
        <f aca="false">IF(A63="","",COUNTIF(Despiece!$A$5:$A$1004,A63))</f>
        <v/>
      </c>
      <c r="K63" s="29"/>
      <c r="L63" s="11" t="str">
        <f aca="false">IF(A63="","",IF(COUNTIFS(Despiece!$A$5:$A$1004,A63,Despiece!$D$5:$D$1004,"&gt;0")&lt;J63,"",IF(COUNTIFS(Despiece!$A$5:$A$1004,A63,Despiece!$G$5:$G$1004,"falta*")&gt;0,"",SUMIFS(Despiece!$G$5:$G$1004,Despiece!$A$5:$A$1004,A63))))</f>
        <v/>
      </c>
      <c r="M63" s="11" t="str">
        <f aca="false">IF(OR(A63="",E63=""),"",IFERROR(INDEX(Precios!$K$5:$K$84,MATCH(E63,Precios!$J$5:$J$84,0)),""))</f>
        <v/>
      </c>
      <c r="N63" s="11" t="str">
        <f aca="false">IF(A63="","",IFERROR(N(G63)*IF(F63="",0,INDEX(Precios!$N$5:$N$64,MATCH(F63,Precios!$M$5:$M$64,0)))+N(I63)*IF(H63="",0,INDEX(Precios!$N$5:$N$64,MATCH(H63,Precios!$M$5:$M$64,0))),""))</f>
        <v/>
      </c>
      <c r="O63" s="12" t="str">
        <f aca="false">IF(A63="","",IFERROR(L63+M63+N63,""))</f>
        <v/>
      </c>
      <c r="P63" s="30" t="str">
        <f aca="false">IF(A63="","",IF(ISNUMBER(O63),"Lista"&amp;IF(N(Precios!$Q$10)=0," (impresión en $0)",""),IF(J63=0,"Agregar piezas en Despiece. ",IF(COUNTIFS(Despiece!$A$5:$A$1004,A63,Despiece!$D$5:$D$1004,"&gt;0")&lt;J63,"Metros de "&amp;(J63-COUNTIFS(Despiece!$A$5:$A$1004,A63,Despiece!$D$5:$D$1004,"&gt;0"))&amp;" pieza(s). ",""))&amp;IF(COUNTIFS(Despiece!$A$5:$A$1004,A63,Despiece!$G$5:$G$1004,"falta*")&gt;0,"Precio o peso de 1 m de alguna tela. ","")&amp;IF(M63="","Tipo/precio de confección. ","")))</f>
        <v/>
      </c>
      <c r="Q63" s="28"/>
    </row>
    <row r="64" customFormat="false" ht="15" hidden="false" customHeight="false" outlineLevel="0" collapsed="false">
      <c r="A64" s="28"/>
      <c r="B64" s="28"/>
      <c r="C64" s="28"/>
      <c r="D64" s="28"/>
      <c r="E64" s="28"/>
      <c r="F64" s="10"/>
      <c r="G64" s="28"/>
      <c r="H64" s="10"/>
      <c r="I64" s="28"/>
      <c r="J64" s="8" t="str">
        <f aca="false">IF(A64="","",COUNTIF(Despiece!$A$5:$A$1004,A64))</f>
        <v/>
      </c>
      <c r="K64" s="29"/>
      <c r="L64" s="11" t="str">
        <f aca="false">IF(A64="","",IF(COUNTIFS(Despiece!$A$5:$A$1004,A64,Despiece!$D$5:$D$1004,"&gt;0")&lt;J64,"",IF(COUNTIFS(Despiece!$A$5:$A$1004,A64,Despiece!$G$5:$G$1004,"falta*")&gt;0,"",SUMIFS(Despiece!$G$5:$G$1004,Despiece!$A$5:$A$1004,A64))))</f>
        <v/>
      </c>
      <c r="M64" s="11" t="str">
        <f aca="false">IF(OR(A64="",E64=""),"",IFERROR(INDEX(Precios!$K$5:$K$84,MATCH(E64,Precios!$J$5:$J$84,0)),""))</f>
        <v/>
      </c>
      <c r="N64" s="11" t="str">
        <f aca="false">IF(A64="","",IFERROR(N(G64)*IF(F64="",0,INDEX(Precios!$N$5:$N$64,MATCH(F64,Precios!$M$5:$M$64,0)))+N(I64)*IF(H64="",0,INDEX(Precios!$N$5:$N$64,MATCH(H64,Precios!$M$5:$M$64,0))),""))</f>
        <v/>
      </c>
      <c r="O64" s="12" t="str">
        <f aca="false">IF(A64="","",IFERROR(L64+M64+N64,""))</f>
        <v/>
      </c>
      <c r="P64" s="30" t="str">
        <f aca="false">IF(A64="","",IF(ISNUMBER(O64),"Lista"&amp;IF(N(Precios!$Q$10)=0," (impresión en $0)",""),IF(J64=0,"Agregar piezas en Despiece. ",IF(COUNTIFS(Despiece!$A$5:$A$1004,A64,Despiece!$D$5:$D$1004,"&gt;0")&lt;J64,"Metros de "&amp;(J64-COUNTIFS(Despiece!$A$5:$A$1004,A64,Despiece!$D$5:$D$1004,"&gt;0"))&amp;" pieza(s). ",""))&amp;IF(COUNTIFS(Despiece!$A$5:$A$1004,A64,Despiece!$G$5:$G$1004,"falta*")&gt;0,"Precio o peso de 1 m de alguna tela. ","")&amp;IF(M64="","Tipo/precio de confección. ","")))</f>
        <v/>
      </c>
      <c r="Q64" s="28"/>
    </row>
    <row r="65" customFormat="false" ht="15" hidden="false" customHeight="false" outlineLevel="0" collapsed="false">
      <c r="A65" s="28"/>
      <c r="B65" s="28"/>
      <c r="C65" s="28"/>
      <c r="D65" s="28"/>
      <c r="E65" s="28"/>
      <c r="F65" s="10"/>
      <c r="G65" s="28"/>
      <c r="H65" s="10"/>
      <c r="I65" s="28"/>
      <c r="J65" s="8" t="str">
        <f aca="false">IF(A65="","",COUNTIF(Despiece!$A$5:$A$1004,A65))</f>
        <v/>
      </c>
      <c r="K65" s="29"/>
      <c r="L65" s="11" t="str">
        <f aca="false">IF(A65="","",IF(COUNTIFS(Despiece!$A$5:$A$1004,A65,Despiece!$D$5:$D$1004,"&gt;0")&lt;J65,"",IF(COUNTIFS(Despiece!$A$5:$A$1004,A65,Despiece!$G$5:$G$1004,"falta*")&gt;0,"",SUMIFS(Despiece!$G$5:$G$1004,Despiece!$A$5:$A$1004,A65))))</f>
        <v/>
      </c>
      <c r="M65" s="11" t="str">
        <f aca="false">IF(OR(A65="",E65=""),"",IFERROR(INDEX(Precios!$K$5:$K$84,MATCH(E65,Precios!$J$5:$J$84,0)),""))</f>
        <v/>
      </c>
      <c r="N65" s="11" t="str">
        <f aca="false">IF(A65="","",IFERROR(N(G65)*IF(F65="",0,INDEX(Precios!$N$5:$N$64,MATCH(F65,Precios!$M$5:$M$64,0)))+N(I65)*IF(H65="",0,INDEX(Precios!$N$5:$N$64,MATCH(H65,Precios!$M$5:$M$64,0))),""))</f>
        <v/>
      </c>
      <c r="O65" s="12" t="str">
        <f aca="false">IF(A65="","",IFERROR(L65+M65+N65,""))</f>
        <v/>
      </c>
      <c r="P65" s="30" t="str">
        <f aca="false">IF(A65="","",IF(ISNUMBER(O65),"Lista"&amp;IF(N(Precios!$Q$10)=0," (impresión en $0)",""),IF(J65=0,"Agregar piezas en Despiece. ",IF(COUNTIFS(Despiece!$A$5:$A$1004,A65,Despiece!$D$5:$D$1004,"&gt;0")&lt;J65,"Metros de "&amp;(J65-COUNTIFS(Despiece!$A$5:$A$1004,A65,Despiece!$D$5:$D$1004,"&gt;0"))&amp;" pieza(s). ",""))&amp;IF(COUNTIFS(Despiece!$A$5:$A$1004,A65,Despiece!$G$5:$G$1004,"falta*")&gt;0,"Precio o peso de 1 m de alguna tela. ","")&amp;IF(M65="","Tipo/precio de confección. ","")))</f>
        <v/>
      </c>
      <c r="Q65" s="28"/>
    </row>
    <row r="66" customFormat="false" ht="15" hidden="false" customHeight="false" outlineLevel="0" collapsed="false">
      <c r="A66" s="28"/>
      <c r="B66" s="28"/>
      <c r="C66" s="28"/>
      <c r="D66" s="28"/>
      <c r="E66" s="28"/>
      <c r="F66" s="10"/>
      <c r="G66" s="28"/>
      <c r="H66" s="10"/>
      <c r="I66" s="28"/>
      <c r="J66" s="8" t="str">
        <f aca="false">IF(A66="","",COUNTIF(Despiece!$A$5:$A$1004,A66))</f>
        <v/>
      </c>
      <c r="K66" s="29"/>
      <c r="L66" s="11" t="str">
        <f aca="false">IF(A66="","",IF(COUNTIFS(Despiece!$A$5:$A$1004,A66,Despiece!$D$5:$D$1004,"&gt;0")&lt;J66,"",IF(COUNTIFS(Despiece!$A$5:$A$1004,A66,Despiece!$G$5:$G$1004,"falta*")&gt;0,"",SUMIFS(Despiece!$G$5:$G$1004,Despiece!$A$5:$A$1004,A66))))</f>
        <v/>
      </c>
      <c r="M66" s="11" t="str">
        <f aca="false">IF(OR(A66="",E66=""),"",IFERROR(INDEX(Precios!$K$5:$K$84,MATCH(E66,Precios!$J$5:$J$84,0)),""))</f>
        <v/>
      </c>
      <c r="N66" s="11" t="str">
        <f aca="false">IF(A66="","",IFERROR(N(G66)*IF(F66="",0,INDEX(Precios!$N$5:$N$64,MATCH(F66,Precios!$M$5:$M$64,0)))+N(I66)*IF(H66="",0,INDEX(Precios!$N$5:$N$64,MATCH(H66,Precios!$M$5:$M$64,0))),""))</f>
        <v/>
      </c>
      <c r="O66" s="12" t="str">
        <f aca="false">IF(A66="","",IFERROR(L66+M66+N66,""))</f>
        <v/>
      </c>
      <c r="P66" s="30" t="str">
        <f aca="false">IF(A66="","",IF(ISNUMBER(O66),"Lista"&amp;IF(N(Precios!$Q$10)=0," (impresión en $0)",""),IF(J66=0,"Agregar piezas en Despiece. ",IF(COUNTIFS(Despiece!$A$5:$A$1004,A66,Despiece!$D$5:$D$1004,"&gt;0")&lt;J66,"Metros de "&amp;(J66-COUNTIFS(Despiece!$A$5:$A$1004,A66,Despiece!$D$5:$D$1004,"&gt;0"))&amp;" pieza(s). ",""))&amp;IF(COUNTIFS(Despiece!$A$5:$A$1004,A66,Despiece!$G$5:$G$1004,"falta*")&gt;0,"Precio o peso de 1 m de alguna tela. ","")&amp;IF(M66="","Tipo/precio de confección. ","")))</f>
        <v/>
      </c>
      <c r="Q66" s="28"/>
    </row>
    <row r="67" customFormat="false" ht="15" hidden="false" customHeight="false" outlineLevel="0" collapsed="false">
      <c r="A67" s="28"/>
      <c r="B67" s="28"/>
      <c r="C67" s="28"/>
      <c r="D67" s="28"/>
      <c r="E67" s="28"/>
      <c r="F67" s="10"/>
      <c r="G67" s="28"/>
      <c r="H67" s="10"/>
      <c r="I67" s="28"/>
      <c r="J67" s="8" t="str">
        <f aca="false">IF(A67="","",COUNTIF(Despiece!$A$5:$A$1004,A67))</f>
        <v/>
      </c>
      <c r="K67" s="29"/>
      <c r="L67" s="11" t="str">
        <f aca="false">IF(A67="","",IF(COUNTIFS(Despiece!$A$5:$A$1004,A67,Despiece!$D$5:$D$1004,"&gt;0")&lt;J67,"",IF(COUNTIFS(Despiece!$A$5:$A$1004,A67,Despiece!$G$5:$G$1004,"falta*")&gt;0,"",SUMIFS(Despiece!$G$5:$G$1004,Despiece!$A$5:$A$1004,A67))))</f>
        <v/>
      </c>
      <c r="M67" s="11" t="str">
        <f aca="false">IF(OR(A67="",E67=""),"",IFERROR(INDEX(Precios!$K$5:$K$84,MATCH(E67,Precios!$J$5:$J$84,0)),""))</f>
        <v/>
      </c>
      <c r="N67" s="11" t="str">
        <f aca="false">IF(A67="","",IFERROR(N(G67)*IF(F67="",0,INDEX(Precios!$N$5:$N$64,MATCH(F67,Precios!$M$5:$M$64,0)))+N(I67)*IF(H67="",0,INDEX(Precios!$N$5:$N$64,MATCH(H67,Precios!$M$5:$M$64,0))),""))</f>
        <v/>
      </c>
      <c r="O67" s="12" t="str">
        <f aca="false">IF(A67="","",IFERROR(L67+M67+N67,""))</f>
        <v/>
      </c>
      <c r="P67" s="30" t="str">
        <f aca="false">IF(A67="","",IF(ISNUMBER(O67),"Lista"&amp;IF(N(Precios!$Q$10)=0," (impresión en $0)",""),IF(J67=0,"Agregar piezas en Despiece. ",IF(COUNTIFS(Despiece!$A$5:$A$1004,A67,Despiece!$D$5:$D$1004,"&gt;0")&lt;J67,"Metros de "&amp;(J67-COUNTIFS(Despiece!$A$5:$A$1004,A67,Despiece!$D$5:$D$1004,"&gt;0"))&amp;" pieza(s). ",""))&amp;IF(COUNTIFS(Despiece!$A$5:$A$1004,A67,Despiece!$G$5:$G$1004,"falta*")&gt;0,"Precio o peso de 1 m de alguna tela. ","")&amp;IF(M67="","Tipo/precio de confección. ","")))</f>
        <v/>
      </c>
      <c r="Q67" s="28"/>
    </row>
    <row r="68" customFormat="false" ht="15" hidden="false" customHeight="false" outlineLevel="0" collapsed="false">
      <c r="A68" s="28"/>
      <c r="B68" s="28"/>
      <c r="C68" s="28"/>
      <c r="D68" s="28"/>
      <c r="E68" s="28"/>
      <c r="F68" s="10"/>
      <c r="G68" s="28"/>
      <c r="H68" s="10"/>
      <c r="I68" s="28"/>
      <c r="J68" s="8" t="str">
        <f aca="false">IF(A68="","",COUNTIF(Despiece!$A$5:$A$1004,A68))</f>
        <v/>
      </c>
      <c r="K68" s="29"/>
      <c r="L68" s="11" t="str">
        <f aca="false">IF(A68="","",IF(COUNTIFS(Despiece!$A$5:$A$1004,A68,Despiece!$D$5:$D$1004,"&gt;0")&lt;J68,"",IF(COUNTIFS(Despiece!$A$5:$A$1004,A68,Despiece!$G$5:$G$1004,"falta*")&gt;0,"",SUMIFS(Despiece!$G$5:$G$1004,Despiece!$A$5:$A$1004,A68))))</f>
        <v/>
      </c>
      <c r="M68" s="11" t="str">
        <f aca="false">IF(OR(A68="",E68=""),"",IFERROR(INDEX(Precios!$K$5:$K$84,MATCH(E68,Precios!$J$5:$J$84,0)),""))</f>
        <v/>
      </c>
      <c r="N68" s="11" t="str">
        <f aca="false">IF(A68="","",IFERROR(N(G68)*IF(F68="",0,INDEX(Precios!$N$5:$N$64,MATCH(F68,Precios!$M$5:$M$64,0)))+N(I68)*IF(H68="",0,INDEX(Precios!$N$5:$N$64,MATCH(H68,Precios!$M$5:$M$64,0))),""))</f>
        <v/>
      </c>
      <c r="O68" s="12" t="str">
        <f aca="false">IF(A68="","",IFERROR(L68+M68+N68,""))</f>
        <v/>
      </c>
      <c r="P68" s="30" t="str">
        <f aca="false">IF(A68="","",IF(ISNUMBER(O68),"Lista"&amp;IF(N(Precios!$Q$10)=0," (impresión en $0)",""),IF(J68=0,"Agregar piezas en Despiece. ",IF(COUNTIFS(Despiece!$A$5:$A$1004,A68,Despiece!$D$5:$D$1004,"&gt;0")&lt;J68,"Metros de "&amp;(J68-COUNTIFS(Despiece!$A$5:$A$1004,A68,Despiece!$D$5:$D$1004,"&gt;0"))&amp;" pieza(s). ",""))&amp;IF(COUNTIFS(Despiece!$A$5:$A$1004,A68,Despiece!$G$5:$G$1004,"falta*")&gt;0,"Precio o peso de 1 m de alguna tela. ","")&amp;IF(M68="","Tipo/precio de confección. ","")))</f>
        <v/>
      </c>
      <c r="Q68" s="28"/>
    </row>
    <row r="69" customFormat="false" ht="15" hidden="false" customHeight="false" outlineLevel="0" collapsed="false">
      <c r="A69" s="28"/>
      <c r="B69" s="28"/>
      <c r="C69" s="28"/>
      <c r="D69" s="28"/>
      <c r="E69" s="28"/>
      <c r="F69" s="10"/>
      <c r="G69" s="28"/>
      <c r="H69" s="10"/>
      <c r="I69" s="28"/>
      <c r="J69" s="8" t="str">
        <f aca="false">IF(A69="","",COUNTIF(Despiece!$A$5:$A$1004,A69))</f>
        <v/>
      </c>
      <c r="K69" s="29"/>
      <c r="L69" s="11" t="str">
        <f aca="false">IF(A69="","",IF(COUNTIFS(Despiece!$A$5:$A$1004,A69,Despiece!$D$5:$D$1004,"&gt;0")&lt;J69,"",IF(COUNTIFS(Despiece!$A$5:$A$1004,A69,Despiece!$G$5:$G$1004,"falta*")&gt;0,"",SUMIFS(Despiece!$G$5:$G$1004,Despiece!$A$5:$A$1004,A69))))</f>
        <v/>
      </c>
      <c r="M69" s="11" t="str">
        <f aca="false">IF(OR(A69="",E69=""),"",IFERROR(INDEX(Precios!$K$5:$K$84,MATCH(E69,Precios!$J$5:$J$84,0)),""))</f>
        <v/>
      </c>
      <c r="N69" s="11" t="str">
        <f aca="false">IF(A69="","",IFERROR(N(G69)*IF(F69="",0,INDEX(Precios!$N$5:$N$64,MATCH(F69,Precios!$M$5:$M$64,0)))+N(I69)*IF(H69="",0,INDEX(Precios!$N$5:$N$64,MATCH(H69,Precios!$M$5:$M$64,0))),""))</f>
        <v/>
      </c>
      <c r="O69" s="12" t="str">
        <f aca="false">IF(A69="","",IFERROR(L69+M69+N69,""))</f>
        <v/>
      </c>
      <c r="P69" s="30" t="str">
        <f aca="false">IF(A69="","",IF(ISNUMBER(O69),"Lista"&amp;IF(N(Precios!$Q$10)=0," (impresión en $0)",""),IF(J69=0,"Agregar piezas en Despiece. ",IF(COUNTIFS(Despiece!$A$5:$A$1004,A69,Despiece!$D$5:$D$1004,"&gt;0")&lt;J69,"Metros de "&amp;(J69-COUNTIFS(Despiece!$A$5:$A$1004,A69,Despiece!$D$5:$D$1004,"&gt;0"))&amp;" pieza(s). ",""))&amp;IF(COUNTIFS(Despiece!$A$5:$A$1004,A69,Despiece!$G$5:$G$1004,"falta*")&gt;0,"Precio o peso de 1 m de alguna tela. ","")&amp;IF(M69="","Tipo/precio de confección. ","")))</f>
        <v/>
      </c>
      <c r="Q69" s="28"/>
    </row>
    <row r="70" customFormat="false" ht="15" hidden="false" customHeight="false" outlineLevel="0" collapsed="false">
      <c r="A70" s="28"/>
      <c r="B70" s="28"/>
      <c r="C70" s="28"/>
      <c r="D70" s="28"/>
      <c r="E70" s="28"/>
      <c r="F70" s="10"/>
      <c r="G70" s="28"/>
      <c r="H70" s="10"/>
      <c r="I70" s="28"/>
      <c r="J70" s="8" t="str">
        <f aca="false">IF(A70="","",COUNTIF(Despiece!$A$5:$A$1004,A70))</f>
        <v/>
      </c>
      <c r="K70" s="29"/>
      <c r="L70" s="11" t="str">
        <f aca="false">IF(A70="","",IF(COUNTIFS(Despiece!$A$5:$A$1004,A70,Despiece!$D$5:$D$1004,"&gt;0")&lt;J70,"",IF(COUNTIFS(Despiece!$A$5:$A$1004,A70,Despiece!$G$5:$G$1004,"falta*")&gt;0,"",SUMIFS(Despiece!$G$5:$G$1004,Despiece!$A$5:$A$1004,A70))))</f>
        <v/>
      </c>
      <c r="M70" s="11" t="str">
        <f aca="false">IF(OR(A70="",E70=""),"",IFERROR(INDEX(Precios!$K$5:$K$84,MATCH(E70,Precios!$J$5:$J$84,0)),""))</f>
        <v/>
      </c>
      <c r="N70" s="11" t="str">
        <f aca="false">IF(A70="","",IFERROR(N(G70)*IF(F70="",0,INDEX(Precios!$N$5:$N$64,MATCH(F70,Precios!$M$5:$M$64,0)))+N(I70)*IF(H70="",0,INDEX(Precios!$N$5:$N$64,MATCH(H70,Precios!$M$5:$M$64,0))),""))</f>
        <v/>
      </c>
      <c r="O70" s="12" t="str">
        <f aca="false">IF(A70="","",IFERROR(L70+M70+N70,""))</f>
        <v/>
      </c>
      <c r="P70" s="30" t="str">
        <f aca="false">IF(A70="","",IF(ISNUMBER(O70),"Lista"&amp;IF(N(Precios!$Q$10)=0," (impresión en $0)",""),IF(J70=0,"Agregar piezas en Despiece. ",IF(COUNTIFS(Despiece!$A$5:$A$1004,A70,Despiece!$D$5:$D$1004,"&gt;0")&lt;J70,"Metros de "&amp;(J70-COUNTIFS(Despiece!$A$5:$A$1004,A70,Despiece!$D$5:$D$1004,"&gt;0"))&amp;" pieza(s). ",""))&amp;IF(COUNTIFS(Despiece!$A$5:$A$1004,A70,Despiece!$G$5:$G$1004,"falta*")&gt;0,"Precio o peso de 1 m de alguna tela. ","")&amp;IF(M70="","Tipo/precio de confección. ","")))</f>
        <v/>
      </c>
      <c r="Q70" s="28"/>
    </row>
    <row r="71" customFormat="false" ht="15" hidden="false" customHeight="false" outlineLevel="0" collapsed="false">
      <c r="A71" s="28"/>
      <c r="B71" s="28"/>
      <c r="C71" s="28"/>
      <c r="D71" s="28"/>
      <c r="E71" s="28"/>
      <c r="F71" s="10"/>
      <c r="G71" s="28"/>
      <c r="H71" s="10"/>
      <c r="I71" s="28"/>
      <c r="J71" s="8" t="str">
        <f aca="false">IF(A71="","",COUNTIF(Despiece!$A$5:$A$1004,A71))</f>
        <v/>
      </c>
      <c r="K71" s="29"/>
      <c r="L71" s="11" t="str">
        <f aca="false">IF(A71="","",IF(COUNTIFS(Despiece!$A$5:$A$1004,A71,Despiece!$D$5:$D$1004,"&gt;0")&lt;J71,"",IF(COUNTIFS(Despiece!$A$5:$A$1004,A71,Despiece!$G$5:$G$1004,"falta*")&gt;0,"",SUMIFS(Despiece!$G$5:$G$1004,Despiece!$A$5:$A$1004,A71))))</f>
        <v/>
      </c>
      <c r="M71" s="11" t="str">
        <f aca="false">IF(OR(A71="",E71=""),"",IFERROR(INDEX(Precios!$K$5:$K$84,MATCH(E71,Precios!$J$5:$J$84,0)),""))</f>
        <v/>
      </c>
      <c r="N71" s="11" t="str">
        <f aca="false">IF(A71="","",IFERROR(N(G71)*IF(F71="",0,INDEX(Precios!$N$5:$N$64,MATCH(F71,Precios!$M$5:$M$64,0)))+N(I71)*IF(H71="",0,INDEX(Precios!$N$5:$N$64,MATCH(H71,Precios!$M$5:$M$64,0))),""))</f>
        <v/>
      </c>
      <c r="O71" s="12" t="str">
        <f aca="false">IF(A71="","",IFERROR(L71+M71+N71,""))</f>
        <v/>
      </c>
      <c r="P71" s="30" t="str">
        <f aca="false">IF(A71="","",IF(ISNUMBER(O71),"Lista"&amp;IF(N(Precios!$Q$10)=0," (impresión en $0)",""),IF(J71=0,"Agregar piezas en Despiece. ",IF(COUNTIFS(Despiece!$A$5:$A$1004,A71,Despiece!$D$5:$D$1004,"&gt;0")&lt;J71,"Metros de "&amp;(J71-COUNTIFS(Despiece!$A$5:$A$1004,A71,Despiece!$D$5:$D$1004,"&gt;0"))&amp;" pieza(s). ",""))&amp;IF(COUNTIFS(Despiece!$A$5:$A$1004,A71,Despiece!$G$5:$G$1004,"falta*")&gt;0,"Precio o peso de 1 m de alguna tela. ","")&amp;IF(M71="","Tipo/precio de confección. ","")))</f>
        <v/>
      </c>
      <c r="Q71" s="28"/>
    </row>
    <row r="72" customFormat="false" ht="15" hidden="false" customHeight="false" outlineLevel="0" collapsed="false">
      <c r="A72" s="28"/>
      <c r="B72" s="28"/>
      <c r="C72" s="28"/>
      <c r="D72" s="28"/>
      <c r="E72" s="28"/>
      <c r="F72" s="10"/>
      <c r="G72" s="28"/>
      <c r="H72" s="10"/>
      <c r="I72" s="28"/>
      <c r="J72" s="8" t="str">
        <f aca="false">IF(A72="","",COUNTIF(Despiece!$A$5:$A$1004,A72))</f>
        <v/>
      </c>
      <c r="K72" s="29"/>
      <c r="L72" s="11" t="str">
        <f aca="false">IF(A72="","",IF(COUNTIFS(Despiece!$A$5:$A$1004,A72,Despiece!$D$5:$D$1004,"&gt;0")&lt;J72,"",IF(COUNTIFS(Despiece!$A$5:$A$1004,A72,Despiece!$G$5:$G$1004,"falta*")&gt;0,"",SUMIFS(Despiece!$G$5:$G$1004,Despiece!$A$5:$A$1004,A72))))</f>
        <v/>
      </c>
      <c r="M72" s="11" t="str">
        <f aca="false">IF(OR(A72="",E72=""),"",IFERROR(INDEX(Precios!$K$5:$K$84,MATCH(E72,Precios!$J$5:$J$84,0)),""))</f>
        <v/>
      </c>
      <c r="N72" s="11" t="str">
        <f aca="false">IF(A72="","",IFERROR(N(G72)*IF(F72="",0,INDEX(Precios!$N$5:$N$64,MATCH(F72,Precios!$M$5:$M$64,0)))+N(I72)*IF(H72="",0,INDEX(Precios!$N$5:$N$64,MATCH(H72,Precios!$M$5:$M$64,0))),""))</f>
        <v/>
      </c>
      <c r="O72" s="12" t="str">
        <f aca="false">IF(A72="","",IFERROR(L72+M72+N72,""))</f>
        <v/>
      </c>
      <c r="P72" s="30" t="str">
        <f aca="false">IF(A72="","",IF(ISNUMBER(O72),"Lista"&amp;IF(N(Precios!$Q$10)=0," (impresión en $0)",""),IF(J72=0,"Agregar piezas en Despiece. ",IF(COUNTIFS(Despiece!$A$5:$A$1004,A72,Despiece!$D$5:$D$1004,"&gt;0")&lt;J72,"Metros de "&amp;(J72-COUNTIFS(Despiece!$A$5:$A$1004,A72,Despiece!$D$5:$D$1004,"&gt;0"))&amp;" pieza(s). ",""))&amp;IF(COUNTIFS(Despiece!$A$5:$A$1004,A72,Despiece!$G$5:$G$1004,"falta*")&gt;0,"Precio o peso de 1 m de alguna tela. ","")&amp;IF(M72="","Tipo/precio de confección. ","")))</f>
        <v/>
      </c>
      <c r="Q72" s="28"/>
    </row>
    <row r="73" customFormat="false" ht="15" hidden="false" customHeight="false" outlineLevel="0" collapsed="false">
      <c r="A73" s="28"/>
      <c r="B73" s="28"/>
      <c r="C73" s="28"/>
      <c r="D73" s="28"/>
      <c r="E73" s="28"/>
      <c r="F73" s="10"/>
      <c r="G73" s="28"/>
      <c r="H73" s="10"/>
      <c r="I73" s="28"/>
      <c r="J73" s="8" t="str">
        <f aca="false">IF(A73="","",COUNTIF(Despiece!$A$5:$A$1004,A73))</f>
        <v/>
      </c>
      <c r="K73" s="29"/>
      <c r="L73" s="11" t="str">
        <f aca="false">IF(A73="","",IF(COUNTIFS(Despiece!$A$5:$A$1004,A73,Despiece!$D$5:$D$1004,"&gt;0")&lt;J73,"",IF(COUNTIFS(Despiece!$A$5:$A$1004,A73,Despiece!$G$5:$G$1004,"falta*")&gt;0,"",SUMIFS(Despiece!$G$5:$G$1004,Despiece!$A$5:$A$1004,A73))))</f>
        <v/>
      </c>
      <c r="M73" s="11" t="str">
        <f aca="false">IF(OR(A73="",E73=""),"",IFERROR(INDEX(Precios!$K$5:$K$84,MATCH(E73,Precios!$J$5:$J$84,0)),""))</f>
        <v/>
      </c>
      <c r="N73" s="11" t="str">
        <f aca="false">IF(A73="","",IFERROR(N(G73)*IF(F73="",0,INDEX(Precios!$N$5:$N$64,MATCH(F73,Precios!$M$5:$M$64,0)))+N(I73)*IF(H73="",0,INDEX(Precios!$N$5:$N$64,MATCH(H73,Precios!$M$5:$M$64,0))),""))</f>
        <v/>
      </c>
      <c r="O73" s="12" t="str">
        <f aca="false">IF(A73="","",IFERROR(L73+M73+N73,""))</f>
        <v/>
      </c>
      <c r="P73" s="30" t="str">
        <f aca="false">IF(A73="","",IF(ISNUMBER(O73),"Lista"&amp;IF(N(Precios!$Q$10)=0," (impresión en $0)",""),IF(J73=0,"Agregar piezas en Despiece. ",IF(COUNTIFS(Despiece!$A$5:$A$1004,A73,Despiece!$D$5:$D$1004,"&gt;0")&lt;J73,"Metros de "&amp;(J73-COUNTIFS(Despiece!$A$5:$A$1004,A73,Despiece!$D$5:$D$1004,"&gt;0"))&amp;" pieza(s). ",""))&amp;IF(COUNTIFS(Despiece!$A$5:$A$1004,A73,Despiece!$G$5:$G$1004,"falta*")&gt;0,"Precio o peso de 1 m de alguna tela. ","")&amp;IF(M73="","Tipo/precio de confección. ","")))</f>
        <v/>
      </c>
      <c r="Q73" s="28"/>
    </row>
    <row r="74" customFormat="false" ht="15" hidden="false" customHeight="false" outlineLevel="0" collapsed="false">
      <c r="A74" s="28"/>
      <c r="B74" s="28"/>
      <c r="C74" s="28"/>
      <c r="D74" s="28"/>
      <c r="E74" s="28"/>
      <c r="F74" s="10"/>
      <c r="G74" s="28"/>
      <c r="H74" s="10"/>
      <c r="I74" s="28"/>
      <c r="J74" s="8" t="str">
        <f aca="false">IF(A74="","",COUNTIF(Despiece!$A$5:$A$1004,A74))</f>
        <v/>
      </c>
      <c r="K74" s="29"/>
      <c r="L74" s="11" t="str">
        <f aca="false">IF(A74="","",IF(COUNTIFS(Despiece!$A$5:$A$1004,A74,Despiece!$D$5:$D$1004,"&gt;0")&lt;J74,"",IF(COUNTIFS(Despiece!$A$5:$A$1004,A74,Despiece!$G$5:$G$1004,"falta*")&gt;0,"",SUMIFS(Despiece!$G$5:$G$1004,Despiece!$A$5:$A$1004,A74))))</f>
        <v/>
      </c>
      <c r="M74" s="11" t="str">
        <f aca="false">IF(OR(A74="",E74=""),"",IFERROR(INDEX(Precios!$K$5:$K$84,MATCH(E74,Precios!$J$5:$J$84,0)),""))</f>
        <v/>
      </c>
      <c r="N74" s="11" t="str">
        <f aca="false">IF(A74="","",IFERROR(N(G74)*IF(F74="",0,INDEX(Precios!$N$5:$N$64,MATCH(F74,Precios!$M$5:$M$64,0)))+N(I74)*IF(H74="",0,INDEX(Precios!$N$5:$N$64,MATCH(H74,Precios!$M$5:$M$64,0))),""))</f>
        <v/>
      </c>
      <c r="O74" s="12" t="str">
        <f aca="false">IF(A74="","",IFERROR(L74+M74+N74,""))</f>
        <v/>
      </c>
      <c r="P74" s="30" t="str">
        <f aca="false">IF(A74="","",IF(ISNUMBER(O74),"Lista"&amp;IF(N(Precios!$Q$10)=0," (impresión en $0)",""),IF(J74=0,"Agregar piezas en Despiece. ",IF(COUNTIFS(Despiece!$A$5:$A$1004,A74,Despiece!$D$5:$D$1004,"&gt;0")&lt;J74,"Metros de "&amp;(J74-COUNTIFS(Despiece!$A$5:$A$1004,A74,Despiece!$D$5:$D$1004,"&gt;0"))&amp;" pieza(s). ",""))&amp;IF(COUNTIFS(Despiece!$A$5:$A$1004,A74,Despiece!$G$5:$G$1004,"falta*")&gt;0,"Precio o peso de 1 m de alguna tela. ","")&amp;IF(M74="","Tipo/precio de confección. ","")))</f>
        <v/>
      </c>
      <c r="Q74" s="28"/>
    </row>
    <row r="75" customFormat="false" ht="15" hidden="false" customHeight="false" outlineLevel="0" collapsed="false">
      <c r="A75" s="28"/>
      <c r="B75" s="28"/>
      <c r="C75" s="28"/>
      <c r="D75" s="28"/>
      <c r="E75" s="28"/>
      <c r="F75" s="10"/>
      <c r="G75" s="28"/>
      <c r="H75" s="10"/>
      <c r="I75" s="28"/>
      <c r="J75" s="8" t="str">
        <f aca="false">IF(A75="","",COUNTIF(Despiece!$A$5:$A$1004,A75))</f>
        <v/>
      </c>
      <c r="K75" s="29"/>
      <c r="L75" s="11" t="str">
        <f aca="false">IF(A75="","",IF(COUNTIFS(Despiece!$A$5:$A$1004,A75,Despiece!$D$5:$D$1004,"&gt;0")&lt;J75,"",IF(COUNTIFS(Despiece!$A$5:$A$1004,A75,Despiece!$G$5:$G$1004,"falta*")&gt;0,"",SUMIFS(Despiece!$G$5:$G$1004,Despiece!$A$5:$A$1004,A75))))</f>
        <v/>
      </c>
      <c r="M75" s="11" t="str">
        <f aca="false">IF(OR(A75="",E75=""),"",IFERROR(INDEX(Precios!$K$5:$K$84,MATCH(E75,Precios!$J$5:$J$84,0)),""))</f>
        <v/>
      </c>
      <c r="N75" s="11" t="str">
        <f aca="false">IF(A75="","",IFERROR(N(G75)*IF(F75="",0,INDEX(Precios!$N$5:$N$64,MATCH(F75,Precios!$M$5:$M$64,0)))+N(I75)*IF(H75="",0,INDEX(Precios!$N$5:$N$64,MATCH(H75,Precios!$M$5:$M$64,0))),""))</f>
        <v/>
      </c>
      <c r="O75" s="12" t="str">
        <f aca="false">IF(A75="","",IFERROR(L75+M75+N75,""))</f>
        <v/>
      </c>
      <c r="P75" s="30" t="str">
        <f aca="false">IF(A75="","",IF(ISNUMBER(O75),"Lista"&amp;IF(N(Precios!$Q$10)=0," (impresión en $0)",""),IF(J75=0,"Agregar piezas en Despiece. ",IF(COUNTIFS(Despiece!$A$5:$A$1004,A75,Despiece!$D$5:$D$1004,"&gt;0")&lt;J75,"Metros de "&amp;(J75-COUNTIFS(Despiece!$A$5:$A$1004,A75,Despiece!$D$5:$D$1004,"&gt;0"))&amp;" pieza(s). ",""))&amp;IF(COUNTIFS(Despiece!$A$5:$A$1004,A75,Despiece!$G$5:$G$1004,"falta*")&gt;0,"Precio o peso de 1 m de alguna tela. ","")&amp;IF(M75="","Tipo/precio de confección. ","")))</f>
        <v/>
      </c>
      <c r="Q75" s="28"/>
    </row>
    <row r="76" customFormat="false" ht="15" hidden="false" customHeight="false" outlineLevel="0" collapsed="false">
      <c r="A76" s="28"/>
      <c r="B76" s="28"/>
      <c r="C76" s="28"/>
      <c r="D76" s="28"/>
      <c r="E76" s="28"/>
      <c r="F76" s="10"/>
      <c r="G76" s="28"/>
      <c r="H76" s="10"/>
      <c r="I76" s="28"/>
      <c r="J76" s="8" t="str">
        <f aca="false">IF(A76="","",COUNTIF(Despiece!$A$5:$A$1004,A76))</f>
        <v/>
      </c>
      <c r="K76" s="29"/>
      <c r="L76" s="11" t="str">
        <f aca="false">IF(A76="","",IF(COUNTIFS(Despiece!$A$5:$A$1004,A76,Despiece!$D$5:$D$1004,"&gt;0")&lt;J76,"",IF(COUNTIFS(Despiece!$A$5:$A$1004,A76,Despiece!$G$5:$G$1004,"falta*")&gt;0,"",SUMIFS(Despiece!$G$5:$G$1004,Despiece!$A$5:$A$1004,A76))))</f>
        <v/>
      </c>
      <c r="M76" s="11" t="str">
        <f aca="false">IF(OR(A76="",E76=""),"",IFERROR(INDEX(Precios!$K$5:$K$84,MATCH(E76,Precios!$J$5:$J$84,0)),""))</f>
        <v/>
      </c>
      <c r="N76" s="11" t="str">
        <f aca="false">IF(A76="","",IFERROR(N(G76)*IF(F76="",0,INDEX(Precios!$N$5:$N$64,MATCH(F76,Precios!$M$5:$M$64,0)))+N(I76)*IF(H76="",0,INDEX(Precios!$N$5:$N$64,MATCH(H76,Precios!$M$5:$M$64,0))),""))</f>
        <v/>
      </c>
      <c r="O76" s="12" t="str">
        <f aca="false">IF(A76="","",IFERROR(L76+M76+N76,""))</f>
        <v/>
      </c>
      <c r="P76" s="30" t="str">
        <f aca="false">IF(A76="","",IF(ISNUMBER(O76),"Lista"&amp;IF(N(Precios!$Q$10)=0," (impresión en $0)",""),IF(J76=0,"Agregar piezas en Despiece. ",IF(COUNTIFS(Despiece!$A$5:$A$1004,A76,Despiece!$D$5:$D$1004,"&gt;0")&lt;J76,"Metros de "&amp;(J76-COUNTIFS(Despiece!$A$5:$A$1004,A76,Despiece!$D$5:$D$1004,"&gt;0"))&amp;" pieza(s). ",""))&amp;IF(COUNTIFS(Despiece!$A$5:$A$1004,A76,Despiece!$G$5:$G$1004,"falta*")&gt;0,"Precio o peso de 1 m de alguna tela. ","")&amp;IF(M76="","Tipo/precio de confección. ","")))</f>
        <v/>
      </c>
      <c r="Q76" s="28"/>
    </row>
    <row r="77" customFormat="false" ht="15" hidden="false" customHeight="false" outlineLevel="0" collapsed="false">
      <c r="A77" s="28"/>
      <c r="B77" s="28"/>
      <c r="C77" s="28"/>
      <c r="D77" s="28"/>
      <c r="E77" s="28"/>
      <c r="F77" s="10"/>
      <c r="G77" s="28"/>
      <c r="H77" s="10"/>
      <c r="I77" s="28"/>
      <c r="J77" s="8" t="str">
        <f aca="false">IF(A77="","",COUNTIF(Despiece!$A$5:$A$1004,A77))</f>
        <v/>
      </c>
      <c r="K77" s="29"/>
      <c r="L77" s="11" t="str">
        <f aca="false">IF(A77="","",IF(COUNTIFS(Despiece!$A$5:$A$1004,A77,Despiece!$D$5:$D$1004,"&gt;0")&lt;J77,"",IF(COUNTIFS(Despiece!$A$5:$A$1004,A77,Despiece!$G$5:$G$1004,"falta*")&gt;0,"",SUMIFS(Despiece!$G$5:$G$1004,Despiece!$A$5:$A$1004,A77))))</f>
        <v/>
      </c>
      <c r="M77" s="11" t="str">
        <f aca="false">IF(OR(A77="",E77=""),"",IFERROR(INDEX(Precios!$K$5:$K$84,MATCH(E77,Precios!$J$5:$J$84,0)),""))</f>
        <v/>
      </c>
      <c r="N77" s="11" t="str">
        <f aca="false">IF(A77="","",IFERROR(N(G77)*IF(F77="",0,INDEX(Precios!$N$5:$N$64,MATCH(F77,Precios!$M$5:$M$64,0)))+N(I77)*IF(H77="",0,INDEX(Precios!$N$5:$N$64,MATCH(H77,Precios!$M$5:$M$64,0))),""))</f>
        <v/>
      </c>
      <c r="O77" s="12" t="str">
        <f aca="false">IF(A77="","",IFERROR(L77+M77+N77,""))</f>
        <v/>
      </c>
      <c r="P77" s="30" t="str">
        <f aca="false">IF(A77="","",IF(ISNUMBER(O77),"Lista"&amp;IF(N(Precios!$Q$10)=0," (impresión en $0)",""),IF(J77=0,"Agregar piezas en Despiece. ",IF(COUNTIFS(Despiece!$A$5:$A$1004,A77,Despiece!$D$5:$D$1004,"&gt;0")&lt;J77,"Metros de "&amp;(J77-COUNTIFS(Despiece!$A$5:$A$1004,A77,Despiece!$D$5:$D$1004,"&gt;0"))&amp;" pieza(s). ",""))&amp;IF(COUNTIFS(Despiece!$A$5:$A$1004,A77,Despiece!$G$5:$G$1004,"falta*")&gt;0,"Precio o peso de 1 m de alguna tela. ","")&amp;IF(M77="","Tipo/precio de confección. ","")))</f>
        <v/>
      </c>
      <c r="Q77" s="28"/>
    </row>
    <row r="78" customFormat="false" ht="15" hidden="false" customHeight="false" outlineLevel="0" collapsed="false">
      <c r="A78" s="28"/>
      <c r="B78" s="28"/>
      <c r="C78" s="28"/>
      <c r="D78" s="28"/>
      <c r="E78" s="28"/>
      <c r="F78" s="10"/>
      <c r="G78" s="28"/>
      <c r="H78" s="10"/>
      <c r="I78" s="28"/>
      <c r="J78" s="8" t="str">
        <f aca="false">IF(A78="","",COUNTIF(Despiece!$A$5:$A$1004,A78))</f>
        <v/>
      </c>
      <c r="K78" s="29"/>
      <c r="L78" s="11" t="str">
        <f aca="false">IF(A78="","",IF(COUNTIFS(Despiece!$A$5:$A$1004,A78,Despiece!$D$5:$D$1004,"&gt;0")&lt;J78,"",IF(COUNTIFS(Despiece!$A$5:$A$1004,A78,Despiece!$G$5:$G$1004,"falta*")&gt;0,"",SUMIFS(Despiece!$G$5:$G$1004,Despiece!$A$5:$A$1004,A78))))</f>
        <v/>
      </c>
      <c r="M78" s="11" t="str">
        <f aca="false">IF(OR(A78="",E78=""),"",IFERROR(INDEX(Precios!$K$5:$K$84,MATCH(E78,Precios!$J$5:$J$84,0)),""))</f>
        <v/>
      </c>
      <c r="N78" s="11" t="str">
        <f aca="false">IF(A78="","",IFERROR(N(G78)*IF(F78="",0,INDEX(Precios!$N$5:$N$64,MATCH(F78,Precios!$M$5:$M$64,0)))+N(I78)*IF(H78="",0,INDEX(Precios!$N$5:$N$64,MATCH(H78,Precios!$M$5:$M$64,0))),""))</f>
        <v/>
      </c>
      <c r="O78" s="12" t="str">
        <f aca="false">IF(A78="","",IFERROR(L78+M78+N78,""))</f>
        <v/>
      </c>
      <c r="P78" s="30" t="str">
        <f aca="false">IF(A78="","",IF(ISNUMBER(O78),"Lista"&amp;IF(N(Precios!$Q$10)=0," (impresión en $0)",""),IF(J78=0,"Agregar piezas en Despiece. ",IF(COUNTIFS(Despiece!$A$5:$A$1004,A78,Despiece!$D$5:$D$1004,"&gt;0")&lt;J78,"Metros de "&amp;(J78-COUNTIFS(Despiece!$A$5:$A$1004,A78,Despiece!$D$5:$D$1004,"&gt;0"))&amp;" pieza(s). ",""))&amp;IF(COUNTIFS(Despiece!$A$5:$A$1004,A78,Despiece!$G$5:$G$1004,"falta*")&gt;0,"Precio o peso de 1 m de alguna tela. ","")&amp;IF(M78="","Tipo/precio de confección. ","")))</f>
        <v/>
      </c>
      <c r="Q78" s="28"/>
    </row>
    <row r="79" customFormat="false" ht="15" hidden="false" customHeight="false" outlineLevel="0" collapsed="false">
      <c r="A79" s="28"/>
      <c r="B79" s="28"/>
      <c r="C79" s="28"/>
      <c r="D79" s="28"/>
      <c r="E79" s="28"/>
      <c r="F79" s="10"/>
      <c r="G79" s="28"/>
      <c r="H79" s="10"/>
      <c r="I79" s="28"/>
      <c r="J79" s="8" t="str">
        <f aca="false">IF(A79="","",COUNTIF(Despiece!$A$5:$A$1004,A79))</f>
        <v/>
      </c>
      <c r="K79" s="29"/>
      <c r="L79" s="11" t="str">
        <f aca="false">IF(A79="","",IF(COUNTIFS(Despiece!$A$5:$A$1004,A79,Despiece!$D$5:$D$1004,"&gt;0")&lt;J79,"",IF(COUNTIFS(Despiece!$A$5:$A$1004,A79,Despiece!$G$5:$G$1004,"falta*")&gt;0,"",SUMIFS(Despiece!$G$5:$G$1004,Despiece!$A$5:$A$1004,A79))))</f>
        <v/>
      </c>
      <c r="M79" s="11" t="str">
        <f aca="false">IF(OR(A79="",E79=""),"",IFERROR(INDEX(Precios!$K$5:$K$84,MATCH(E79,Precios!$J$5:$J$84,0)),""))</f>
        <v/>
      </c>
      <c r="N79" s="11" t="str">
        <f aca="false">IF(A79="","",IFERROR(N(G79)*IF(F79="",0,INDEX(Precios!$N$5:$N$64,MATCH(F79,Precios!$M$5:$M$64,0)))+N(I79)*IF(H79="",0,INDEX(Precios!$N$5:$N$64,MATCH(H79,Precios!$M$5:$M$64,0))),""))</f>
        <v/>
      </c>
      <c r="O79" s="12" t="str">
        <f aca="false">IF(A79="","",IFERROR(L79+M79+N79,""))</f>
        <v/>
      </c>
      <c r="P79" s="30" t="str">
        <f aca="false">IF(A79="","",IF(ISNUMBER(O79),"Lista"&amp;IF(N(Precios!$Q$10)=0," (impresión en $0)",""),IF(J79=0,"Agregar piezas en Despiece. ",IF(COUNTIFS(Despiece!$A$5:$A$1004,A79,Despiece!$D$5:$D$1004,"&gt;0")&lt;J79,"Metros de "&amp;(J79-COUNTIFS(Despiece!$A$5:$A$1004,A79,Despiece!$D$5:$D$1004,"&gt;0"))&amp;" pieza(s). ",""))&amp;IF(COUNTIFS(Despiece!$A$5:$A$1004,A79,Despiece!$G$5:$G$1004,"falta*")&gt;0,"Precio o peso de 1 m de alguna tela. ","")&amp;IF(M79="","Tipo/precio de confección. ","")))</f>
        <v/>
      </c>
      <c r="Q79" s="28"/>
    </row>
    <row r="80" customFormat="false" ht="15" hidden="false" customHeight="false" outlineLevel="0" collapsed="false">
      <c r="A80" s="28"/>
      <c r="B80" s="28"/>
      <c r="C80" s="28"/>
      <c r="D80" s="28"/>
      <c r="E80" s="28"/>
      <c r="F80" s="10"/>
      <c r="G80" s="28"/>
      <c r="H80" s="10"/>
      <c r="I80" s="28"/>
      <c r="J80" s="8" t="str">
        <f aca="false">IF(A80="","",COUNTIF(Despiece!$A$5:$A$1004,A80))</f>
        <v/>
      </c>
      <c r="K80" s="29"/>
      <c r="L80" s="11" t="str">
        <f aca="false">IF(A80="","",IF(COUNTIFS(Despiece!$A$5:$A$1004,A80,Despiece!$D$5:$D$1004,"&gt;0")&lt;J80,"",IF(COUNTIFS(Despiece!$A$5:$A$1004,A80,Despiece!$G$5:$G$1004,"falta*")&gt;0,"",SUMIFS(Despiece!$G$5:$G$1004,Despiece!$A$5:$A$1004,A80))))</f>
        <v/>
      </c>
      <c r="M80" s="11" t="str">
        <f aca="false">IF(OR(A80="",E80=""),"",IFERROR(INDEX(Precios!$K$5:$K$84,MATCH(E80,Precios!$J$5:$J$84,0)),""))</f>
        <v/>
      </c>
      <c r="N80" s="11" t="str">
        <f aca="false">IF(A80="","",IFERROR(N(G80)*IF(F80="",0,INDEX(Precios!$N$5:$N$64,MATCH(F80,Precios!$M$5:$M$64,0)))+N(I80)*IF(H80="",0,INDEX(Precios!$N$5:$N$64,MATCH(H80,Precios!$M$5:$M$64,0))),""))</f>
        <v/>
      </c>
      <c r="O80" s="12" t="str">
        <f aca="false">IF(A80="","",IFERROR(L80+M80+N80,""))</f>
        <v/>
      </c>
      <c r="P80" s="30" t="str">
        <f aca="false">IF(A80="","",IF(ISNUMBER(O80),"Lista"&amp;IF(N(Precios!$Q$10)=0," (impresión en $0)",""),IF(J80=0,"Agregar piezas en Despiece. ",IF(COUNTIFS(Despiece!$A$5:$A$1004,A80,Despiece!$D$5:$D$1004,"&gt;0")&lt;J80,"Metros de "&amp;(J80-COUNTIFS(Despiece!$A$5:$A$1004,A80,Despiece!$D$5:$D$1004,"&gt;0"))&amp;" pieza(s). ",""))&amp;IF(COUNTIFS(Despiece!$A$5:$A$1004,A80,Despiece!$G$5:$G$1004,"falta*")&gt;0,"Precio o peso de 1 m de alguna tela. ","")&amp;IF(M80="","Tipo/precio de confección. ","")))</f>
        <v/>
      </c>
      <c r="Q80" s="28"/>
    </row>
    <row r="81" customFormat="false" ht="15" hidden="false" customHeight="false" outlineLevel="0" collapsed="false">
      <c r="A81" s="28"/>
      <c r="B81" s="28"/>
      <c r="C81" s="28"/>
      <c r="D81" s="28"/>
      <c r="E81" s="28"/>
      <c r="F81" s="10"/>
      <c r="G81" s="28"/>
      <c r="H81" s="10"/>
      <c r="I81" s="28"/>
      <c r="J81" s="8" t="str">
        <f aca="false">IF(A81="","",COUNTIF(Despiece!$A$5:$A$1004,A81))</f>
        <v/>
      </c>
      <c r="K81" s="29"/>
      <c r="L81" s="11" t="str">
        <f aca="false">IF(A81="","",IF(COUNTIFS(Despiece!$A$5:$A$1004,A81,Despiece!$D$5:$D$1004,"&gt;0")&lt;J81,"",IF(COUNTIFS(Despiece!$A$5:$A$1004,A81,Despiece!$G$5:$G$1004,"falta*")&gt;0,"",SUMIFS(Despiece!$G$5:$G$1004,Despiece!$A$5:$A$1004,A81))))</f>
        <v/>
      </c>
      <c r="M81" s="11" t="str">
        <f aca="false">IF(OR(A81="",E81=""),"",IFERROR(INDEX(Precios!$K$5:$K$84,MATCH(E81,Precios!$J$5:$J$84,0)),""))</f>
        <v/>
      </c>
      <c r="N81" s="11" t="str">
        <f aca="false">IF(A81="","",IFERROR(N(G81)*IF(F81="",0,INDEX(Precios!$N$5:$N$64,MATCH(F81,Precios!$M$5:$M$64,0)))+N(I81)*IF(H81="",0,INDEX(Precios!$N$5:$N$64,MATCH(H81,Precios!$M$5:$M$64,0))),""))</f>
        <v/>
      </c>
      <c r="O81" s="12" t="str">
        <f aca="false">IF(A81="","",IFERROR(L81+M81+N81,""))</f>
        <v/>
      </c>
      <c r="P81" s="30" t="str">
        <f aca="false">IF(A81="","",IF(ISNUMBER(O81),"Lista"&amp;IF(N(Precios!$Q$10)=0," (impresión en $0)",""),IF(J81=0,"Agregar piezas en Despiece. ",IF(COUNTIFS(Despiece!$A$5:$A$1004,A81,Despiece!$D$5:$D$1004,"&gt;0")&lt;J81,"Metros de "&amp;(J81-COUNTIFS(Despiece!$A$5:$A$1004,A81,Despiece!$D$5:$D$1004,"&gt;0"))&amp;" pieza(s). ",""))&amp;IF(COUNTIFS(Despiece!$A$5:$A$1004,A81,Despiece!$G$5:$G$1004,"falta*")&gt;0,"Precio o peso de 1 m de alguna tela. ","")&amp;IF(M81="","Tipo/precio de confección. ","")))</f>
        <v/>
      </c>
      <c r="Q81" s="28"/>
    </row>
    <row r="82" customFormat="false" ht="15" hidden="false" customHeight="false" outlineLevel="0" collapsed="false">
      <c r="A82" s="28"/>
      <c r="B82" s="28"/>
      <c r="C82" s="28"/>
      <c r="D82" s="28"/>
      <c r="E82" s="28"/>
      <c r="F82" s="10"/>
      <c r="G82" s="28"/>
      <c r="H82" s="10"/>
      <c r="I82" s="28"/>
      <c r="J82" s="8" t="str">
        <f aca="false">IF(A82="","",COUNTIF(Despiece!$A$5:$A$1004,A82))</f>
        <v/>
      </c>
      <c r="K82" s="29"/>
      <c r="L82" s="11" t="str">
        <f aca="false">IF(A82="","",IF(COUNTIFS(Despiece!$A$5:$A$1004,A82,Despiece!$D$5:$D$1004,"&gt;0")&lt;J82,"",IF(COUNTIFS(Despiece!$A$5:$A$1004,A82,Despiece!$G$5:$G$1004,"falta*")&gt;0,"",SUMIFS(Despiece!$G$5:$G$1004,Despiece!$A$5:$A$1004,A82))))</f>
        <v/>
      </c>
      <c r="M82" s="11" t="str">
        <f aca="false">IF(OR(A82="",E82=""),"",IFERROR(INDEX(Precios!$K$5:$K$84,MATCH(E82,Precios!$J$5:$J$84,0)),""))</f>
        <v/>
      </c>
      <c r="N82" s="11" t="str">
        <f aca="false">IF(A82="","",IFERROR(N(G82)*IF(F82="",0,INDEX(Precios!$N$5:$N$64,MATCH(F82,Precios!$M$5:$M$64,0)))+N(I82)*IF(H82="",0,INDEX(Precios!$N$5:$N$64,MATCH(H82,Precios!$M$5:$M$64,0))),""))</f>
        <v/>
      </c>
      <c r="O82" s="12" t="str">
        <f aca="false">IF(A82="","",IFERROR(L82+M82+N82,""))</f>
        <v/>
      </c>
      <c r="P82" s="30" t="str">
        <f aca="false">IF(A82="","",IF(ISNUMBER(O82),"Lista"&amp;IF(N(Precios!$Q$10)=0," (impresión en $0)",""),IF(J82=0,"Agregar piezas en Despiece. ",IF(COUNTIFS(Despiece!$A$5:$A$1004,A82,Despiece!$D$5:$D$1004,"&gt;0")&lt;J82,"Metros de "&amp;(J82-COUNTIFS(Despiece!$A$5:$A$1004,A82,Despiece!$D$5:$D$1004,"&gt;0"))&amp;" pieza(s). ",""))&amp;IF(COUNTIFS(Despiece!$A$5:$A$1004,A82,Despiece!$G$5:$G$1004,"falta*")&gt;0,"Precio o peso de 1 m de alguna tela. ","")&amp;IF(M82="","Tipo/precio de confección. ","")))</f>
        <v/>
      </c>
      <c r="Q82" s="28"/>
    </row>
    <row r="83" customFormat="false" ht="15" hidden="false" customHeight="false" outlineLevel="0" collapsed="false">
      <c r="A83" s="28"/>
      <c r="B83" s="28"/>
      <c r="C83" s="28"/>
      <c r="D83" s="28"/>
      <c r="E83" s="28"/>
      <c r="F83" s="10"/>
      <c r="G83" s="28"/>
      <c r="H83" s="10"/>
      <c r="I83" s="28"/>
      <c r="J83" s="8" t="str">
        <f aca="false">IF(A83="","",COUNTIF(Despiece!$A$5:$A$1004,A83))</f>
        <v/>
      </c>
      <c r="K83" s="29"/>
      <c r="L83" s="11" t="str">
        <f aca="false">IF(A83="","",IF(COUNTIFS(Despiece!$A$5:$A$1004,A83,Despiece!$D$5:$D$1004,"&gt;0")&lt;J83,"",IF(COUNTIFS(Despiece!$A$5:$A$1004,A83,Despiece!$G$5:$G$1004,"falta*")&gt;0,"",SUMIFS(Despiece!$G$5:$G$1004,Despiece!$A$5:$A$1004,A83))))</f>
        <v/>
      </c>
      <c r="M83" s="11" t="str">
        <f aca="false">IF(OR(A83="",E83=""),"",IFERROR(INDEX(Precios!$K$5:$K$84,MATCH(E83,Precios!$J$5:$J$84,0)),""))</f>
        <v/>
      </c>
      <c r="N83" s="11" t="str">
        <f aca="false">IF(A83="","",IFERROR(N(G83)*IF(F83="",0,INDEX(Precios!$N$5:$N$64,MATCH(F83,Precios!$M$5:$M$64,0)))+N(I83)*IF(H83="",0,INDEX(Precios!$N$5:$N$64,MATCH(H83,Precios!$M$5:$M$64,0))),""))</f>
        <v/>
      </c>
      <c r="O83" s="12" t="str">
        <f aca="false">IF(A83="","",IFERROR(L83+M83+N83,""))</f>
        <v/>
      </c>
      <c r="P83" s="30" t="str">
        <f aca="false">IF(A83="","",IF(ISNUMBER(O83),"Lista"&amp;IF(N(Precios!$Q$10)=0," (impresión en $0)",""),IF(J83=0,"Agregar piezas en Despiece. ",IF(COUNTIFS(Despiece!$A$5:$A$1004,A83,Despiece!$D$5:$D$1004,"&gt;0")&lt;J83,"Metros de "&amp;(J83-COUNTIFS(Despiece!$A$5:$A$1004,A83,Despiece!$D$5:$D$1004,"&gt;0"))&amp;" pieza(s). ",""))&amp;IF(COUNTIFS(Despiece!$A$5:$A$1004,A83,Despiece!$G$5:$G$1004,"falta*")&gt;0,"Precio o peso de 1 m de alguna tela. ","")&amp;IF(M83="","Tipo/precio de confección. ","")))</f>
        <v/>
      </c>
      <c r="Q83" s="28"/>
    </row>
    <row r="84" customFormat="false" ht="15" hidden="false" customHeight="false" outlineLevel="0" collapsed="false">
      <c r="A84" s="28"/>
      <c r="B84" s="28"/>
      <c r="C84" s="28"/>
      <c r="D84" s="28"/>
      <c r="E84" s="28"/>
      <c r="F84" s="10"/>
      <c r="G84" s="28"/>
      <c r="H84" s="10"/>
      <c r="I84" s="28"/>
      <c r="J84" s="8" t="str">
        <f aca="false">IF(A84="","",COUNTIF(Despiece!$A$5:$A$1004,A84))</f>
        <v/>
      </c>
      <c r="K84" s="29"/>
      <c r="L84" s="11" t="str">
        <f aca="false">IF(A84="","",IF(COUNTIFS(Despiece!$A$5:$A$1004,A84,Despiece!$D$5:$D$1004,"&gt;0")&lt;J84,"",IF(COUNTIFS(Despiece!$A$5:$A$1004,A84,Despiece!$G$5:$G$1004,"falta*")&gt;0,"",SUMIFS(Despiece!$G$5:$G$1004,Despiece!$A$5:$A$1004,A84))))</f>
        <v/>
      </c>
      <c r="M84" s="11" t="str">
        <f aca="false">IF(OR(A84="",E84=""),"",IFERROR(INDEX(Precios!$K$5:$K$84,MATCH(E84,Precios!$J$5:$J$84,0)),""))</f>
        <v/>
      </c>
      <c r="N84" s="11" t="str">
        <f aca="false">IF(A84="","",IFERROR(N(G84)*IF(F84="",0,INDEX(Precios!$N$5:$N$64,MATCH(F84,Precios!$M$5:$M$64,0)))+N(I84)*IF(H84="",0,INDEX(Precios!$N$5:$N$64,MATCH(H84,Precios!$M$5:$M$64,0))),""))</f>
        <v/>
      </c>
      <c r="O84" s="12" t="str">
        <f aca="false">IF(A84="","",IFERROR(L84+M84+N84,""))</f>
        <v/>
      </c>
      <c r="P84" s="30" t="str">
        <f aca="false">IF(A84="","",IF(ISNUMBER(O84),"Lista"&amp;IF(N(Precios!$Q$10)=0," (impresión en $0)",""),IF(J84=0,"Agregar piezas en Despiece. ",IF(COUNTIFS(Despiece!$A$5:$A$1004,A84,Despiece!$D$5:$D$1004,"&gt;0")&lt;J84,"Metros de "&amp;(J84-COUNTIFS(Despiece!$A$5:$A$1004,A84,Despiece!$D$5:$D$1004,"&gt;0"))&amp;" pieza(s). ",""))&amp;IF(COUNTIFS(Despiece!$A$5:$A$1004,A84,Despiece!$G$5:$G$1004,"falta*")&gt;0,"Precio o peso de 1 m de alguna tela. ","")&amp;IF(M84="","Tipo/precio de confección. ","")))</f>
        <v/>
      </c>
      <c r="Q84" s="28"/>
    </row>
    <row r="85" customFormat="false" ht="15" hidden="false" customHeight="false" outlineLevel="0" collapsed="false">
      <c r="A85" s="28"/>
      <c r="B85" s="28"/>
      <c r="C85" s="28"/>
      <c r="D85" s="28"/>
      <c r="E85" s="28"/>
      <c r="F85" s="10"/>
      <c r="G85" s="28"/>
      <c r="H85" s="10"/>
      <c r="I85" s="28"/>
      <c r="J85" s="8" t="str">
        <f aca="false">IF(A85="","",COUNTIF(Despiece!$A$5:$A$1004,A85))</f>
        <v/>
      </c>
      <c r="K85" s="29"/>
      <c r="L85" s="11" t="str">
        <f aca="false">IF(A85="","",IF(COUNTIFS(Despiece!$A$5:$A$1004,A85,Despiece!$D$5:$D$1004,"&gt;0")&lt;J85,"",IF(COUNTIFS(Despiece!$A$5:$A$1004,A85,Despiece!$G$5:$G$1004,"falta*")&gt;0,"",SUMIFS(Despiece!$G$5:$G$1004,Despiece!$A$5:$A$1004,A85))))</f>
        <v/>
      </c>
      <c r="M85" s="11" t="str">
        <f aca="false">IF(OR(A85="",E85=""),"",IFERROR(INDEX(Precios!$K$5:$K$84,MATCH(E85,Precios!$J$5:$J$84,0)),""))</f>
        <v/>
      </c>
      <c r="N85" s="11" t="str">
        <f aca="false">IF(A85="","",IFERROR(N(G85)*IF(F85="",0,INDEX(Precios!$N$5:$N$64,MATCH(F85,Precios!$M$5:$M$64,0)))+N(I85)*IF(H85="",0,INDEX(Precios!$N$5:$N$64,MATCH(H85,Precios!$M$5:$M$64,0))),""))</f>
        <v/>
      </c>
      <c r="O85" s="12" t="str">
        <f aca="false">IF(A85="","",IFERROR(L85+M85+N85,""))</f>
        <v/>
      </c>
      <c r="P85" s="30" t="str">
        <f aca="false">IF(A85="","",IF(ISNUMBER(O85),"Lista"&amp;IF(N(Precios!$Q$10)=0," (impresión en $0)",""),IF(J85=0,"Agregar piezas en Despiece. ",IF(COUNTIFS(Despiece!$A$5:$A$1004,A85,Despiece!$D$5:$D$1004,"&gt;0")&lt;J85,"Metros de "&amp;(J85-COUNTIFS(Despiece!$A$5:$A$1004,A85,Despiece!$D$5:$D$1004,"&gt;0"))&amp;" pieza(s). ",""))&amp;IF(COUNTIFS(Despiece!$A$5:$A$1004,A85,Despiece!$G$5:$G$1004,"falta*")&gt;0,"Precio o peso de 1 m de alguna tela. ","")&amp;IF(M85="","Tipo/precio de confección. ","")))</f>
        <v/>
      </c>
      <c r="Q85" s="28"/>
    </row>
    <row r="86" customFormat="false" ht="15" hidden="false" customHeight="false" outlineLevel="0" collapsed="false">
      <c r="A86" s="28"/>
      <c r="B86" s="28"/>
      <c r="C86" s="28"/>
      <c r="D86" s="28"/>
      <c r="E86" s="28"/>
      <c r="F86" s="10"/>
      <c r="G86" s="28"/>
      <c r="H86" s="10"/>
      <c r="I86" s="28"/>
      <c r="J86" s="8" t="str">
        <f aca="false">IF(A86="","",COUNTIF(Despiece!$A$5:$A$1004,A86))</f>
        <v/>
      </c>
      <c r="K86" s="29"/>
      <c r="L86" s="11" t="str">
        <f aca="false">IF(A86="","",IF(COUNTIFS(Despiece!$A$5:$A$1004,A86,Despiece!$D$5:$D$1004,"&gt;0")&lt;J86,"",IF(COUNTIFS(Despiece!$A$5:$A$1004,A86,Despiece!$G$5:$G$1004,"falta*")&gt;0,"",SUMIFS(Despiece!$G$5:$G$1004,Despiece!$A$5:$A$1004,A86))))</f>
        <v/>
      </c>
      <c r="M86" s="11" t="str">
        <f aca="false">IF(OR(A86="",E86=""),"",IFERROR(INDEX(Precios!$K$5:$K$84,MATCH(E86,Precios!$J$5:$J$84,0)),""))</f>
        <v/>
      </c>
      <c r="N86" s="11" t="str">
        <f aca="false">IF(A86="","",IFERROR(N(G86)*IF(F86="",0,INDEX(Precios!$N$5:$N$64,MATCH(F86,Precios!$M$5:$M$64,0)))+N(I86)*IF(H86="",0,INDEX(Precios!$N$5:$N$64,MATCH(H86,Precios!$M$5:$M$64,0))),""))</f>
        <v/>
      </c>
      <c r="O86" s="12" t="str">
        <f aca="false">IF(A86="","",IFERROR(L86+M86+N86,""))</f>
        <v/>
      </c>
      <c r="P86" s="30" t="str">
        <f aca="false">IF(A86="","",IF(ISNUMBER(O86),"Lista"&amp;IF(N(Precios!$Q$10)=0," (impresión en $0)",""),IF(J86=0,"Agregar piezas en Despiece. ",IF(COUNTIFS(Despiece!$A$5:$A$1004,A86,Despiece!$D$5:$D$1004,"&gt;0")&lt;J86,"Metros de "&amp;(J86-COUNTIFS(Despiece!$A$5:$A$1004,A86,Despiece!$D$5:$D$1004,"&gt;0"))&amp;" pieza(s). ",""))&amp;IF(COUNTIFS(Despiece!$A$5:$A$1004,A86,Despiece!$G$5:$G$1004,"falta*")&gt;0,"Precio o peso de 1 m de alguna tela. ","")&amp;IF(M86="","Tipo/precio de confección. ","")))</f>
        <v/>
      </c>
      <c r="Q86" s="28"/>
    </row>
    <row r="87" customFormat="false" ht="15" hidden="false" customHeight="false" outlineLevel="0" collapsed="false">
      <c r="A87" s="28"/>
      <c r="B87" s="28"/>
      <c r="C87" s="28"/>
      <c r="D87" s="28"/>
      <c r="E87" s="28"/>
      <c r="F87" s="10"/>
      <c r="G87" s="28"/>
      <c r="H87" s="10"/>
      <c r="I87" s="28"/>
      <c r="J87" s="8" t="str">
        <f aca="false">IF(A87="","",COUNTIF(Despiece!$A$5:$A$1004,A87))</f>
        <v/>
      </c>
      <c r="K87" s="29"/>
      <c r="L87" s="11" t="str">
        <f aca="false">IF(A87="","",IF(COUNTIFS(Despiece!$A$5:$A$1004,A87,Despiece!$D$5:$D$1004,"&gt;0")&lt;J87,"",IF(COUNTIFS(Despiece!$A$5:$A$1004,A87,Despiece!$G$5:$G$1004,"falta*")&gt;0,"",SUMIFS(Despiece!$G$5:$G$1004,Despiece!$A$5:$A$1004,A87))))</f>
        <v/>
      </c>
      <c r="M87" s="11" t="str">
        <f aca="false">IF(OR(A87="",E87=""),"",IFERROR(INDEX(Precios!$K$5:$K$84,MATCH(E87,Precios!$J$5:$J$84,0)),""))</f>
        <v/>
      </c>
      <c r="N87" s="11" t="str">
        <f aca="false">IF(A87="","",IFERROR(N(G87)*IF(F87="",0,INDEX(Precios!$N$5:$N$64,MATCH(F87,Precios!$M$5:$M$64,0)))+N(I87)*IF(H87="",0,INDEX(Precios!$N$5:$N$64,MATCH(H87,Precios!$M$5:$M$64,0))),""))</f>
        <v/>
      </c>
      <c r="O87" s="12" t="str">
        <f aca="false">IF(A87="","",IFERROR(L87+M87+N87,""))</f>
        <v/>
      </c>
      <c r="P87" s="30" t="str">
        <f aca="false">IF(A87="","",IF(ISNUMBER(O87),"Lista"&amp;IF(N(Precios!$Q$10)=0," (impresión en $0)",""),IF(J87=0,"Agregar piezas en Despiece. ",IF(COUNTIFS(Despiece!$A$5:$A$1004,A87,Despiece!$D$5:$D$1004,"&gt;0")&lt;J87,"Metros de "&amp;(J87-COUNTIFS(Despiece!$A$5:$A$1004,A87,Despiece!$D$5:$D$1004,"&gt;0"))&amp;" pieza(s). ",""))&amp;IF(COUNTIFS(Despiece!$A$5:$A$1004,A87,Despiece!$G$5:$G$1004,"falta*")&gt;0,"Precio o peso de 1 m de alguna tela. ","")&amp;IF(M87="","Tipo/precio de confección. ","")))</f>
        <v/>
      </c>
      <c r="Q87" s="28"/>
    </row>
    <row r="88" customFormat="false" ht="15" hidden="false" customHeight="false" outlineLevel="0" collapsed="false">
      <c r="A88" s="28"/>
      <c r="B88" s="28"/>
      <c r="C88" s="28"/>
      <c r="D88" s="28"/>
      <c r="E88" s="28"/>
      <c r="F88" s="10"/>
      <c r="G88" s="28"/>
      <c r="H88" s="10"/>
      <c r="I88" s="28"/>
      <c r="J88" s="8" t="str">
        <f aca="false">IF(A88="","",COUNTIF(Despiece!$A$5:$A$1004,A88))</f>
        <v/>
      </c>
      <c r="K88" s="29"/>
      <c r="L88" s="11" t="str">
        <f aca="false">IF(A88="","",IF(COUNTIFS(Despiece!$A$5:$A$1004,A88,Despiece!$D$5:$D$1004,"&gt;0")&lt;J88,"",IF(COUNTIFS(Despiece!$A$5:$A$1004,A88,Despiece!$G$5:$G$1004,"falta*")&gt;0,"",SUMIFS(Despiece!$G$5:$G$1004,Despiece!$A$5:$A$1004,A88))))</f>
        <v/>
      </c>
      <c r="M88" s="11" t="str">
        <f aca="false">IF(OR(A88="",E88=""),"",IFERROR(INDEX(Precios!$K$5:$K$84,MATCH(E88,Precios!$J$5:$J$84,0)),""))</f>
        <v/>
      </c>
      <c r="N88" s="11" t="str">
        <f aca="false">IF(A88="","",IFERROR(N(G88)*IF(F88="",0,INDEX(Precios!$N$5:$N$64,MATCH(F88,Precios!$M$5:$M$64,0)))+N(I88)*IF(H88="",0,INDEX(Precios!$N$5:$N$64,MATCH(H88,Precios!$M$5:$M$64,0))),""))</f>
        <v/>
      </c>
      <c r="O88" s="12" t="str">
        <f aca="false">IF(A88="","",IFERROR(L88+M88+N88,""))</f>
        <v/>
      </c>
      <c r="P88" s="30" t="str">
        <f aca="false">IF(A88="","",IF(ISNUMBER(O88),"Lista"&amp;IF(N(Precios!$Q$10)=0," (impresión en $0)",""),IF(J88=0,"Agregar piezas en Despiece. ",IF(COUNTIFS(Despiece!$A$5:$A$1004,A88,Despiece!$D$5:$D$1004,"&gt;0")&lt;J88,"Metros de "&amp;(J88-COUNTIFS(Despiece!$A$5:$A$1004,A88,Despiece!$D$5:$D$1004,"&gt;0"))&amp;" pieza(s). ",""))&amp;IF(COUNTIFS(Despiece!$A$5:$A$1004,A88,Despiece!$G$5:$G$1004,"falta*")&gt;0,"Precio o peso de 1 m de alguna tela. ","")&amp;IF(M88="","Tipo/precio de confección. ","")))</f>
        <v/>
      </c>
      <c r="Q88" s="28"/>
    </row>
    <row r="89" customFormat="false" ht="15" hidden="false" customHeight="false" outlineLevel="0" collapsed="false">
      <c r="A89" s="28"/>
      <c r="B89" s="28"/>
      <c r="C89" s="28"/>
      <c r="D89" s="28"/>
      <c r="E89" s="28"/>
      <c r="F89" s="10"/>
      <c r="G89" s="28"/>
      <c r="H89" s="10"/>
      <c r="I89" s="28"/>
      <c r="J89" s="8" t="str">
        <f aca="false">IF(A89="","",COUNTIF(Despiece!$A$5:$A$1004,A89))</f>
        <v/>
      </c>
      <c r="K89" s="29"/>
      <c r="L89" s="11" t="str">
        <f aca="false">IF(A89="","",IF(COUNTIFS(Despiece!$A$5:$A$1004,A89,Despiece!$D$5:$D$1004,"&gt;0")&lt;J89,"",IF(COUNTIFS(Despiece!$A$5:$A$1004,A89,Despiece!$G$5:$G$1004,"falta*")&gt;0,"",SUMIFS(Despiece!$G$5:$G$1004,Despiece!$A$5:$A$1004,A89))))</f>
        <v/>
      </c>
      <c r="M89" s="11" t="str">
        <f aca="false">IF(OR(A89="",E89=""),"",IFERROR(INDEX(Precios!$K$5:$K$84,MATCH(E89,Precios!$J$5:$J$84,0)),""))</f>
        <v/>
      </c>
      <c r="N89" s="11" t="str">
        <f aca="false">IF(A89="","",IFERROR(N(G89)*IF(F89="",0,INDEX(Precios!$N$5:$N$64,MATCH(F89,Precios!$M$5:$M$64,0)))+N(I89)*IF(H89="",0,INDEX(Precios!$N$5:$N$64,MATCH(H89,Precios!$M$5:$M$64,0))),""))</f>
        <v/>
      </c>
      <c r="O89" s="12" t="str">
        <f aca="false">IF(A89="","",IFERROR(L89+M89+N89,""))</f>
        <v/>
      </c>
      <c r="P89" s="30" t="str">
        <f aca="false">IF(A89="","",IF(ISNUMBER(O89),"Lista"&amp;IF(N(Precios!$Q$10)=0," (impresión en $0)",""),IF(J89=0,"Agregar piezas en Despiece. ",IF(COUNTIFS(Despiece!$A$5:$A$1004,A89,Despiece!$D$5:$D$1004,"&gt;0")&lt;J89,"Metros de "&amp;(J89-COUNTIFS(Despiece!$A$5:$A$1004,A89,Despiece!$D$5:$D$1004,"&gt;0"))&amp;" pieza(s). ",""))&amp;IF(COUNTIFS(Despiece!$A$5:$A$1004,A89,Despiece!$G$5:$G$1004,"falta*")&gt;0,"Precio o peso de 1 m de alguna tela. ","")&amp;IF(M89="","Tipo/precio de confección. ","")))</f>
        <v/>
      </c>
      <c r="Q89" s="28"/>
    </row>
    <row r="90" customFormat="false" ht="15" hidden="false" customHeight="false" outlineLevel="0" collapsed="false">
      <c r="A90" s="28"/>
      <c r="B90" s="28"/>
      <c r="C90" s="28"/>
      <c r="D90" s="28"/>
      <c r="E90" s="28"/>
      <c r="F90" s="10"/>
      <c r="G90" s="28"/>
      <c r="H90" s="10"/>
      <c r="I90" s="28"/>
      <c r="J90" s="8" t="str">
        <f aca="false">IF(A90="","",COUNTIF(Despiece!$A$5:$A$1004,A90))</f>
        <v/>
      </c>
      <c r="K90" s="29"/>
      <c r="L90" s="11" t="str">
        <f aca="false">IF(A90="","",IF(COUNTIFS(Despiece!$A$5:$A$1004,A90,Despiece!$D$5:$D$1004,"&gt;0")&lt;J90,"",IF(COUNTIFS(Despiece!$A$5:$A$1004,A90,Despiece!$G$5:$G$1004,"falta*")&gt;0,"",SUMIFS(Despiece!$G$5:$G$1004,Despiece!$A$5:$A$1004,A90))))</f>
        <v/>
      </c>
      <c r="M90" s="11" t="str">
        <f aca="false">IF(OR(A90="",E90=""),"",IFERROR(INDEX(Precios!$K$5:$K$84,MATCH(E90,Precios!$J$5:$J$84,0)),""))</f>
        <v/>
      </c>
      <c r="N90" s="11" t="str">
        <f aca="false">IF(A90="","",IFERROR(N(G90)*IF(F90="",0,INDEX(Precios!$N$5:$N$64,MATCH(F90,Precios!$M$5:$M$64,0)))+N(I90)*IF(H90="",0,INDEX(Precios!$N$5:$N$64,MATCH(H90,Precios!$M$5:$M$64,0))),""))</f>
        <v/>
      </c>
      <c r="O90" s="12" t="str">
        <f aca="false">IF(A90="","",IFERROR(L90+M90+N90,""))</f>
        <v/>
      </c>
      <c r="P90" s="30" t="str">
        <f aca="false">IF(A90="","",IF(ISNUMBER(O90),"Lista"&amp;IF(N(Precios!$Q$10)=0," (impresión en $0)",""),IF(J90=0,"Agregar piezas en Despiece. ",IF(COUNTIFS(Despiece!$A$5:$A$1004,A90,Despiece!$D$5:$D$1004,"&gt;0")&lt;J90,"Metros de "&amp;(J90-COUNTIFS(Despiece!$A$5:$A$1004,A90,Despiece!$D$5:$D$1004,"&gt;0"))&amp;" pieza(s). ",""))&amp;IF(COUNTIFS(Despiece!$A$5:$A$1004,A90,Despiece!$G$5:$G$1004,"falta*")&gt;0,"Precio o peso de 1 m de alguna tela. ","")&amp;IF(M90="","Tipo/precio de confección. ","")))</f>
        <v/>
      </c>
      <c r="Q90" s="28"/>
    </row>
    <row r="91" customFormat="false" ht="15" hidden="false" customHeight="false" outlineLevel="0" collapsed="false">
      <c r="A91" s="28"/>
      <c r="B91" s="28"/>
      <c r="C91" s="28"/>
      <c r="D91" s="28"/>
      <c r="E91" s="28"/>
      <c r="F91" s="10"/>
      <c r="G91" s="28"/>
      <c r="H91" s="10"/>
      <c r="I91" s="28"/>
      <c r="J91" s="8" t="str">
        <f aca="false">IF(A91="","",COUNTIF(Despiece!$A$5:$A$1004,A91))</f>
        <v/>
      </c>
      <c r="K91" s="29"/>
      <c r="L91" s="11" t="str">
        <f aca="false">IF(A91="","",IF(COUNTIFS(Despiece!$A$5:$A$1004,A91,Despiece!$D$5:$D$1004,"&gt;0")&lt;J91,"",IF(COUNTIFS(Despiece!$A$5:$A$1004,A91,Despiece!$G$5:$G$1004,"falta*")&gt;0,"",SUMIFS(Despiece!$G$5:$G$1004,Despiece!$A$5:$A$1004,A91))))</f>
        <v/>
      </c>
      <c r="M91" s="11" t="str">
        <f aca="false">IF(OR(A91="",E91=""),"",IFERROR(INDEX(Precios!$K$5:$K$84,MATCH(E91,Precios!$J$5:$J$84,0)),""))</f>
        <v/>
      </c>
      <c r="N91" s="11" t="str">
        <f aca="false">IF(A91="","",IFERROR(N(G91)*IF(F91="",0,INDEX(Precios!$N$5:$N$64,MATCH(F91,Precios!$M$5:$M$64,0)))+N(I91)*IF(H91="",0,INDEX(Precios!$N$5:$N$64,MATCH(H91,Precios!$M$5:$M$64,0))),""))</f>
        <v/>
      </c>
      <c r="O91" s="12" t="str">
        <f aca="false">IF(A91="","",IFERROR(L91+M91+N91,""))</f>
        <v/>
      </c>
      <c r="P91" s="30" t="str">
        <f aca="false">IF(A91="","",IF(ISNUMBER(O91),"Lista"&amp;IF(N(Precios!$Q$10)=0," (impresión en $0)",""),IF(J91=0,"Agregar piezas en Despiece. ",IF(COUNTIFS(Despiece!$A$5:$A$1004,A91,Despiece!$D$5:$D$1004,"&gt;0")&lt;J91,"Metros de "&amp;(J91-COUNTIFS(Despiece!$A$5:$A$1004,A91,Despiece!$D$5:$D$1004,"&gt;0"))&amp;" pieza(s). ",""))&amp;IF(COUNTIFS(Despiece!$A$5:$A$1004,A91,Despiece!$G$5:$G$1004,"falta*")&gt;0,"Precio o peso de 1 m de alguna tela. ","")&amp;IF(M91="","Tipo/precio de confección. ","")))</f>
        <v/>
      </c>
      <c r="Q91" s="28"/>
    </row>
    <row r="92" customFormat="false" ht="15" hidden="false" customHeight="false" outlineLevel="0" collapsed="false">
      <c r="A92" s="28"/>
      <c r="B92" s="28"/>
      <c r="C92" s="28"/>
      <c r="D92" s="28"/>
      <c r="E92" s="28"/>
      <c r="F92" s="10"/>
      <c r="G92" s="28"/>
      <c r="H92" s="10"/>
      <c r="I92" s="28"/>
      <c r="J92" s="8" t="str">
        <f aca="false">IF(A92="","",COUNTIF(Despiece!$A$5:$A$1004,A92))</f>
        <v/>
      </c>
      <c r="K92" s="29"/>
      <c r="L92" s="11" t="str">
        <f aca="false">IF(A92="","",IF(COUNTIFS(Despiece!$A$5:$A$1004,A92,Despiece!$D$5:$D$1004,"&gt;0")&lt;J92,"",IF(COUNTIFS(Despiece!$A$5:$A$1004,A92,Despiece!$G$5:$G$1004,"falta*")&gt;0,"",SUMIFS(Despiece!$G$5:$G$1004,Despiece!$A$5:$A$1004,A92))))</f>
        <v/>
      </c>
      <c r="M92" s="11" t="str">
        <f aca="false">IF(OR(A92="",E92=""),"",IFERROR(INDEX(Precios!$K$5:$K$84,MATCH(E92,Precios!$J$5:$J$84,0)),""))</f>
        <v/>
      </c>
      <c r="N92" s="11" t="str">
        <f aca="false">IF(A92="","",IFERROR(N(G92)*IF(F92="",0,INDEX(Precios!$N$5:$N$64,MATCH(F92,Precios!$M$5:$M$64,0)))+N(I92)*IF(H92="",0,INDEX(Precios!$N$5:$N$64,MATCH(H92,Precios!$M$5:$M$64,0))),""))</f>
        <v/>
      </c>
      <c r="O92" s="12" t="str">
        <f aca="false">IF(A92="","",IFERROR(L92+M92+N92,""))</f>
        <v/>
      </c>
      <c r="P92" s="30" t="str">
        <f aca="false">IF(A92="","",IF(ISNUMBER(O92),"Lista"&amp;IF(N(Precios!$Q$10)=0," (impresión en $0)",""),IF(J92=0,"Agregar piezas en Despiece. ",IF(COUNTIFS(Despiece!$A$5:$A$1004,A92,Despiece!$D$5:$D$1004,"&gt;0")&lt;J92,"Metros de "&amp;(J92-COUNTIFS(Despiece!$A$5:$A$1004,A92,Despiece!$D$5:$D$1004,"&gt;0"))&amp;" pieza(s). ",""))&amp;IF(COUNTIFS(Despiece!$A$5:$A$1004,A92,Despiece!$G$5:$G$1004,"falta*")&gt;0,"Precio o peso de 1 m de alguna tela. ","")&amp;IF(M92="","Tipo/precio de confección. ","")))</f>
        <v/>
      </c>
      <c r="Q92" s="28"/>
    </row>
    <row r="93" customFormat="false" ht="15" hidden="false" customHeight="false" outlineLevel="0" collapsed="false">
      <c r="A93" s="28"/>
      <c r="B93" s="28"/>
      <c r="C93" s="28"/>
      <c r="D93" s="28"/>
      <c r="E93" s="28"/>
      <c r="F93" s="10"/>
      <c r="G93" s="28"/>
      <c r="H93" s="10"/>
      <c r="I93" s="28"/>
      <c r="J93" s="8" t="str">
        <f aca="false">IF(A93="","",COUNTIF(Despiece!$A$5:$A$1004,A93))</f>
        <v/>
      </c>
      <c r="K93" s="29"/>
      <c r="L93" s="11" t="str">
        <f aca="false">IF(A93="","",IF(COUNTIFS(Despiece!$A$5:$A$1004,A93,Despiece!$D$5:$D$1004,"&gt;0")&lt;J93,"",IF(COUNTIFS(Despiece!$A$5:$A$1004,A93,Despiece!$G$5:$G$1004,"falta*")&gt;0,"",SUMIFS(Despiece!$G$5:$G$1004,Despiece!$A$5:$A$1004,A93))))</f>
        <v/>
      </c>
      <c r="M93" s="11" t="str">
        <f aca="false">IF(OR(A93="",E93=""),"",IFERROR(INDEX(Precios!$K$5:$K$84,MATCH(E93,Precios!$J$5:$J$84,0)),""))</f>
        <v/>
      </c>
      <c r="N93" s="11" t="str">
        <f aca="false">IF(A93="","",IFERROR(N(G93)*IF(F93="",0,INDEX(Precios!$N$5:$N$64,MATCH(F93,Precios!$M$5:$M$64,0)))+N(I93)*IF(H93="",0,INDEX(Precios!$N$5:$N$64,MATCH(H93,Precios!$M$5:$M$64,0))),""))</f>
        <v/>
      </c>
      <c r="O93" s="12" t="str">
        <f aca="false">IF(A93="","",IFERROR(L93+M93+N93,""))</f>
        <v/>
      </c>
      <c r="P93" s="30" t="str">
        <f aca="false">IF(A93="","",IF(ISNUMBER(O93),"Lista"&amp;IF(N(Precios!$Q$10)=0," (impresión en $0)",""),IF(J93=0,"Agregar piezas en Despiece. ",IF(COUNTIFS(Despiece!$A$5:$A$1004,A93,Despiece!$D$5:$D$1004,"&gt;0")&lt;J93,"Metros de "&amp;(J93-COUNTIFS(Despiece!$A$5:$A$1004,A93,Despiece!$D$5:$D$1004,"&gt;0"))&amp;" pieza(s). ",""))&amp;IF(COUNTIFS(Despiece!$A$5:$A$1004,A93,Despiece!$G$5:$G$1004,"falta*")&gt;0,"Precio o peso de 1 m de alguna tela. ","")&amp;IF(M93="","Tipo/precio de confección. ","")))</f>
        <v/>
      </c>
      <c r="Q93" s="28"/>
    </row>
    <row r="94" customFormat="false" ht="15" hidden="false" customHeight="false" outlineLevel="0" collapsed="false">
      <c r="A94" s="28"/>
      <c r="B94" s="28"/>
      <c r="C94" s="28"/>
      <c r="D94" s="28"/>
      <c r="E94" s="28"/>
      <c r="F94" s="10"/>
      <c r="G94" s="28"/>
      <c r="H94" s="10"/>
      <c r="I94" s="28"/>
      <c r="J94" s="8" t="str">
        <f aca="false">IF(A94="","",COUNTIF(Despiece!$A$5:$A$1004,A94))</f>
        <v/>
      </c>
      <c r="K94" s="29"/>
      <c r="L94" s="11" t="str">
        <f aca="false">IF(A94="","",IF(COUNTIFS(Despiece!$A$5:$A$1004,A94,Despiece!$D$5:$D$1004,"&gt;0")&lt;J94,"",IF(COUNTIFS(Despiece!$A$5:$A$1004,A94,Despiece!$G$5:$G$1004,"falta*")&gt;0,"",SUMIFS(Despiece!$G$5:$G$1004,Despiece!$A$5:$A$1004,A94))))</f>
        <v/>
      </c>
      <c r="M94" s="11" t="str">
        <f aca="false">IF(OR(A94="",E94=""),"",IFERROR(INDEX(Precios!$K$5:$K$84,MATCH(E94,Precios!$J$5:$J$84,0)),""))</f>
        <v/>
      </c>
      <c r="N94" s="11" t="str">
        <f aca="false">IF(A94="","",IFERROR(N(G94)*IF(F94="",0,INDEX(Precios!$N$5:$N$64,MATCH(F94,Precios!$M$5:$M$64,0)))+N(I94)*IF(H94="",0,INDEX(Precios!$N$5:$N$64,MATCH(H94,Precios!$M$5:$M$64,0))),""))</f>
        <v/>
      </c>
      <c r="O94" s="12" t="str">
        <f aca="false">IF(A94="","",IFERROR(L94+M94+N94,""))</f>
        <v/>
      </c>
      <c r="P94" s="30" t="str">
        <f aca="false">IF(A94="","",IF(ISNUMBER(O94),"Lista"&amp;IF(N(Precios!$Q$10)=0," (impresión en $0)",""),IF(J94=0,"Agregar piezas en Despiece. ",IF(COUNTIFS(Despiece!$A$5:$A$1004,A94,Despiece!$D$5:$D$1004,"&gt;0")&lt;J94,"Metros de "&amp;(J94-COUNTIFS(Despiece!$A$5:$A$1004,A94,Despiece!$D$5:$D$1004,"&gt;0"))&amp;" pieza(s). ",""))&amp;IF(COUNTIFS(Despiece!$A$5:$A$1004,A94,Despiece!$G$5:$G$1004,"falta*")&gt;0,"Precio o peso de 1 m de alguna tela. ","")&amp;IF(M94="","Tipo/precio de confección. ","")))</f>
        <v/>
      </c>
      <c r="Q94" s="28"/>
    </row>
    <row r="95" customFormat="false" ht="15" hidden="false" customHeight="false" outlineLevel="0" collapsed="false">
      <c r="A95" s="28"/>
      <c r="B95" s="28"/>
      <c r="C95" s="28"/>
      <c r="D95" s="28"/>
      <c r="E95" s="28"/>
      <c r="F95" s="10"/>
      <c r="G95" s="28"/>
      <c r="H95" s="10"/>
      <c r="I95" s="28"/>
      <c r="J95" s="8" t="str">
        <f aca="false">IF(A95="","",COUNTIF(Despiece!$A$5:$A$1004,A95))</f>
        <v/>
      </c>
      <c r="K95" s="29"/>
      <c r="L95" s="11" t="str">
        <f aca="false">IF(A95="","",IF(COUNTIFS(Despiece!$A$5:$A$1004,A95,Despiece!$D$5:$D$1004,"&gt;0")&lt;J95,"",IF(COUNTIFS(Despiece!$A$5:$A$1004,A95,Despiece!$G$5:$G$1004,"falta*")&gt;0,"",SUMIFS(Despiece!$G$5:$G$1004,Despiece!$A$5:$A$1004,A95))))</f>
        <v/>
      </c>
      <c r="M95" s="11" t="str">
        <f aca="false">IF(OR(A95="",E95=""),"",IFERROR(INDEX(Precios!$K$5:$K$84,MATCH(E95,Precios!$J$5:$J$84,0)),""))</f>
        <v/>
      </c>
      <c r="N95" s="11" t="str">
        <f aca="false">IF(A95="","",IFERROR(N(G95)*IF(F95="",0,INDEX(Precios!$N$5:$N$64,MATCH(F95,Precios!$M$5:$M$64,0)))+N(I95)*IF(H95="",0,INDEX(Precios!$N$5:$N$64,MATCH(H95,Precios!$M$5:$M$64,0))),""))</f>
        <v/>
      </c>
      <c r="O95" s="12" t="str">
        <f aca="false">IF(A95="","",IFERROR(L95+M95+N95,""))</f>
        <v/>
      </c>
      <c r="P95" s="30" t="str">
        <f aca="false">IF(A95="","",IF(ISNUMBER(O95),"Lista"&amp;IF(N(Precios!$Q$10)=0," (impresión en $0)",""),IF(J95=0,"Agregar piezas en Despiece. ",IF(COUNTIFS(Despiece!$A$5:$A$1004,A95,Despiece!$D$5:$D$1004,"&gt;0")&lt;J95,"Metros de "&amp;(J95-COUNTIFS(Despiece!$A$5:$A$1004,A95,Despiece!$D$5:$D$1004,"&gt;0"))&amp;" pieza(s). ",""))&amp;IF(COUNTIFS(Despiece!$A$5:$A$1004,A95,Despiece!$G$5:$G$1004,"falta*")&gt;0,"Precio o peso de 1 m de alguna tela. ","")&amp;IF(M95="","Tipo/precio de confección. ","")))</f>
        <v/>
      </c>
      <c r="Q95" s="28"/>
    </row>
    <row r="96" customFormat="false" ht="15" hidden="false" customHeight="false" outlineLevel="0" collapsed="false">
      <c r="A96" s="28"/>
      <c r="B96" s="28"/>
      <c r="C96" s="28"/>
      <c r="D96" s="28"/>
      <c r="E96" s="28"/>
      <c r="F96" s="10"/>
      <c r="G96" s="28"/>
      <c r="H96" s="10"/>
      <c r="I96" s="28"/>
      <c r="J96" s="8" t="str">
        <f aca="false">IF(A96="","",COUNTIF(Despiece!$A$5:$A$1004,A96))</f>
        <v/>
      </c>
      <c r="K96" s="29"/>
      <c r="L96" s="11" t="str">
        <f aca="false">IF(A96="","",IF(COUNTIFS(Despiece!$A$5:$A$1004,A96,Despiece!$D$5:$D$1004,"&gt;0")&lt;J96,"",IF(COUNTIFS(Despiece!$A$5:$A$1004,A96,Despiece!$G$5:$G$1004,"falta*")&gt;0,"",SUMIFS(Despiece!$G$5:$G$1004,Despiece!$A$5:$A$1004,A96))))</f>
        <v/>
      </c>
      <c r="M96" s="11" t="str">
        <f aca="false">IF(OR(A96="",E96=""),"",IFERROR(INDEX(Precios!$K$5:$K$84,MATCH(E96,Precios!$J$5:$J$84,0)),""))</f>
        <v/>
      </c>
      <c r="N96" s="11" t="str">
        <f aca="false">IF(A96="","",IFERROR(N(G96)*IF(F96="",0,INDEX(Precios!$N$5:$N$64,MATCH(F96,Precios!$M$5:$M$64,0)))+N(I96)*IF(H96="",0,INDEX(Precios!$N$5:$N$64,MATCH(H96,Precios!$M$5:$M$64,0))),""))</f>
        <v/>
      </c>
      <c r="O96" s="12" t="str">
        <f aca="false">IF(A96="","",IFERROR(L96+M96+N96,""))</f>
        <v/>
      </c>
      <c r="P96" s="30" t="str">
        <f aca="false">IF(A96="","",IF(ISNUMBER(O96),"Lista"&amp;IF(N(Precios!$Q$10)=0," (impresión en $0)",""),IF(J96=0,"Agregar piezas en Despiece. ",IF(COUNTIFS(Despiece!$A$5:$A$1004,A96,Despiece!$D$5:$D$1004,"&gt;0")&lt;J96,"Metros de "&amp;(J96-COUNTIFS(Despiece!$A$5:$A$1004,A96,Despiece!$D$5:$D$1004,"&gt;0"))&amp;" pieza(s). ",""))&amp;IF(COUNTIFS(Despiece!$A$5:$A$1004,A96,Despiece!$G$5:$G$1004,"falta*")&gt;0,"Precio o peso de 1 m de alguna tela. ","")&amp;IF(M96="","Tipo/precio de confección. ","")))</f>
        <v/>
      </c>
      <c r="Q96" s="28"/>
    </row>
    <row r="97" customFormat="false" ht="15" hidden="false" customHeight="false" outlineLevel="0" collapsed="false">
      <c r="A97" s="28"/>
      <c r="B97" s="28"/>
      <c r="C97" s="28"/>
      <c r="D97" s="28"/>
      <c r="E97" s="28"/>
      <c r="F97" s="10"/>
      <c r="G97" s="28"/>
      <c r="H97" s="10"/>
      <c r="I97" s="28"/>
      <c r="J97" s="8" t="str">
        <f aca="false">IF(A97="","",COUNTIF(Despiece!$A$5:$A$1004,A97))</f>
        <v/>
      </c>
      <c r="K97" s="29"/>
      <c r="L97" s="11" t="str">
        <f aca="false">IF(A97="","",IF(COUNTIFS(Despiece!$A$5:$A$1004,A97,Despiece!$D$5:$D$1004,"&gt;0")&lt;J97,"",IF(COUNTIFS(Despiece!$A$5:$A$1004,A97,Despiece!$G$5:$G$1004,"falta*")&gt;0,"",SUMIFS(Despiece!$G$5:$G$1004,Despiece!$A$5:$A$1004,A97))))</f>
        <v/>
      </c>
      <c r="M97" s="11" t="str">
        <f aca="false">IF(OR(A97="",E97=""),"",IFERROR(INDEX(Precios!$K$5:$K$84,MATCH(E97,Precios!$J$5:$J$84,0)),""))</f>
        <v/>
      </c>
      <c r="N97" s="11" t="str">
        <f aca="false">IF(A97="","",IFERROR(N(G97)*IF(F97="",0,INDEX(Precios!$N$5:$N$64,MATCH(F97,Precios!$M$5:$M$64,0)))+N(I97)*IF(H97="",0,INDEX(Precios!$N$5:$N$64,MATCH(H97,Precios!$M$5:$M$64,0))),""))</f>
        <v/>
      </c>
      <c r="O97" s="12" t="str">
        <f aca="false">IF(A97="","",IFERROR(L97+M97+N97,""))</f>
        <v/>
      </c>
      <c r="P97" s="30" t="str">
        <f aca="false">IF(A97="","",IF(ISNUMBER(O97),"Lista"&amp;IF(N(Precios!$Q$10)=0," (impresión en $0)",""),IF(J97=0,"Agregar piezas en Despiece. ",IF(COUNTIFS(Despiece!$A$5:$A$1004,A97,Despiece!$D$5:$D$1004,"&gt;0")&lt;J97,"Metros de "&amp;(J97-COUNTIFS(Despiece!$A$5:$A$1004,A97,Despiece!$D$5:$D$1004,"&gt;0"))&amp;" pieza(s). ",""))&amp;IF(COUNTIFS(Despiece!$A$5:$A$1004,A97,Despiece!$G$5:$G$1004,"falta*")&gt;0,"Precio o peso de 1 m de alguna tela. ","")&amp;IF(M97="","Tipo/precio de confección. ","")))</f>
        <v/>
      </c>
      <c r="Q97" s="28"/>
    </row>
    <row r="98" customFormat="false" ht="15" hidden="false" customHeight="false" outlineLevel="0" collapsed="false">
      <c r="A98" s="28"/>
      <c r="B98" s="28"/>
      <c r="C98" s="28"/>
      <c r="D98" s="28"/>
      <c r="E98" s="28"/>
      <c r="F98" s="10"/>
      <c r="G98" s="28"/>
      <c r="H98" s="10"/>
      <c r="I98" s="28"/>
      <c r="J98" s="8" t="str">
        <f aca="false">IF(A98="","",COUNTIF(Despiece!$A$5:$A$1004,A98))</f>
        <v/>
      </c>
      <c r="K98" s="29"/>
      <c r="L98" s="11" t="str">
        <f aca="false">IF(A98="","",IF(COUNTIFS(Despiece!$A$5:$A$1004,A98,Despiece!$D$5:$D$1004,"&gt;0")&lt;J98,"",IF(COUNTIFS(Despiece!$A$5:$A$1004,A98,Despiece!$G$5:$G$1004,"falta*")&gt;0,"",SUMIFS(Despiece!$G$5:$G$1004,Despiece!$A$5:$A$1004,A98))))</f>
        <v/>
      </c>
      <c r="M98" s="11" t="str">
        <f aca="false">IF(OR(A98="",E98=""),"",IFERROR(INDEX(Precios!$K$5:$K$84,MATCH(E98,Precios!$J$5:$J$84,0)),""))</f>
        <v/>
      </c>
      <c r="N98" s="11" t="str">
        <f aca="false">IF(A98="","",IFERROR(N(G98)*IF(F98="",0,INDEX(Precios!$N$5:$N$64,MATCH(F98,Precios!$M$5:$M$64,0)))+N(I98)*IF(H98="",0,INDEX(Precios!$N$5:$N$64,MATCH(H98,Precios!$M$5:$M$64,0))),""))</f>
        <v/>
      </c>
      <c r="O98" s="12" t="str">
        <f aca="false">IF(A98="","",IFERROR(L98+M98+N98,""))</f>
        <v/>
      </c>
      <c r="P98" s="30" t="str">
        <f aca="false">IF(A98="","",IF(ISNUMBER(O98),"Lista"&amp;IF(N(Precios!$Q$10)=0," (impresión en $0)",""),IF(J98=0,"Agregar piezas en Despiece. ",IF(COUNTIFS(Despiece!$A$5:$A$1004,A98,Despiece!$D$5:$D$1004,"&gt;0")&lt;J98,"Metros de "&amp;(J98-COUNTIFS(Despiece!$A$5:$A$1004,A98,Despiece!$D$5:$D$1004,"&gt;0"))&amp;" pieza(s). ",""))&amp;IF(COUNTIFS(Despiece!$A$5:$A$1004,A98,Despiece!$G$5:$G$1004,"falta*")&gt;0,"Precio o peso de 1 m de alguna tela. ","")&amp;IF(M98="","Tipo/precio de confección. ","")))</f>
        <v/>
      </c>
      <c r="Q98" s="28"/>
    </row>
    <row r="99" customFormat="false" ht="15" hidden="false" customHeight="false" outlineLevel="0" collapsed="false">
      <c r="A99" s="28"/>
      <c r="B99" s="28"/>
      <c r="C99" s="28"/>
      <c r="D99" s="28"/>
      <c r="E99" s="28"/>
      <c r="F99" s="10"/>
      <c r="G99" s="28"/>
      <c r="H99" s="10"/>
      <c r="I99" s="28"/>
      <c r="J99" s="8" t="str">
        <f aca="false">IF(A99="","",COUNTIF(Despiece!$A$5:$A$1004,A99))</f>
        <v/>
      </c>
      <c r="K99" s="29"/>
      <c r="L99" s="11" t="str">
        <f aca="false">IF(A99="","",IF(COUNTIFS(Despiece!$A$5:$A$1004,A99,Despiece!$D$5:$D$1004,"&gt;0")&lt;J99,"",IF(COUNTIFS(Despiece!$A$5:$A$1004,A99,Despiece!$G$5:$G$1004,"falta*")&gt;0,"",SUMIFS(Despiece!$G$5:$G$1004,Despiece!$A$5:$A$1004,A99))))</f>
        <v/>
      </c>
      <c r="M99" s="11" t="str">
        <f aca="false">IF(OR(A99="",E99=""),"",IFERROR(INDEX(Precios!$K$5:$K$84,MATCH(E99,Precios!$J$5:$J$84,0)),""))</f>
        <v/>
      </c>
      <c r="N99" s="11" t="str">
        <f aca="false">IF(A99="","",IFERROR(N(G99)*IF(F99="",0,INDEX(Precios!$N$5:$N$64,MATCH(F99,Precios!$M$5:$M$64,0)))+N(I99)*IF(H99="",0,INDEX(Precios!$N$5:$N$64,MATCH(H99,Precios!$M$5:$M$64,0))),""))</f>
        <v/>
      </c>
      <c r="O99" s="12" t="str">
        <f aca="false">IF(A99="","",IFERROR(L99+M99+N99,""))</f>
        <v/>
      </c>
      <c r="P99" s="30" t="str">
        <f aca="false">IF(A99="","",IF(ISNUMBER(O99),"Lista"&amp;IF(N(Precios!$Q$10)=0," (impresión en $0)",""),IF(J99=0,"Agregar piezas en Despiece. ",IF(COUNTIFS(Despiece!$A$5:$A$1004,A99,Despiece!$D$5:$D$1004,"&gt;0")&lt;J99,"Metros de "&amp;(J99-COUNTIFS(Despiece!$A$5:$A$1004,A99,Despiece!$D$5:$D$1004,"&gt;0"))&amp;" pieza(s). ",""))&amp;IF(COUNTIFS(Despiece!$A$5:$A$1004,A99,Despiece!$G$5:$G$1004,"falta*")&gt;0,"Precio o peso de 1 m de alguna tela. ","")&amp;IF(M99="","Tipo/precio de confección. ","")))</f>
        <v/>
      </c>
      <c r="Q99" s="28"/>
    </row>
    <row r="100" customFormat="false" ht="15" hidden="false" customHeight="false" outlineLevel="0" collapsed="false">
      <c r="A100" s="28"/>
      <c r="B100" s="28"/>
      <c r="C100" s="28"/>
      <c r="D100" s="28"/>
      <c r="E100" s="28"/>
      <c r="F100" s="10"/>
      <c r="G100" s="28"/>
      <c r="H100" s="10"/>
      <c r="I100" s="28"/>
      <c r="J100" s="8" t="str">
        <f aca="false">IF(A100="","",COUNTIF(Despiece!$A$5:$A$1004,A100))</f>
        <v/>
      </c>
      <c r="K100" s="29"/>
      <c r="L100" s="11" t="str">
        <f aca="false">IF(A100="","",IF(COUNTIFS(Despiece!$A$5:$A$1004,A100,Despiece!$D$5:$D$1004,"&gt;0")&lt;J100,"",IF(COUNTIFS(Despiece!$A$5:$A$1004,A100,Despiece!$G$5:$G$1004,"falta*")&gt;0,"",SUMIFS(Despiece!$G$5:$G$1004,Despiece!$A$5:$A$1004,A100))))</f>
        <v/>
      </c>
      <c r="M100" s="11" t="str">
        <f aca="false">IF(OR(A100="",E100=""),"",IFERROR(INDEX(Precios!$K$5:$K$84,MATCH(E100,Precios!$J$5:$J$84,0)),""))</f>
        <v/>
      </c>
      <c r="N100" s="11" t="str">
        <f aca="false">IF(A100="","",IFERROR(N(G100)*IF(F100="",0,INDEX(Precios!$N$5:$N$64,MATCH(F100,Precios!$M$5:$M$64,0)))+N(I100)*IF(H100="",0,INDEX(Precios!$N$5:$N$64,MATCH(H100,Precios!$M$5:$M$64,0))),""))</f>
        <v/>
      </c>
      <c r="O100" s="12" t="str">
        <f aca="false">IF(A100="","",IFERROR(L100+M100+N100,""))</f>
        <v/>
      </c>
      <c r="P100" s="30" t="str">
        <f aca="false">IF(A100="","",IF(ISNUMBER(O100),"Lista"&amp;IF(N(Precios!$Q$10)=0," (impresión en $0)",""),IF(J100=0,"Agregar piezas en Despiece. ",IF(COUNTIFS(Despiece!$A$5:$A$1004,A100,Despiece!$D$5:$D$1004,"&gt;0")&lt;J100,"Metros de "&amp;(J100-COUNTIFS(Despiece!$A$5:$A$1004,A100,Despiece!$D$5:$D$1004,"&gt;0"))&amp;" pieza(s). ",""))&amp;IF(COUNTIFS(Despiece!$A$5:$A$1004,A100,Despiece!$G$5:$G$1004,"falta*")&gt;0,"Precio o peso de 1 m de alguna tela. ","")&amp;IF(M100="","Tipo/precio de confección. ","")))</f>
        <v/>
      </c>
      <c r="Q100" s="28"/>
    </row>
    <row r="101" customFormat="false" ht="15" hidden="false" customHeight="false" outlineLevel="0" collapsed="false">
      <c r="A101" s="28"/>
      <c r="B101" s="28"/>
      <c r="C101" s="28"/>
      <c r="D101" s="28"/>
      <c r="E101" s="28"/>
      <c r="F101" s="10"/>
      <c r="G101" s="28"/>
      <c r="H101" s="10"/>
      <c r="I101" s="28"/>
      <c r="J101" s="8" t="str">
        <f aca="false">IF(A101="","",COUNTIF(Despiece!$A$5:$A$1004,A101))</f>
        <v/>
      </c>
      <c r="K101" s="29"/>
      <c r="L101" s="11" t="str">
        <f aca="false">IF(A101="","",IF(COUNTIFS(Despiece!$A$5:$A$1004,A101,Despiece!$D$5:$D$1004,"&gt;0")&lt;J101,"",IF(COUNTIFS(Despiece!$A$5:$A$1004,A101,Despiece!$G$5:$G$1004,"falta*")&gt;0,"",SUMIFS(Despiece!$G$5:$G$1004,Despiece!$A$5:$A$1004,A101))))</f>
        <v/>
      </c>
      <c r="M101" s="11" t="str">
        <f aca="false">IF(OR(A101="",E101=""),"",IFERROR(INDEX(Precios!$K$5:$K$84,MATCH(E101,Precios!$J$5:$J$84,0)),""))</f>
        <v/>
      </c>
      <c r="N101" s="11" t="str">
        <f aca="false">IF(A101="","",IFERROR(N(G101)*IF(F101="",0,INDEX(Precios!$N$5:$N$64,MATCH(F101,Precios!$M$5:$M$64,0)))+N(I101)*IF(H101="",0,INDEX(Precios!$N$5:$N$64,MATCH(H101,Precios!$M$5:$M$64,0))),""))</f>
        <v/>
      </c>
      <c r="O101" s="12" t="str">
        <f aca="false">IF(A101="","",IFERROR(L101+M101+N101,""))</f>
        <v/>
      </c>
      <c r="P101" s="30" t="str">
        <f aca="false">IF(A101="","",IF(ISNUMBER(O101),"Lista"&amp;IF(N(Precios!$Q$10)=0," (impresión en $0)",""),IF(J101=0,"Agregar piezas en Despiece. ",IF(COUNTIFS(Despiece!$A$5:$A$1004,A101,Despiece!$D$5:$D$1004,"&gt;0")&lt;J101,"Metros de "&amp;(J101-COUNTIFS(Despiece!$A$5:$A$1004,A101,Despiece!$D$5:$D$1004,"&gt;0"))&amp;" pieza(s). ",""))&amp;IF(COUNTIFS(Despiece!$A$5:$A$1004,A101,Despiece!$G$5:$G$1004,"falta*")&gt;0,"Precio o peso de 1 m de alguna tela. ","")&amp;IF(M101="","Tipo/precio de confección. ","")))</f>
        <v/>
      </c>
      <c r="Q101" s="28"/>
    </row>
    <row r="102" customFormat="false" ht="15" hidden="false" customHeight="false" outlineLevel="0" collapsed="false">
      <c r="A102" s="28"/>
      <c r="B102" s="28"/>
      <c r="C102" s="28"/>
      <c r="D102" s="28"/>
      <c r="E102" s="28"/>
      <c r="F102" s="10"/>
      <c r="G102" s="28"/>
      <c r="H102" s="10"/>
      <c r="I102" s="28"/>
      <c r="J102" s="8" t="str">
        <f aca="false">IF(A102="","",COUNTIF(Despiece!$A$5:$A$1004,A102))</f>
        <v/>
      </c>
      <c r="K102" s="29"/>
      <c r="L102" s="11" t="str">
        <f aca="false">IF(A102="","",IF(COUNTIFS(Despiece!$A$5:$A$1004,A102,Despiece!$D$5:$D$1004,"&gt;0")&lt;J102,"",IF(COUNTIFS(Despiece!$A$5:$A$1004,A102,Despiece!$G$5:$G$1004,"falta*")&gt;0,"",SUMIFS(Despiece!$G$5:$G$1004,Despiece!$A$5:$A$1004,A102))))</f>
        <v/>
      </c>
      <c r="M102" s="11" t="str">
        <f aca="false">IF(OR(A102="",E102=""),"",IFERROR(INDEX(Precios!$K$5:$K$84,MATCH(E102,Precios!$J$5:$J$84,0)),""))</f>
        <v/>
      </c>
      <c r="N102" s="11" t="str">
        <f aca="false">IF(A102="","",IFERROR(N(G102)*IF(F102="",0,INDEX(Precios!$N$5:$N$64,MATCH(F102,Precios!$M$5:$M$64,0)))+N(I102)*IF(H102="",0,INDEX(Precios!$N$5:$N$64,MATCH(H102,Precios!$M$5:$M$64,0))),""))</f>
        <v/>
      </c>
      <c r="O102" s="12" t="str">
        <f aca="false">IF(A102="","",IFERROR(L102+M102+N102,""))</f>
        <v/>
      </c>
      <c r="P102" s="30" t="str">
        <f aca="false">IF(A102="","",IF(ISNUMBER(O102),"Lista"&amp;IF(N(Precios!$Q$10)=0," (impresión en $0)",""),IF(J102=0,"Agregar piezas en Despiece. ",IF(COUNTIFS(Despiece!$A$5:$A$1004,A102,Despiece!$D$5:$D$1004,"&gt;0")&lt;J102,"Metros de "&amp;(J102-COUNTIFS(Despiece!$A$5:$A$1004,A102,Despiece!$D$5:$D$1004,"&gt;0"))&amp;" pieza(s). ",""))&amp;IF(COUNTIFS(Despiece!$A$5:$A$1004,A102,Despiece!$G$5:$G$1004,"falta*")&gt;0,"Precio o peso de 1 m de alguna tela. ","")&amp;IF(M102="","Tipo/precio de confección. ","")))</f>
        <v/>
      </c>
      <c r="Q102" s="28"/>
    </row>
    <row r="103" customFormat="false" ht="15" hidden="false" customHeight="false" outlineLevel="0" collapsed="false">
      <c r="A103" s="28"/>
      <c r="B103" s="28"/>
      <c r="C103" s="28"/>
      <c r="D103" s="28"/>
      <c r="E103" s="28"/>
      <c r="F103" s="10"/>
      <c r="G103" s="28"/>
      <c r="H103" s="10"/>
      <c r="I103" s="28"/>
      <c r="J103" s="8" t="str">
        <f aca="false">IF(A103="","",COUNTIF(Despiece!$A$5:$A$1004,A103))</f>
        <v/>
      </c>
      <c r="K103" s="29"/>
      <c r="L103" s="11" t="str">
        <f aca="false">IF(A103="","",IF(COUNTIFS(Despiece!$A$5:$A$1004,A103,Despiece!$D$5:$D$1004,"&gt;0")&lt;J103,"",IF(COUNTIFS(Despiece!$A$5:$A$1004,A103,Despiece!$G$5:$G$1004,"falta*")&gt;0,"",SUMIFS(Despiece!$G$5:$G$1004,Despiece!$A$5:$A$1004,A103))))</f>
        <v/>
      </c>
      <c r="M103" s="11" t="str">
        <f aca="false">IF(OR(A103="",E103=""),"",IFERROR(INDEX(Precios!$K$5:$K$84,MATCH(E103,Precios!$J$5:$J$84,0)),""))</f>
        <v/>
      </c>
      <c r="N103" s="11" t="str">
        <f aca="false">IF(A103="","",IFERROR(N(G103)*IF(F103="",0,INDEX(Precios!$N$5:$N$64,MATCH(F103,Precios!$M$5:$M$64,0)))+N(I103)*IF(H103="",0,INDEX(Precios!$N$5:$N$64,MATCH(H103,Precios!$M$5:$M$64,0))),""))</f>
        <v/>
      </c>
      <c r="O103" s="12" t="str">
        <f aca="false">IF(A103="","",IFERROR(L103+M103+N103,""))</f>
        <v/>
      </c>
      <c r="P103" s="30" t="str">
        <f aca="false">IF(A103="","",IF(ISNUMBER(O103),"Lista"&amp;IF(N(Precios!$Q$10)=0," (impresión en $0)",""),IF(J103=0,"Agregar piezas en Despiece. ",IF(COUNTIFS(Despiece!$A$5:$A$1004,A103,Despiece!$D$5:$D$1004,"&gt;0")&lt;J103,"Metros de "&amp;(J103-COUNTIFS(Despiece!$A$5:$A$1004,A103,Despiece!$D$5:$D$1004,"&gt;0"))&amp;" pieza(s). ",""))&amp;IF(COUNTIFS(Despiece!$A$5:$A$1004,A103,Despiece!$G$5:$G$1004,"falta*")&gt;0,"Precio o peso de 1 m de alguna tela. ","")&amp;IF(M103="","Tipo/precio de confección. ","")))</f>
        <v/>
      </c>
      <c r="Q103" s="28"/>
    </row>
    <row r="104" customFormat="false" ht="15" hidden="false" customHeight="false" outlineLevel="0" collapsed="false">
      <c r="A104" s="28"/>
      <c r="B104" s="28"/>
      <c r="C104" s="28"/>
      <c r="D104" s="28"/>
      <c r="E104" s="28"/>
      <c r="F104" s="10"/>
      <c r="G104" s="28"/>
      <c r="H104" s="10"/>
      <c r="I104" s="28"/>
      <c r="J104" s="8" t="str">
        <f aca="false">IF(A104="","",COUNTIF(Despiece!$A$5:$A$1004,A104))</f>
        <v/>
      </c>
      <c r="K104" s="29"/>
      <c r="L104" s="11" t="str">
        <f aca="false">IF(A104="","",IF(COUNTIFS(Despiece!$A$5:$A$1004,A104,Despiece!$D$5:$D$1004,"&gt;0")&lt;J104,"",IF(COUNTIFS(Despiece!$A$5:$A$1004,A104,Despiece!$G$5:$G$1004,"falta*")&gt;0,"",SUMIFS(Despiece!$G$5:$G$1004,Despiece!$A$5:$A$1004,A104))))</f>
        <v/>
      </c>
      <c r="M104" s="11" t="str">
        <f aca="false">IF(OR(A104="",E104=""),"",IFERROR(INDEX(Precios!$K$5:$K$84,MATCH(E104,Precios!$J$5:$J$84,0)),""))</f>
        <v/>
      </c>
      <c r="N104" s="11" t="str">
        <f aca="false">IF(A104="","",IFERROR(N(G104)*IF(F104="",0,INDEX(Precios!$N$5:$N$64,MATCH(F104,Precios!$M$5:$M$64,0)))+N(I104)*IF(H104="",0,INDEX(Precios!$N$5:$N$64,MATCH(H104,Precios!$M$5:$M$64,0))),""))</f>
        <v/>
      </c>
      <c r="O104" s="12" t="str">
        <f aca="false">IF(A104="","",IFERROR(L104+M104+N104,""))</f>
        <v/>
      </c>
      <c r="P104" s="30" t="str">
        <f aca="false">IF(A104="","",IF(ISNUMBER(O104),"Lista"&amp;IF(N(Precios!$Q$10)=0," (impresión en $0)",""),IF(J104=0,"Agregar piezas en Despiece. ",IF(COUNTIFS(Despiece!$A$5:$A$1004,A104,Despiece!$D$5:$D$1004,"&gt;0")&lt;J104,"Metros de "&amp;(J104-COUNTIFS(Despiece!$A$5:$A$1004,A104,Despiece!$D$5:$D$1004,"&gt;0"))&amp;" pieza(s). ",""))&amp;IF(COUNTIFS(Despiece!$A$5:$A$1004,A104,Despiece!$G$5:$G$1004,"falta*")&gt;0,"Precio o peso de 1 m de alguna tela. ","")&amp;IF(M104="","Tipo/precio de confección. ","")))</f>
        <v/>
      </c>
      <c r="Q104" s="28"/>
    </row>
    <row r="105" customFormat="false" ht="15" hidden="false" customHeight="false" outlineLevel="0" collapsed="false">
      <c r="A105" s="28"/>
      <c r="B105" s="28"/>
      <c r="C105" s="28"/>
      <c r="D105" s="28"/>
      <c r="E105" s="28"/>
      <c r="F105" s="10"/>
      <c r="G105" s="28"/>
      <c r="H105" s="10"/>
      <c r="I105" s="28"/>
      <c r="J105" s="8" t="str">
        <f aca="false">IF(A105="","",COUNTIF(Despiece!$A$5:$A$1004,A105))</f>
        <v/>
      </c>
      <c r="K105" s="29"/>
      <c r="L105" s="11" t="str">
        <f aca="false">IF(A105="","",IF(COUNTIFS(Despiece!$A$5:$A$1004,A105,Despiece!$D$5:$D$1004,"&gt;0")&lt;J105,"",IF(COUNTIFS(Despiece!$A$5:$A$1004,A105,Despiece!$G$5:$G$1004,"falta*")&gt;0,"",SUMIFS(Despiece!$G$5:$G$1004,Despiece!$A$5:$A$1004,A105))))</f>
        <v/>
      </c>
      <c r="M105" s="11" t="str">
        <f aca="false">IF(OR(A105="",E105=""),"",IFERROR(INDEX(Precios!$K$5:$K$84,MATCH(E105,Precios!$J$5:$J$84,0)),""))</f>
        <v/>
      </c>
      <c r="N105" s="11" t="str">
        <f aca="false">IF(A105="","",IFERROR(N(G105)*IF(F105="",0,INDEX(Precios!$N$5:$N$64,MATCH(F105,Precios!$M$5:$M$64,0)))+N(I105)*IF(H105="",0,INDEX(Precios!$N$5:$N$64,MATCH(H105,Precios!$M$5:$M$64,0))),""))</f>
        <v/>
      </c>
      <c r="O105" s="12" t="str">
        <f aca="false">IF(A105="","",IFERROR(L105+M105+N105,""))</f>
        <v/>
      </c>
      <c r="P105" s="30" t="str">
        <f aca="false">IF(A105="","",IF(ISNUMBER(O105),"Lista"&amp;IF(N(Precios!$Q$10)=0," (impresión en $0)",""),IF(J105=0,"Agregar piezas en Despiece. ",IF(COUNTIFS(Despiece!$A$5:$A$1004,A105,Despiece!$D$5:$D$1004,"&gt;0")&lt;J105,"Metros de "&amp;(J105-COUNTIFS(Despiece!$A$5:$A$1004,A105,Despiece!$D$5:$D$1004,"&gt;0"))&amp;" pieza(s). ",""))&amp;IF(COUNTIFS(Despiece!$A$5:$A$1004,A105,Despiece!$G$5:$G$1004,"falta*")&gt;0,"Precio o peso de 1 m de alguna tela. ","")&amp;IF(M105="","Tipo/precio de confección. ","")))</f>
        <v/>
      </c>
      <c r="Q105" s="28"/>
    </row>
    <row r="106" customFormat="false" ht="15" hidden="false" customHeight="false" outlineLevel="0" collapsed="false">
      <c r="A106" s="28"/>
      <c r="B106" s="28"/>
      <c r="C106" s="28"/>
      <c r="D106" s="28"/>
      <c r="E106" s="28"/>
      <c r="F106" s="10"/>
      <c r="G106" s="28"/>
      <c r="H106" s="10"/>
      <c r="I106" s="28"/>
      <c r="J106" s="8" t="str">
        <f aca="false">IF(A106="","",COUNTIF(Despiece!$A$5:$A$1004,A106))</f>
        <v/>
      </c>
      <c r="K106" s="29"/>
      <c r="L106" s="11" t="str">
        <f aca="false">IF(A106="","",IF(COUNTIFS(Despiece!$A$5:$A$1004,A106,Despiece!$D$5:$D$1004,"&gt;0")&lt;J106,"",IF(COUNTIFS(Despiece!$A$5:$A$1004,A106,Despiece!$G$5:$G$1004,"falta*")&gt;0,"",SUMIFS(Despiece!$G$5:$G$1004,Despiece!$A$5:$A$1004,A106))))</f>
        <v/>
      </c>
      <c r="M106" s="11" t="str">
        <f aca="false">IF(OR(A106="",E106=""),"",IFERROR(INDEX(Precios!$K$5:$K$84,MATCH(E106,Precios!$J$5:$J$84,0)),""))</f>
        <v/>
      </c>
      <c r="N106" s="11" t="str">
        <f aca="false">IF(A106="","",IFERROR(N(G106)*IF(F106="",0,INDEX(Precios!$N$5:$N$64,MATCH(F106,Precios!$M$5:$M$64,0)))+N(I106)*IF(H106="",0,INDEX(Precios!$N$5:$N$64,MATCH(H106,Precios!$M$5:$M$64,0))),""))</f>
        <v/>
      </c>
      <c r="O106" s="12" t="str">
        <f aca="false">IF(A106="","",IFERROR(L106+M106+N106,""))</f>
        <v/>
      </c>
      <c r="P106" s="30" t="str">
        <f aca="false">IF(A106="","",IF(ISNUMBER(O106),"Lista"&amp;IF(N(Precios!$Q$10)=0," (impresión en $0)",""),IF(J106=0,"Agregar piezas en Despiece. ",IF(COUNTIFS(Despiece!$A$5:$A$1004,A106,Despiece!$D$5:$D$1004,"&gt;0")&lt;J106,"Metros de "&amp;(J106-COUNTIFS(Despiece!$A$5:$A$1004,A106,Despiece!$D$5:$D$1004,"&gt;0"))&amp;" pieza(s). ",""))&amp;IF(COUNTIFS(Despiece!$A$5:$A$1004,A106,Despiece!$G$5:$G$1004,"falta*")&gt;0,"Precio o peso de 1 m de alguna tela. ","")&amp;IF(M106="","Tipo/precio de confección. ","")))</f>
        <v/>
      </c>
      <c r="Q106" s="28"/>
    </row>
    <row r="107" customFormat="false" ht="15" hidden="false" customHeight="false" outlineLevel="0" collapsed="false">
      <c r="A107" s="28"/>
      <c r="B107" s="28"/>
      <c r="C107" s="28"/>
      <c r="D107" s="28"/>
      <c r="E107" s="28"/>
      <c r="F107" s="10"/>
      <c r="G107" s="28"/>
      <c r="H107" s="10"/>
      <c r="I107" s="28"/>
      <c r="J107" s="8" t="str">
        <f aca="false">IF(A107="","",COUNTIF(Despiece!$A$5:$A$1004,A107))</f>
        <v/>
      </c>
      <c r="K107" s="29"/>
      <c r="L107" s="11" t="str">
        <f aca="false">IF(A107="","",IF(COUNTIFS(Despiece!$A$5:$A$1004,A107,Despiece!$D$5:$D$1004,"&gt;0")&lt;J107,"",IF(COUNTIFS(Despiece!$A$5:$A$1004,A107,Despiece!$G$5:$G$1004,"falta*")&gt;0,"",SUMIFS(Despiece!$G$5:$G$1004,Despiece!$A$5:$A$1004,A107))))</f>
        <v/>
      </c>
      <c r="M107" s="11" t="str">
        <f aca="false">IF(OR(A107="",E107=""),"",IFERROR(INDEX(Precios!$K$5:$K$84,MATCH(E107,Precios!$J$5:$J$84,0)),""))</f>
        <v/>
      </c>
      <c r="N107" s="11" t="str">
        <f aca="false">IF(A107="","",IFERROR(N(G107)*IF(F107="",0,INDEX(Precios!$N$5:$N$64,MATCH(F107,Precios!$M$5:$M$64,0)))+N(I107)*IF(H107="",0,INDEX(Precios!$N$5:$N$64,MATCH(H107,Precios!$M$5:$M$64,0))),""))</f>
        <v/>
      </c>
      <c r="O107" s="12" t="str">
        <f aca="false">IF(A107="","",IFERROR(L107+M107+N107,""))</f>
        <v/>
      </c>
      <c r="P107" s="30" t="str">
        <f aca="false">IF(A107="","",IF(ISNUMBER(O107),"Lista"&amp;IF(N(Precios!$Q$10)=0," (impresión en $0)",""),IF(J107=0,"Agregar piezas en Despiece. ",IF(COUNTIFS(Despiece!$A$5:$A$1004,A107,Despiece!$D$5:$D$1004,"&gt;0")&lt;J107,"Metros de "&amp;(J107-COUNTIFS(Despiece!$A$5:$A$1004,A107,Despiece!$D$5:$D$1004,"&gt;0"))&amp;" pieza(s). ",""))&amp;IF(COUNTIFS(Despiece!$A$5:$A$1004,A107,Despiece!$G$5:$G$1004,"falta*")&gt;0,"Precio o peso de 1 m de alguna tela. ","")&amp;IF(M107="","Tipo/precio de confección. ","")))</f>
        <v/>
      </c>
      <c r="Q107" s="28"/>
    </row>
    <row r="108" customFormat="false" ht="15" hidden="false" customHeight="false" outlineLevel="0" collapsed="false">
      <c r="A108" s="28"/>
      <c r="B108" s="28"/>
      <c r="C108" s="28"/>
      <c r="D108" s="28"/>
      <c r="E108" s="28"/>
      <c r="F108" s="10"/>
      <c r="G108" s="28"/>
      <c r="H108" s="10"/>
      <c r="I108" s="28"/>
      <c r="J108" s="8" t="str">
        <f aca="false">IF(A108="","",COUNTIF(Despiece!$A$5:$A$1004,A108))</f>
        <v/>
      </c>
      <c r="K108" s="29"/>
      <c r="L108" s="11" t="str">
        <f aca="false">IF(A108="","",IF(COUNTIFS(Despiece!$A$5:$A$1004,A108,Despiece!$D$5:$D$1004,"&gt;0")&lt;J108,"",IF(COUNTIFS(Despiece!$A$5:$A$1004,A108,Despiece!$G$5:$G$1004,"falta*")&gt;0,"",SUMIFS(Despiece!$G$5:$G$1004,Despiece!$A$5:$A$1004,A108))))</f>
        <v/>
      </c>
      <c r="M108" s="11" t="str">
        <f aca="false">IF(OR(A108="",E108=""),"",IFERROR(INDEX(Precios!$K$5:$K$84,MATCH(E108,Precios!$J$5:$J$84,0)),""))</f>
        <v/>
      </c>
      <c r="N108" s="11" t="str">
        <f aca="false">IF(A108="","",IFERROR(N(G108)*IF(F108="",0,INDEX(Precios!$N$5:$N$64,MATCH(F108,Precios!$M$5:$M$64,0)))+N(I108)*IF(H108="",0,INDEX(Precios!$N$5:$N$64,MATCH(H108,Precios!$M$5:$M$64,0))),""))</f>
        <v/>
      </c>
      <c r="O108" s="12" t="str">
        <f aca="false">IF(A108="","",IFERROR(L108+M108+N108,""))</f>
        <v/>
      </c>
      <c r="P108" s="30" t="str">
        <f aca="false">IF(A108="","",IF(ISNUMBER(O108),"Lista"&amp;IF(N(Precios!$Q$10)=0," (impresión en $0)",""),IF(J108=0,"Agregar piezas en Despiece. ",IF(COUNTIFS(Despiece!$A$5:$A$1004,A108,Despiece!$D$5:$D$1004,"&gt;0")&lt;J108,"Metros de "&amp;(J108-COUNTIFS(Despiece!$A$5:$A$1004,A108,Despiece!$D$5:$D$1004,"&gt;0"))&amp;" pieza(s). ",""))&amp;IF(COUNTIFS(Despiece!$A$5:$A$1004,A108,Despiece!$G$5:$G$1004,"falta*")&gt;0,"Precio o peso de 1 m de alguna tela. ","")&amp;IF(M108="","Tipo/precio de confección. ","")))</f>
        <v/>
      </c>
      <c r="Q108" s="28"/>
    </row>
    <row r="109" customFormat="false" ht="15" hidden="false" customHeight="false" outlineLevel="0" collapsed="false">
      <c r="A109" s="28"/>
      <c r="B109" s="28"/>
      <c r="C109" s="28"/>
      <c r="D109" s="28"/>
      <c r="E109" s="28"/>
      <c r="F109" s="10"/>
      <c r="G109" s="28"/>
      <c r="H109" s="10"/>
      <c r="I109" s="28"/>
      <c r="J109" s="8" t="str">
        <f aca="false">IF(A109="","",COUNTIF(Despiece!$A$5:$A$1004,A109))</f>
        <v/>
      </c>
      <c r="K109" s="29"/>
      <c r="L109" s="11" t="str">
        <f aca="false">IF(A109="","",IF(COUNTIFS(Despiece!$A$5:$A$1004,A109,Despiece!$D$5:$D$1004,"&gt;0")&lt;J109,"",IF(COUNTIFS(Despiece!$A$5:$A$1004,A109,Despiece!$G$5:$G$1004,"falta*")&gt;0,"",SUMIFS(Despiece!$G$5:$G$1004,Despiece!$A$5:$A$1004,A109))))</f>
        <v/>
      </c>
      <c r="M109" s="11" t="str">
        <f aca="false">IF(OR(A109="",E109=""),"",IFERROR(INDEX(Precios!$K$5:$K$84,MATCH(E109,Precios!$J$5:$J$84,0)),""))</f>
        <v/>
      </c>
      <c r="N109" s="11" t="str">
        <f aca="false">IF(A109="","",IFERROR(N(G109)*IF(F109="",0,INDEX(Precios!$N$5:$N$64,MATCH(F109,Precios!$M$5:$M$64,0)))+N(I109)*IF(H109="",0,INDEX(Precios!$N$5:$N$64,MATCH(H109,Precios!$M$5:$M$64,0))),""))</f>
        <v/>
      </c>
      <c r="O109" s="12" t="str">
        <f aca="false">IF(A109="","",IFERROR(L109+M109+N109,""))</f>
        <v/>
      </c>
      <c r="P109" s="30" t="str">
        <f aca="false">IF(A109="","",IF(ISNUMBER(O109),"Lista"&amp;IF(N(Precios!$Q$10)=0," (impresión en $0)",""),IF(J109=0,"Agregar piezas en Despiece. ",IF(COUNTIFS(Despiece!$A$5:$A$1004,A109,Despiece!$D$5:$D$1004,"&gt;0")&lt;J109,"Metros de "&amp;(J109-COUNTIFS(Despiece!$A$5:$A$1004,A109,Despiece!$D$5:$D$1004,"&gt;0"))&amp;" pieza(s). ",""))&amp;IF(COUNTIFS(Despiece!$A$5:$A$1004,A109,Despiece!$G$5:$G$1004,"falta*")&gt;0,"Precio o peso de 1 m de alguna tela. ","")&amp;IF(M109="","Tipo/precio de confección. ","")))</f>
        <v/>
      </c>
      <c r="Q109" s="28"/>
    </row>
    <row r="110" customFormat="false" ht="15" hidden="false" customHeight="false" outlineLevel="0" collapsed="false">
      <c r="A110" s="28"/>
      <c r="B110" s="28"/>
      <c r="C110" s="28"/>
      <c r="D110" s="28"/>
      <c r="E110" s="28"/>
      <c r="F110" s="10"/>
      <c r="G110" s="28"/>
      <c r="H110" s="10"/>
      <c r="I110" s="28"/>
      <c r="J110" s="8" t="str">
        <f aca="false">IF(A110="","",COUNTIF(Despiece!$A$5:$A$1004,A110))</f>
        <v/>
      </c>
      <c r="K110" s="29"/>
      <c r="L110" s="11" t="str">
        <f aca="false">IF(A110="","",IF(COUNTIFS(Despiece!$A$5:$A$1004,A110,Despiece!$D$5:$D$1004,"&gt;0")&lt;J110,"",IF(COUNTIFS(Despiece!$A$5:$A$1004,A110,Despiece!$G$5:$G$1004,"falta*")&gt;0,"",SUMIFS(Despiece!$G$5:$G$1004,Despiece!$A$5:$A$1004,A110))))</f>
        <v/>
      </c>
      <c r="M110" s="11" t="str">
        <f aca="false">IF(OR(A110="",E110=""),"",IFERROR(INDEX(Precios!$K$5:$K$84,MATCH(E110,Precios!$J$5:$J$84,0)),""))</f>
        <v/>
      </c>
      <c r="N110" s="11" t="str">
        <f aca="false">IF(A110="","",IFERROR(N(G110)*IF(F110="",0,INDEX(Precios!$N$5:$N$64,MATCH(F110,Precios!$M$5:$M$64,0)))+N(I110)*IF(H110="",0,INDEX(Precios!$N$5:$N$64,MATCH(H110,Precios!$M$5:$M$64,0))),""))</f>
        <v/>
      </c>
      <c r="O110" s="12" t="str">
        <f aca="false">IF(A110="","",IFERROR(L110+M110+N110,""))</f>
        <v/>
      </c>
      <c r="P110" s="30" t="str">
        <f aca="false">IF(A110="","",IF(ISNUMBER(O110),"Lista"&amp;IF(N(Precios!$Q$10)=0," (impresión en $0)",""),IF(J110=0,"Agregar piezas en Despiece. ",IF(COUNTIFS(Despiece!$A$5:$A$1004,A110,Despiece!$D$5:$D$1004,"&gt;0")&lt;J110,"Metros de "&amp;(J110-COUNTIFS(Despiece!$A$5:$A$1004,A110,Despiece!$D$5:$D$1004,"&gt;0"))&amp;" pieza(s). ",""))&amp;IF(COUNTIFS(Despiece!$A$5:$A$1004,A110,Despiece!$G$5:$G$1004,"falta*")&gt;0,"Precio o peso de 1 m de alguna tela. ","")&amp;IF(M110="","Tipo/precio de confección. ","")))</f>
        <v/>
      </c>
      <c r="Q110" s="28"/>
    </row>
    <row r="111" customFormat="false" ht="15" hidden="false" customHeight="false" outlineLevel="0" collapsed="false">
      <c r="A111" s="28"/>
      <c r="B111" s="28"/>
      <c r="C111" s="28"/>
      <c r="D111" s="28"/>
      <c r="E111" s="28"/>
      <c r="F111" s="10"/>
      <c r="G111" s="28"/>
      <c r="H111" s="10"/>
      <c r="I111" s="28"/>
      <c r="J111" s="8" t="str">
        <f aca="false">IF(A111="","",COUNTIF(Despiece!$A$5:$A$1004,A111))</f>
        <v/>
      </c>
      <c r="K111" s="29"/>
      <c r="L111" s="11" t="str">
        <f aca="false">IF(A111="","",IF(COUNTIFS(Despiece!$A$5:$A$1004,A111,Despiece!$D$5:$D$1004,"&gt;0")&lt;J111,"",IF(COUNTIFS(Despiece!$A$5:$A$1004,A111,Despiece!$G$5:$G$1004,"falta*")&gt;0,"",SUMIFS(Despiece!$G$5:$G$1004,Despiece!$A$5:$A$1004,A111))))</f>
        <v/>
      </c>
      <c r="M111" s="11" t="str">
        <f aca="false">IF(OR(A111="",E111=""),"",IFERROR(INDEX(Precios!$K$5:$K$84,MATCH(E111,Precios!$J$5:$J$84,0)),""))</f>
        <v/>
      </c>
      <c r="N111" s="11" t="str">
        <f aca="false">IF(A111="","",IFERROR(N(G111)*IF(F111="",0,INDEX(Precios!$N$5:$N$64,MATCH(F111,Precios!$M$5:$M$64,0)))+N(I111)*IF(H111="",0,INDEX(Precios!$N$5:$N$64,MATCH(H111,Precios!$M$5:$M$64,0))),""))</f>
        <v/>
      </c>
      <c r="O111" s="12" t="str">
        <f aca="false">IF(A111="","",IFERROR(L111+M111+N111,""))</f>
        <v/>
      </c>
      <c r="P111" s="30" t="str">
        <f aca="false">IF(A111="","",IF(ISNUMBER(O111),"Lista"&amp;IF(N(Precios!$Q$10)=0," (impresión en $0)",""),IF(J111=0,"Agregar piezas en Despiece. ",IF(COUNTIFS(Despiece!$A$5:$A$1004,A111,Despiece!$D$5:$D$1004,"&gt;0")&lt;J111,"Metros de "&amp;(J111-COUNTIFS(Despiece!$A$5:$A$1004,A111,Despiece!$D$5:$D$1004,"&gt;0"))&amp;" pieza(s). ",""))&amp;IF(COUNTIFS(Despiece!$A$5:$A$1004,A111,Despiece!$G$5:$G$1004,"falta*")&gt;0,"Precio o peso de 1 m de alguna tela. ","")&amp;IF(M111="","Tipo/precio de confección. ","")))</f>
        <v/>
      </c>
      <c r="Q111" s="28"/>
    </row>
    <row r="112" customFormat="false" ht="15" hidden="false" customHeight="false" outlineLevel="0" collapsed="false">
      <c r="A112" s="28"/>
      <c r="B112" s="28"/>
      <c r="C112" s="28"/>
      <c r="D112" s="28"/>
      <c r="E112" s="28"/>
      <c r="F112" s="10"/>
      <c r="G112" s="28"/>
      <c r="H112" s="10"/>
      <c r="I112" s="28"/>
      <c r="J112" s="8" t="str">
        <f aca="false">IF(A112="","",COUNTIF(Despiece!$A$5:$A$1004,A112))</f>
        <v/>
      </c>
      <c r="K112" s="29"/>
      <c r="L112" s="11" t="str">
        <f aca="false">IF(A112="","",IF(COUNTIFS(Despiece!$A$5:$A$1004,A112,Despiece!$D$5:$D$1004,"&gt;0")&lt;J112,"",IF(COUNTIFS(Despiece!$A$5:$A$1004,A112,Despiece!$G$5:$G$1004,"falta*")&gt;0,"",SUMIFS(Despiece!$G$5:$G$1004,Despiece!$A$5:$A$1004,A112))))</f>
        <v/>
      </c>
      <c r="M112" s="11" t="str">
        <f aca="false">IF(OR(A112="",E112=""),"",IFERROR(INDEX(Precios!$K$5:$K$84,MATCH(E112,Precios!$J$5:$J$84,0)),""))</f>
        <v/>
      </c>
      <c r="N112" s="11" t="str">
        <f aca="false">IF(A112="","",IFERROR(N(G112)*IF(F112="",0,INDEX(Precios!$N$5:$N$64,MATCH(F112,Precios!$M$5:$M$64,0)))+N(I112)*IF(H112="",0,INDEX(Precios!$N$5:$N$64,MATCH(H112,Precios!$M$5:$M$64,0))),""))</f>
        <v/>
      </c>
      <c r="O112" s="12" t="str">
        <f aca="false">IF(A112="","",IFERROR(L112+M112+N112,""))</f>
        <v/>
      </c>
      <c r="P112" s="30" t="str">
        <f aca="false">IF(A112="","",IF(ISNUMBER(O112),"Lista"&amp;IF(N(Precios!$Q$10)=0," (impresión en $0)",""),IF(J112=0,"Agregar piezas en Despiece. ",IF(COUNTIFS(Despiece!$A$5:$A$1004,A112,Despiece!$D$5:$D$1004,"&gt;0")&lt;J112,"Metros de "&amp;(J112-COUNTIFS(Despiece!$A$5:$A$1004,A112,Despiece!$D$5:$D$1004,"&gt;0"))&amp;" pieza(s). ",""))&amp;IF(COUNTIFS(Despiece!$A$5:$A$1004,A112,Despiece!$G$5:$G$1004,"falta*")&gt;0,"Precio o peso de 1 m de alguna tela. ","")&amp;IF(M112="","Tipo/precio de confección. ","")))</f>
        <v/>
      </c>
      <c r="Q112" s="28"/>
    </row>
    <row r="113" customFormat="false" ht="15" hidden="false" customHeight="false" outlineLevel="0" collapsed="false">
      <c r="A113" s="28"/>
      <c r="B113" s="28"/>
      <c r="C113" s="28"/>
      <c r="D113" s="28"/>
      <c r="E113" s="28"/>
      <c r="F113" s="10"/>
      <c r="G113" s="28"/>
      <c r="H113" s="10"/>
      <c r="I113" s="28"/>
      <c r="J113" s="8" t="str">
        <f aca="false">IF(A113="","",COUNTIF(Despiece!$A$5:$A$1004,A113))</f>
        <v/>
      </c>
      <c r="K113" s="29"/>
      <c r="L113" s="11" t="str">
        <f aca="false">IF(A113="","",IF(COUNTIFS(Despiece!$A$5:$A$1004,A113,Despiece!$D$5:$D$1004,"&gt;0")&lt;J113,"",IF(COUNTIFS(Despiece!$A$5:$A$1004,A113,Despiece!$G$5:$G$1004,"falta*")&gt;0,"",SUMIFS(Despiece!$G$5:$G$1004,Despiece!$A$5:$A$1004,A113))))</f>
        <v/>
      </c>
      <c r="M113" s="11" t="str">
        <f aca="false">IF(OR(A113="",E113=""),"",IFERROR(INDEX(Precios!$K$5:$K$84,MATCH(E113,Precios!$J$5:$J$84,0)),""))</f>
        <v/>
      </c>
      <c r="N113" s="11" t="str">
        <f aca="false">IF(A113="","",IFERROR(N(G113)*IF(F113="",0,INDEX(Precios!$N$5:$N$64,MATCH(F113,Precios!$M$5:$M$64,0)))+N(I113)*IF(H113="",0,INDEX(Precios!$N$5:$N$64,MATCH(H113,Precios!$M$5:$M$64,0))),""))</f>
        <v/>
      </c>
      <c r="O113" s="12" t="str">
        <f aca="false">IF(A113="","",IFERROR(L113+M113+N113,""))</f>
        <v/>
      </c>
      <c r="P113" s="30" t="str">
        <f aca="false">IF(A113="","",IF(ISNUMBER(O113),"Lista"&amp;IF(N(Precios!$Q$10)=0," (impresión en $0)",""),IF(J113=0,"Agregar piezas en Despiece. ",IF(COUNTIFS(Despiece!$A$5:$A$1004,A113,Despiece!$D$5:$D$1004,"&gt;0")&lt;J113,"Metros de "&amp;(J113-COUNTIFS(Despiece!$A$5:$A$1004,A113,Despiece!$D$5:$D$1004,"&gt;0"))&amp;" pieza(s). ",""))&amp;IF(COUNTIFS(Despiece!$A$5:$A$1004,A113,Despiece!$G$5:$G$1004,"falta*")&gt;0,"Precio o peso de 1 m de alguna tela. ","")&amp;IF(M113="","Tipo/precio de confección. ","")))</f>
        <v/>
      </c>
      <c r="Q113" s="28"/>
    </row>
    <row r="114" customFormat="false" ht="15" hidden="false" customHeight="false" outlineLevel="0" collapsed="false">
      <c r="A114" s="28"/>
      <c r="B114" s="28"/>
      <c r="C114" s="28"/>
      <c r="D114" s="28"/>
      <c r="E114" s="28"/>
      <c r="F114" s="10"/>
      <c r="G114" s="28"/>
      <c r="H114" s="10"/>
      <c r="I114" s="28"/>
      <c r="J114" s="8" t="str">
        <f aca="false">IF(A114="","",COUNTIF(Despiece!$A$5:$A$1004,A114))</f>
        <v/>
      </c>
      <c r="K114" s="29"/>
      <c r="L114" s="11" t="str">
        <f aca="false">IF(A114="","",IF(COUNTIFS(Despiece!$A$5:$A$1004,A114,Despiece!$D$5:$D$1004,"&gt;0")&lt;J114,"",IF(COUNTIFS(Despiece!$A$5:$A$1004,A114,Despiece!$G$5:$G$1004,"falta*")&gt;0,"",SUMIFS(Despiece!$G$5:$G$1004,Despiece!$A$5:$A$1004,A114))))</f>
        <v/>
      </c>
      <c r="M114" s="11" t="str">
        <f aca="false">IF(OR(A114="",E114=""),"",IFERROR(INDEX(Precios!$K$5:$K$84,MATCH(E114,Precios!$J$5:$J$84,0)),""))</f>
        <v/>
      </c>
      <c r="N114" s="11" t="str">
        <f aca="false">IF(A114="","",IFERROR(N(G114)*IF(F114="",0,INDEX(Precios!$N$5:$N$64,MATCH(F114,Precios!$M$5:$M$64,0)))+N(I114)*IF(H114="",0,INDEX(Precios!$N$5:$N$64,MATCH(H114,Precios!$M$5:$M$64,0))),""))</f>
        <v/>
      </c>
      <c r="O114" s="12" t="str">
        <f aca="false">IF(A114="","",IFERROR(L114+M114+N114,""))</f>
        <v/>
      </c>
      <c r="P114" s="30" t="str">
        <f aca="false">IF(A114="","",IF(ISNUMBER(O114),"Lista"&amp;IF(N(Precios!$Q$10)=0," (impresión en $0)",""),IF(J114=0,"Agregar piezas en Despiece. ",IF(COUNTIFS(Despiece!$A$5:$A$1004,A114,Despiece!$D$5:$D$1004,"&gt;0")&lt;J114,"Metros de "&amp;(J114-COUNTIFS(Despiece!$A$5:$A$1004,A114,Despiece!$D$5:$D$1004,"&gt;0"))&amp;" pieza(s). ",""))&amp;IF(COUNTIFS(Despiece!$A$5:$A$1004,A114,Despiece!$G$5:$G$1004,"falta*")&gt;0,"Precio o peso de 1 m de alguna tela. ","")&amp;IF(M114="","Tipo/precio de confección. ","")))</f>
        <v/>
      </c>
      <c r="Q114" s="28"/>
    </row>
    <row r="115" customFormat="false" ht="15" hidden="false" customHeight="false" outlineLevel="0" collapsed="false">
      <c r="A115" s="28"/>
      <c r="B115" s="28"/>
      <c r="C115" s="28"/>
      <c r="D115" s="28"/>
      <c r="E115" s="28"/>
      <c r="F115" s="10"/>
      <c r="G115" s="28"/>
      <c r="H115" s="10"/>
      <c r="I115" s="28"/>
      <c r="J115" s="8" t="str">
        <f aca="false">IF(A115="","",COUNTIF(Despiece!$A$5:$A$1004,A115))</f>
        <v/>
      </c>
      <c r="K115" s="29"/>
      <c r="L115" s="11" t="str">
        <f aca="false">IF(A115="","",IF(COUNTIFS(Despiece!$A$5:$A$1004,A115,Despiece!$D$5:$D$1004,"&gt;0")&lt;J115,"",IF(COUNTIFS(Despiece!$A$5:$A$1004,A115,Despiece!$G$5:$G$1004,"falta*")&gt;0,"",SUMIFS(Despiece!$G$5:$G$1004,Despiece!$A$5:$A$1004,A115))))</f>
        <v/>
      </c>
      <c r="M115" s="11" t="str">
        <f aca="false">IF(OR(A115="",E115=""),"",IFERROR(INDEX(Precios!$K$5:$K$84,MATCH(E115,Precios!$J$5:$J$84,0)),""))</f>
        <v/>
      </c>
      <c r="N115" s="11" t="str">
        <f aca="false">IF(A115="","",IFERROR(N(G115)*IF(F115="",0,INDEX(Precios!$N$5:$N$64,MATCH(F115,Precios!$M$5:$M$64,0)))+N(I115)*IF(H115="",0,INDEX(Precios!$N$5:$N$64,MATCH(H115,Precios!$M$5:$M$64,0))),""))</f>
        <v/>
      </c>
      <c r="O115" s="12" t="str">
        <f aca="false">IF(A115="","",IFERROR(L115+M115+N115,""))</f>
        <v/>
      </c>
      <c r="P115" s="30" t="str">
        <f aca="false">IF(A115="","",IF(ISNUMBER(O115),"Lista"&amp;IF(N(Precios!$Q$10)=0," (impresión en $0)",""),IF(J115=0,"Agregar piezas en Despiece. ",IF(COUNTIFS(Despiece!$A$5:$A$1004,A115,Despiece!$D$5:$D$1004,"&gt;0")&lt;J115,"Metros de "&amp;(J115-COUNTIFS(Despiece!$A$5:$A$1004,A115,Despiece!$D$5:$D$1004,"&gt;0"))&amp;" pieza(s). ",""))&amp;IF(COUNTIFS(Despiece!$A$5:$A$1004,A115,Despiece!$G$5:$G$1004,"falta*")&gt;0,"Precio o peso de 1 m de alguna tela. ","")&amp;IF(M115="","Tipo/precio de confección. ","")))</f>
        <v/>
      </c>
      <c r="Q115" s="28"/>
    </row>
    <row r="116" customFormat="false" ht="15" hidden="false" customHeight="false" outlineLevel="0" collapsed="false">
      <c r="A116" s="28"/>
      <c r="B116" s="28"/>
      <c r="C116" s="28"/>
      <c r="D116" s="28"/>
      <c r="E116" s="28"/>
      <c r="F116" s="10"/>
      <c r="G116" s="28"/>
      <c r="H116" s="10"/>
      <c r="I116" s="28"/>
      <c r="J116" s="8" t="str">
        <f aca="false">IF(A116="","",COUNTIF(Despiece!$A$5:$A$1004,A116))</f>
        <v/>
      </c>
      <c r="K116" s="29"/>
      <c r="L116" s="11" t="str">
        <f aca="false">IF(A116="","",IF(COUNTIFS(Despiece!$A$5:$A$1004,A116,Despiece!$D$5:$D$1004,"&gt;0")&lt;J116,"",IF(COUNTIFS(Despiece!$A$5:$A$1004,A116,Despiece!$G$5:$G$1004,"falta*")&gt;0,"",SUMIFS(Despiece!$G$5:$G$1004,Despiece!$A$5:$A$1004,A116))))</f>
        <v/>
      </c>
      <c r="M116" s="11" t="str">
        <f aca="false">IF(OR(A116="",E116=""),"",IFERROR(INDEX(Precios!$K$5:$K$84,MATCH(E116,Precios!$J$5:$J$84,0)),""))</f>
        <v/>
      </c>
      <c r="N116" s="11" t="str">
        <f aca="false">IF(A116="","",IFERROR(N(G116)*IF(F116="",0,INDEX(Precios!$N$5:$N$64,MATCH(F116,Precios!$M$5:$M$64,0)))+N(I116)*IF(H116="",0,INDEX(Precios!$N$5:$N$64,MATCH(H116,Precios!$M$5:$M$64,0))),""))</f>
        <v/>
      </c>
      <c r="O116" s="12" t="str">
        <f aca="false">IF(A116="","",IFERROR(L116+M116+N116,""))</f>
        <v/>
      </c>
      <c r="P116" s="30" t="str">
        <f aca="false">IF(A116="","",IF(ISNUMBER(O116),"Lista"&amp;IF(N(Precios!$Q$10)=0," (impresión en $0)",""),IF(J116=0,"Agregar piezas en Despiece. ",IF(COUNTIFS(Despiece!$A$5:$A$1004,A116,Despiece!$D$5:$D$1004,"&gt;0")&lt;J116,"Metros de "&amp;(J116-COUNTIFS(Despiece!$A$5:$A$1004,A116,Despiece!$D$5:$D$1004,"&gt;0"))&amp;" pieza(s). ",""))&amp;IF(COUNTIFS(Despiece!$A$5:$A$1004,A116,Despiece!$G$5:$G$1004,"falta*")&gt;0,"Precio o peso de 1 m de alguna tela. ","")&amp;IF(M116="","Tipo/precio de confección. ","")))</f>
        <v/>
      </c>
      <c r="Q116" s="28"/>
    </row>
    <row r="117" customFormat="false" ht="15" hidden="false" customHeight="false" outlineLevel="0" collapsed="false">
      <c r="A117" s="28"/>
      <c r="B117" s="28"/>
      <c r="C117" s="28"/>
      <c r="D117" s="28"/>
      <c r="E117" s="28"/>
      <c r="F117" s="10"/>
      <c r="G117" s="28"/>
      <c r="H117" s="10"/>
      <c r="I117" s="28"/>
      <c r="J117" s="8" t="str">
        <f aca="false">IF(A117="","",COUNTIF(Despiece!$A$5:$A$1004,A117))</f>
        <v/>
      </c>
      <c r="K117" s="29"/>
      <c r="L117" s="11" t="str">
        <f aca="false">IF(A117="","",IF(COUNTIFS(Despiece!$A$5:$A$1004,A117,Despiece!$D$5:$D$1004,"&gt;0")&lt;J117,"",IF(COUNTIFS(Despiece!$A$5:$A$1004,A117,Despiece!$G$5:$G$1004,"falta*")&gt;0,"",SUMIFS(Despiece!$G$5:$G$1004,Despiece!$A$5:$A$1004,A117))))</f>
        <v/>
      </c>
      <c r="M117" s="11" t="str">
        <f aca="false">IF(OR(A117="",E117=""),"",IFERROR(INDEX(Precios!$K$5:$K$84,MATCH(E117,Precios!$J$5:$J$84,0)),""))</f>
        <v/>
      </c>
      <c r="N117" s="11" t="str">
        <f aca="false">IF(A117="","",IFERROR(N(G117)*IF(F117="",0,INDEX(Precios!$N$5:$N$64,MATCH(F117,Precios!$M$5:$M$64,0)))+N(I117)*IF(H117="",0,INDEX(Precios!$N$5:$N$64,MATCH(H117,Precios!$M$5:$M$64,0))),""))</f>
        <v/>
      </c>
      <c r="O117" s="12" t="str">
        <f aca="false">IF(A117="","",IFERROR(L117+M117+N117,""))</f>
        <v/>
      </c>
      <c r="P117" s="30" t="str">
        <f aca="false">IF(A117="","",IF(ISNUMBER(O117),"Lista"&amp;IF(N(Precios!$Q$10)=0," (impresión en $0)",""),IF(J117=0,"Agregar piezas en Despiece. ",IF(COUNTIFS(Despiece!$A$5:$A$1004,A117,Despiece!$D$5:$D$1004,"&gt;0")&lt;J117,"Metros de "&amp;(J117-COUNTIFS(Despiece!$A$5:$A$1004,A117,Despiece!$D$5:$D$1004,"&gt;0"))&amp;" pieza(s). ",""))&amp;IF(COUNTIFS(Despiece!$A$5:$A$1004,A117,Despiece!$G$5:$G$1004,"falta*")&gt;0,"Precio o peso de 1 m de alguna tela. ","")&amp;IF(M117="","Tipo/precio de confección. ","")))</f>
        <v/>
      </c>
      <c r="Q117" s="28"/>
    </row>
    <row r="118" customFormat="false" ht="15" hidden="false" customHeight="false" outlineLevel="0" collapsed="false">
      <c r="A118" s="28"/>
      <c r="B118" s="28"/>
      <c r="C118" s="28"/>
      <c r="D118" s="28"/>
      <c r="E118" s="28"/>
      <c r="F118" s="10"/>
      <c r="G118" s="28"/>
      <c r="H118" s="10"/>
      <c r="I118" s="28"/>
      <c r="J118" s="8" t="str">
        <f aca="false">IF(A118="","",COUNTIF(Despiece!$A$5:$A$1004,A118))</f>
        <v/>
      </c>
      <c r="K118" s="29"/>
      <c r="L118" s="11" t="str">
        <f aca="false">IF(A118="","",IF(COUNTIFS(Despiece!$A$5:$A$1004,A118,Despiece!$D$5:$D$1004,"&gt;0")&lt;J118,"",IF(COUNTIFS(Despiece!$A$5:$A$1004,A118,Despiece!$G$5:$G$1004,"falta*")&gt;0,"",SUMIFS(Despiece!$G$5:$G$1004,Despiece!$A$5:$A$1004,A118))))</f>
        <v/>
      </c>
      <c r="M118" s="11" t="str">
        <f aca="false">IF(OR(A118="",E118=""),"",IFERROR(INDEX(Precios!$K$5:$K$84,MATCH(E118,Precios!$J$5:$J$84,0)),""))</f>
        <v/>
      </c>
      <c r="N118" s="11" t="str">
        <f aca="false">IF(A118="","",IFERROR(N(G118)*IF(F118="",0,INDEX(Precios!$N$5:$N$64,MATCH(F118,Precios!$M$5:$M$64,0)))+N(I118)*IF(H118="",0,INDEX(Precios!$N$5:$N$64,MATCH(H118,Precios!$M$5:$M$64,0))),""))</f>
        <v/>
      </c>
      <c r="O118" s="12" t="str">
        <f aca="false">IF(A118="","",IFERROR(L118+M118+N118,""))</f>
        <v/>
      </c>
      <c r="P118" s="30" t="str">
        <f aca="false">IF(A118="","",IF(ISNUMBER(O118),"Lista"&amp;IF(N(Precios!$Q$10)=0," (impresión en $0)",""),IF(J118=0,"Agregar piezas en Despiece. ",IF(COUNTIFS(Despiece!$A$5:$A$1004,A118,Despiece!$D$5:$D$1004,"&gt;0")&lt;J118,"Metros de "&amp;(J118-COUNTIFS(Despiece!$A$5:$A$1004,A118,Despiece!$D$5:$D$1004,"&gt;0"))&amp;" pieza(s). ",""))&amp;IF(COUNTIFS(Despiece!$A$5:$A$1004,A118,Despiece!$G$5:$G$1004,"falta*")&gt;0,"Precio o peso de 1 m de alguna tela. ","")&amp;IF(M118="","Tipo/precio de confección. ","")))</f>
        <v/>
      </c>
      <c r="Q118" s="28"/>
    </row>
    <row r="119" customFormat="false" ht="15" hidden="false" customHeight="false" outlineLevel="0" collapsed="false">
      <c r="A119" s="28"/>
      <c r="B119" s="28"/>
      <c r="C119" s="28"/>
      <c r="D119" s="28"/>
      <c r="E119" s="28"/>
      <c r="F119" s="10"/>
      <c r="G119" s="28"/>
      <c r="H119" s="10"/>
      <c r="I119" s="28"/>
      <c r="J119" s="8" t="str">
        <f aca="false">IF(A119="","",COUNTIF(Despiece!$A$5:$A$1004,A119))</f>
        <v/>
      </c>
      <c r="K119" s="29"/>
      <c r="L119" s="11" t="str">
        <f aca="false">IF(A119="","",IF(COUNTIFS(Despiece!$A$5:$A$1004,A119,Despiece!$D$5:$D$1004,"&gt;0")&lt;J119,"",IF(COUNTIFS(Despiece!$A$5:$A$1004,A119,Despiece!$G$5:$G$1004,"falta*")&gt;0,"",SUMIFS(Despiece!$G$5:$G$1004,Despiece!$A$5:$A$1004,A119))))</f>
        <v/>
      </c>
      <c r="M119" s="11" t="str">
        <f aca="false">IF(OR(A119="",E119=""),"",IFERROR(INDEX(Precios!$K$5:$K$84,MATCH(E119,Precios!$J$5:$J$84,0)),""))</f>
        <v/>
      </c>
      <c r="N119" s="11" t="str">
        <f aca="false">IF(A119="","",IFERROR(N(G119)*IF(F119="",0,INDEX(Precios!$N$5:$N$64,MATCH(F119,Precios!$M$5:$M$64,0)))+N(I119)*IF(H119="",0,INDEX(Precios!$N$5:$N$64,MATCH(H119,Precios!$M$5:$M$64,0))),""))</f>
        <v/>
      </c>
      <c r="O119" s="12" t="str">
        <f aca="false">IF(A119="","",IFERROR(L119+M119+N119,""))</f>
        <v/>
      </c>
      <c r="P119" s="30" t="str">
        <f aca="false">IF(A119="","",IF(ISNUMBER(O119),"Lista"&amp;IF(N(Precios!$Q$10)=0," (impresión en $0)",""),IF(J119=0,"Agregar piezas en Despiece. ",IF(COUNTIFS(Despiece!$A$5:$A$1004,A119,Despiece!$D$5:$D$1004,"&gt;0")&lt;J119,"Metros de "&amp;(J119-COUNTIFS(Despiece!$A$5:$A$1004,A119,Despiece!$D$5:$D$1004,"&gt;0"))&amp;" pieza(s). ",""))&amp;IF(COUNTIFS(Despiece!$A$5:$A$1004,A119,Despiece!$G$5:$G$1004,"falta*")&gt;0,"Precio o peso de 1 m de alguna tela. ","")&amp;IF(M119="","Tipo/precio de confección. ","")))</f>
        <v/>
      </c>
      <c r="Q119" s="28"/>
    </row>
    <row r="120" customFormat="false" ht="15" hidden="false" customHeight="false" outlineLevel="0" collapsed="false">
      <c r="A120" s="28"/>
      <c r="B120" s="28"/>
      <c r="C120" s="28"/>
      <c r="D120" s="28"/>
      <c r="E120" s="28"/>
      <c r="F120" s="10"/>
      <c r="G120" s="28"/>
      <c r="H120" s="10"/>
      <c r="I120" s="28"/>
      <c r="J120" s="8" t="str">
        <f aca="false">IF(A120="","",COUNTIF(Despiece!$A$5:$A$1004,A120))</f>
        <v/>
      </c>
      <c r="K120" s="29"/>
      <c r="L120" s="11" t="str">
        <f aca="false">IF(A120="","",IF(COUNTIFS(Despiece!$A$5:$A$1004,A120,Despiece!$D$5:$D$1004,"&gt;0")&lt;J120,"",IF(COUNTIFS(Despiece!$A$5:$A$1004,A120,Despiece!$G$5:$G$1004,"falta*")&gt;0,"",SUMIFS(Despiece!$G$5:$G$1004,Despiece!$A$5:$A$1004,A120))))</f>
        <v/>
      </c>
      <c r="M120" s="11" t="str">
        <f aca="false">IF(OR(A120="",E120=""),"",IFERROR(INDEX(Precios!$K$5:$K$84,MATCH(E120,Precios!$J$5:$J$84,0)),""))</f>
        <v/>
      </c>
      <c r="N120" s="11" t="str">
        <f aca="false">IF(A120="","",IFERROR(N(G120)*IF(F120="",0,INDEX(Precios!$N$5:$N$64,MATCH(F120,Precios!$M$5:$M$64,0)))+N(I120)*IF(H120="",0,INDEX(Precios!$N$5:$N$64,MATCH(H120,Precios!$M$5:$M$64,0))),""))</f>
        <v/>
      </c>
      <c r="O120" s="12" t="str">
        <f aca="false">IF(A120="","",IFERROR(L120+M120+N120,""))</f>
        <v/>
      </c>
      <c r="P120" s="30" t="str">
        <f aca="false">IF(A120="","",IF(ISNUMBER(O120),"Lista"&amp;IF(N(Precios!$Q$10)=0," (impresión en $0)",""),IF(J120=0,"Agregar piezas en Despiece. ",IF(COUNTIFS(Despiece!$A$5:$A$1004,A120,Despiece!$D$5:$D$1004,"&gt;0")&lt;J120,"Metros de "&amp;(J120-COUNTIFS(Despiece!$A$5:$A$1004,A120,Despiece!$D$5:$D$1004,"&gt;0"))&amp;" pieza(s). ",""))&amp;IF(COUNTIFS(Despiece!$A$5:$A$1004,A120,Despiece!$G$5:$G$1004,"falta*")&gt;0,"Precio o peso de 1 m de alguna tela. ","")&amp;IF(M120="","Tipo/precio de confección. ","")))</f>
        <v/>
      </c>
      <c r="Q120" s="28"/>
    </row>
    <row r="121" customFormat="false" ht="15" hidden="false" customHeight="false" outlineLevel="0" collapsed="false">
      <c r="A121" s="28"/>
      <c r="B121" s="28"/>
      <c r="C121" s="28"/>
      <c r="D121" s="28"/>
      <c r="E121" s="28"/>
      <c r="F121" s="10"/>
      <c r="G121" s="28"/>
      <c r="H121" s="10"/>
      <c r="I121" s="28"/>
      <c r="J121" s="8" t="str">
        <f aca="false">IF(A121="","",COUNTIF(Despiece!$A$5:$A$1004,A121))</f>
        <v/>
      </c>
      <c r="K121" s="29"/>
      <c r="L121" s="11" t="str">
        <f aca="false">IF(A121="","",IF(COUNTIFS(Despiece!$A$5:$A$1004,A121,Despiece!$D$5:$D$1004,"&gt;0")&lt;J121,"",IF(COUNTIFS(Despiece!$A$5:$A$1004,A121,Despiece!$G$5:$G$1004,"falta*")&gt;0,"",SUMIFS(Despiece!$G$5:$G$1004,Despiece!$A$5:$A$1004,A121))))</f>
        <v/>
      </c>
      <c r="M121" s="11" t="str">
        <f aca="false">IF(OR(A121="",E121=""),"",IFERROR(INDEX(Precios!$K$5:$K$84,MATCH(E121,Precios!$J$5:$J$84,0)),""))</f>
        <v/>
      </c>
      <c r="N121" s="11" t="str">
        <f aca="false">IF(A121="","",IFERROR(N(G121)*IF(F121="",0,INDEX(Precios!$N$5:$N$64,MATCH(F121,Precios!$M$5:$M$64,0)))+N(I121)*IF(H121="",0,INDEX(Precios!$N$5:$N$64,MATCH(H121,Precios!$M$5:$M$64,0))),""))</f>
        <v/>
      </c>
      <c r="O121" s="12" t="str">
        <f aca="false">IF(A121="","",IFERROR(L121+M121+N121,""))</f>
        <v/>
      </c>
      <c r="P121" s="30" t="str">
        <f aca="false">IF(A121="","",IF(ISNUMBER(O121),"Lista"&amp;IF(N(Precios!$Q$10)=0," (impresión en $0)",""),IF(J121=0,"Agregar piezas en Despiece. ",IF(COUNTIFS(Despiece!$A$5:$A$1004,A121,Despiece!$D$5:$D$1004,"&gt;0")&lt;J121,"Metros de "&amp;(J121-COUNTIFS(Despiece!$A$5:$A$1004,A121,Despiece!$D$5:$D$1004,"&gt;0"))&amp;" pieza(s). ",""))&amp;IF(COUNTIFS(Despiece!$A$5:$A$1004,A121,Despiece!$G$5:$G$1004,"falta*")&gt;0,"Precio o peso de 1 m de alguna tela. ","")&amp;IF(M121="","Tipo/precio de confección. ","")))</f>
        <v/>
      </c>
      <c r="Q121" s="28"/>
    </row>
    <row r="122" customFormat="false" ht="15" hidden="false" customHeight="false" outlineLevel="0" collapsed="false">
      <c r="A122" s="28"/>
      <c r="B122" s="28"/>
      <c r="C122" s="28"/>
      <c r="D122" s="28"/>
      <c r="E122" s="28"/>
      <c r="F122" s="10"/>
      <c r="G122" s="28"/>
      <c r="H122" s="10"/>
      <c r="I122" s="28"/>
      <c r="J122" s="8" t="str">
        <f aca="false">IF(A122="","",COUNTIF(Despiece!$A$5:$A$1004,A122))</f>
        <v/>
      </c>
      <c r="K122" s="29"/>
      <c r="L122" s="11" t="str">
        <f aca="false">IF(A122="","",IF(COUNTIFS(Despiece!$A$5:$A$1004,A122,Despiece!$D$5:$D$1004,"&gt;0")&lt;J122,"",IF(COUNTIFS(Despiece!$A$5:$A$1004,A122,Despiece!$G$5:$G$1004,"falta*")&gt;0,"",SUMIFS(Despiece!$G$5:$G$1004,Despiece!$A$5:$A$1004,A122))))</f>
        <v/>
      </c>
      <c r="M122" s="11" t="str">
        <f aca="false">IF(OR(A122="",E122=""),"",IFERROR(INDEX(Precios!$K$5:$K$84,MATCH(E122,Precios!$J$5:$J$84,0)),""))</f>
        <v/>
      </c>
      <c r="N122" s="11" t="str">
        <f aca="false">IF(A122="","",IFERROR(N(G122)*IF(F122="",0,INDEX(Precios!$N$5:$N$64,MATCH(F122,Precios!$M$5:$M$64,0)))+N(I122)*IF(H122="",0,INDEX(Precios!$N$5:$N$64,MATCH(H122,Precios!$M$5:$M$64,0))),""))</f>
        <v/>
      </c>
      <c r="O122" s="12" t="str">
        <f aca="false">IF(A122="","",IFERROR(L122+M122+N122,""))</f>
        <v/>
      </c>
      <c r="P122" s="30" t="str">
        <f aca="false">IF(A122="","",IF(ISNUMBER(O122),"Lista"&amp;IF(N(Precios!$Q$10)=0," (impresión en $0)",""),IF(J122=0,"Agregar piezas en Despiece. ",IF(COUNTIFS(Despiece!$A$5:$A$1004,A122,Despiece!$D$5:$D$1004,"&gt;0")&lt;J122,"Metros de "&amp;(J122-COUNTIFS(Despiece!$A$5:$A$1004,A122,Despiece!$D$5:$D$1004,"&gt;0"))&amp;" pieza(s). ",""))&amp;IF(COUNTIFS(Despiece!$A$5:$A$1004,A122,Despiece!$G$5:$G$1004,"falta*")&gt;0,"Precio o peso de 1 m de alguna tela. ","")&amp;IF(M122="","Tipo/precio de confección. ","")))</f>
        <v/>
      </c>
      <c r="Q122" s="28"/>
    </row>
    <row r="123" customFormat="false" ht="15" hidden="false" customHeight="false" outlineLevel="0" collapsed="false">
      <c r="A123" s="28"/>
      <c r="B123" s="28"/>
      <c r="C123" s="28"/>
      <c r="D123" s="28"/>
      <c r="E123" s="28"/>
      <c r="F123" s="10"/>
      <c r="G123" s="28"/>
      <c r="H123" s="10"/>
      <c r="I123" s="28"/>
      <c r="J123" s="8" t="str">
        <f aca="false">IF(A123="","",COUNTIF(Despiece!$A$5:$A$1004,A123))</f>
        <v/>
      </c>
      <c r="K123" s="29"/>
      <c r="L123" s="11" t="str">
        <f aca="false">IF(A123="","",IF(COUNTIFS(Despiece!$A$5:$A$1004,A123,Despiece!$D$5:$D$1004,"&gt;0")&lt;J123,"",IF(COUNTIFS(Despiece!$A$5:$A$1004,A123,Despiece!$G$5:$G$1004,"falta*")&gt;0,"",SUMIFS(Despiece!$G$5:$G$1004,Despiece!$A$5:$A$1004,A123))))</f>
        <v/>
      </c>
      <c r="M123" s="11" t="str">
        <f aca="false">IF(OR(A123="",E123=""),"",IFERROR(INDEX(Precios!$K$5:$K$84,MATCH(E123,Precios!$J$5:$J$84,0)),""))</f>
        <v/>
      </c>
      <c r="N123" s="11" t="str">
        <f aca="false">IF(A123="","",IFERROR(N(G123)*IF(F123="",0,INDEX(Precios!$N$5:$N$64,MATCH(F123,Precios!$M$5:$M$64,0)))+N(I123)*IF(H123="",0,INDEX(Precios!$N$5:$N$64,MATCH(H123,Precios!$M$5:$M$64,0))),""))</f>
        <v/>
      </c>
      <c r="O123" s="12" t="str">
        <f aca="false">IF(A123="","",IFERROR(L123+M123+N123,""))</f>
        <v/>
      </c>
      <c r="P123" s="30" t="str">
        <f aca="false">IF(A123="","",IF(ISNUMBER(O123),"Lista"&amp;IF(N(Precios!$Q$10)=0," (impresión en $0)",""),IF(J123=0,"Agregar piezas en Despiece. ",IF(COUNTIFS(Despiece!$A$5:$A$1004,A123,Despiece!$D$5:$D$1004,"&gt;0")&lt;J123,"Metros de "&amp;(J123-COUNTIFS(Despiece!$A$5:$A$1004,A123,Despiece!$D$5:$D$1004,"&gt;0"))&amp;" pieza(s). ",""))&amp;IF(COUNTIFS(Despiece!$A$5:$A$1004,A123,Despiece!$G$5:$G$1004,"falta*")&gt;0,"Precio o peso de 1 m de alguna tela. ","")&amp;IF(M123="","Tipo/precio de confección. ","")))</f>
        <v/>
      </c>
      <c r="Q123" s="28"/>
    </row>
    <row r="124" customFormat="false" ht="15" hidden="false" customHeight="false" outlineLevel="0" collapsed="false">
      <c r="A124" s="28"/>
      <c r="B124" s="28"/>
      <c r="C124" s="28"/>
      <c r="D124" s="28"/>
      <c r="E124" s="28"/>
      <c r="F124" s="10"/>
      <c r="G124" s="28"/>
      <c r="H124" s="10"/>
      <c r="I124" s="28"/>
      <c r="J124" s="8" t="str">
        <f aca="false">IF(A124="","",COUNTIF(Despiece!$A$5:$A$1004,A124))</f>
        <v/>
      </c>
      <c r="K124" s="29"/>
      <c r="L124" s="11" t="str">
        <f aca="false">IF(A124="","",IF(COUNTIFS(Despiece!$A$5:$A$1004,A124,Despiece!$D$5:$D$1004,"&gt;0")&lt;J124,"",IF(COUNTIFS(Despiece!$A$5:$A$1004,A124,Despiece!$G$5:$G$1004,"falta*")&gt;0,"",SUMIFS(Despiece!$G$5:$G$1004,Despiece!$A$5:$A$1004,A124))))</f>
        <v/>
      </c>
      <c r="M124" s="11" t="str">
        <f aca="false">IF(OR(A124="",E124=""),"",IFERROR(INDEX(Precios!$K$5:$K$84,MATCH(E124,Precios!$J$5:$J$84,0)),""))</f>
        <v/>
      </c>
      <c r="N124" s="11" t="str">
        <f aca="false">IF(A124="","",IFERROR(N(G124)*IF(F124="",0,INDEX(Precios!$N$5:$N$64,MATCH(F124,Precios!$M$5:$M$64,0)))+N(I124)*IF(H124="",0,INDEX(Precios!$N$5:$N$64,MATCH(H124,Precios!$M$5:$M$64,0))),""))</f>
        <v/>
      </c>
      <c r="O124" s="12" t="str">
        <f aca="false">IF(A124="","",IFERROR(L124+M124+N124,""))</f>
        <v/>
      </c>
      <c r="P124" s="30" t="str">
        <f aca="false">IF(A124="","",IF(ISNUMBER(O124),"Lista"&amp;IF(N(Precios!$Q$10)=0," (impresión en $0)",""),IF(J124=0,"Agregar piezas en Despiece. ",IF(COUNTIFS(Despiece!$A$5:$A$1004,A124,Despiece!$D$5:$D$1004,"&gt;0")&lt;J124,"Metros de "&amp;(J124-COUNTIFS(Despiece!$A$5:$A$1004,A124,Despiece!$D$5:$D$1004,"&gt;0"))&amp;" pieza(s). ",""))&amp;IF(COUNTIFS(Despiece!$A$5:$A$1004,A124,Despiece!$G$5:$G$1004,"falta*")&gt;0,"Precio o peso de 1 m de alguna tela. ","")&amp;IF(M124="","Tipo/precio de confección. ","")))</f>
        <v/>
      </c>
      <c r="Q124" s="28"/>
    </row>
    <row r="125" customFormat="false" ht="15" hidden="false" customHeight="false" outlineLevel="0" collapsed="false">
      <c r="A125" s="28"/>
      <c r="B125" s="28"/>
      <c r="C125" s="28"/>
      <c r="D125" s="28"/>
      <c r="E125" s="28"/>
      <c r="F125" s="10"/>
      <c r="G125" s="28"/>
      <c r="H125" s="10"/>
      <c r="I125" s="28"/>
      <c r="J125" s="8" t="str">
        <f aca="false">IF(A125="","",COUNTIF(Despiece!$A$5:$A$1004,A125))</f>
        <v/>
      </c>
      <c r="K125" s="29"/>
      <c r="L125" s="11" t="str">
        <f aca="false">IF(A125="","",IF(COUNTIFS(Despiece!$A$5:$A$1004,A125,Despiece!$D$5:$D$1004,"&gt;0")&lt;J125,"",IF(COUNTIFS(Despiece!$A$5:$A$1004,A125,Despiece!$G$5:$G$1004,"falta*")&gt;0,"",SUMIFS(Despiece!$G$5:$G$1004,Despiece!$A$5:$A$1004,A125))))</f>
        <v/>
      </c>
      <c r="M125" s="11" t="str">
        <f aca="false">IF(OR(A125="",E125=""),"",IFERROR(INDEX(Precios!$K$5:$K$84,MATCH(E125,Precios!$J$5:$J$84,0)),""))</f>
        <v/>
      </c>
      <c r="N125" s="11" t="str">
        <f aca="false">IF(A125="","",IFERROR(N(G125)*IF(F125="",0,INDEX(Precios!$N$5:$N$64,MATCH(F125,Precios!$M$5:$M$64,0)))+N(I125)*IF(H125="",0,INDEX(Precios!$N$5:$N$64,MATCH(H125,Precios!$M$5:$M$64,0))),""))</f>
        <v/>
      </c>
      <c r="O125" s="12" t="str">
        <f aca="false">IF(A125="","",IFERROR(L125+M125+N125,""))</f>
        <v/>
      </c>
      <c r="P125" s="30" t="str">
        <f aca="false">IF(A125="","",IF(ISNUMBER(O125),"Lista"&amp;IF(N(Precios!$Q$10)=0," (impresión en $0)",""),IF(J125=0,"Agregar piezas en Despiece. ",IF(COUNTIFS(Despiece!$A$5:$A$1004,A125,Despiece!$D$5:$D$1004,"&gt;0")&lt;J125,"Metros de "&amp;(J125-COUNTIFS(Despiece!$A$5:$A$1004,A125,Despiece!$D$5:$D$1004,"&gt;0"))&amp;" pieza(s). ",""))&amp;IF(COUNTIFS(Despiece!$A$5:$A$1004,A125,Despiece!$G$5:$G$1004,"falta*")&gt;0,"Precio o peso de 1 m de alguna tela. ","")&amp;IF(M125="","Tipo/precio de confección. ","")))</f>
        <v/>
      </c>
      <c r="Q125" s="28"/>
    </row>
    <row r="126" customFormat="false" ht="15" hidden="false" customHeight="false" outlineLevel="0" collapsed="false">
      <c r="A126" s="28"/>
      <c r="B126" s="28"/>
      <c r="C126" s="28"/>
      <c r="D126" s="28"/>
      <c r="E126" s="28"/>
      <c r="F126" s="10"/>
      <c r="G126" s="28"/>
      <c r="H126" s="10"/>
      <c r="I126" s="28"/>
      <c r="J126" s="8" t="str">
        <f aca="false">IF(A126="","",COUNTIF(Despiece!$A$5:$A$1004,A126))</f>
        <v/>
      </c>
      <c r="K126" s="29"/>
      <c r="L126" s="11" t="str">
        <f aca="false">IF(A126="","",IF(COUNTIFS(Despiece!$A$5:$A$1004,A126,Despiece!$D$5:$D$1004,"&gt;0")&lt;J126,"",IF(COUNTIFS(Despiece!$A$5:$A$1004,A126,Despiece!$G$5:$G$1004,"falta*")&gt;0,"",SUMIFS(Despiece!$G$5:$G$1004,Despiece!$A$5:$A$1004,A126))))</f>
        <v/>
      </c>
      <c r="M126" s="11" t="str">
        <f aca="false">IF(OR(A126="",E126=""),"",IFERROR(INDEX(Precios!$K$5:$K$84,MATCH(E126,Precios!$J$5:$J$84,0)),""))</f>
        <v/>
      </c>
      <c r="N126" s="11" t="str">
        <f aca="false">IF(A126="","",IFERROR(N(G126)*IF(F126="",0,INDEX(Precios!$N$5:$N$64,MATCH(F126,Precios!$M$5:$M$64,0)))+N(I126)*IF(H126="",0,INDEX(Precios!$N$5:$N$64,MATCH(H126,Precios!$M$5:$M$64,0))),""))</f>
        <v/>
      </c>
      <c r="O126" s="12" t="str">
        <f aca="false">IF(A126="","",IFERROR(L126+M126+N126,""))</f>
        <v/>
      </c>
      <c r="P126" s="30" t="str">
        <f aca="false">IF(A126="","",IF(ISNUMBER(O126),"Lista"&amp;IF(N(Precios!$Q$10)=0," (impresión en $0)",""),IF(J126=0,"Agregar piezas en Despiece. ",IF(COUNTIFS(Despiece!$A$5:$A$1004,A126,Despiece!$D$5:$D$1004,"&gt;0")&lt;J126,"Metros de "&amp;(J126-COUNTIFS(Despiece!$A$5:$A$1004,A126,Despiece!$D$5:$D$1004,"&gt;0"))&amp;" pieza(s). ",""))&amp;IF(COUNTIFS(Despiece!$A$5:$A$1004,A126,Despiece!$G$5:$G$1004,"falta*")&gt;0,"Precio o peso de 1 m de alguna tela. ","")&amp;IF(M126="","Tipo/precio de confección. ","")))</f>
        <v/>
      </c>
      <c r="Q126" s="28"/>
    </row>
    <row r="127" customFormat="false" ht="15" hidden="false" customHeight="false" outlineLevel="0" collapsed="false">
      <c r="A127" s="28"/>
      <c r="B127" s="28"/>
      <c r="C127" s="28"/>
      <c r="D127" s="28"/>
      <c r="E127" s="28"/>
      <c r="F127" s="10"/>
      <c r="G127" s="28"/>
      <c r="H127" s="10"/>
      <c r="I127" s="28"/>
      <c r="J127" s="8" t="str">
        <f aca="false">IF(A127="","",COUNTIF(Despiece!$A$5:$A$1004,A127))</f>
        <v/>
      </c>
      <c r="K127" s="29"/>
      <c r="L127" s="11" t="str">
        <f aca="false">IF(A127="","",IF(COUNTIFS(Despiece!$A$5:$A$1004,A127,Despiece!$D$5:$D$1004,"&gt;0")&lt;J127,"",IF(COUNTIFS(Despiece!$A$5:$A$1004,A127,Despiece!$G$5:$G$1004,"falta*")&gt;0,"",SUMIFS(Despiece!$G$5:$G$1004,Despiece!$A$5:$A$1004,A127))))</f>
        <v/>
      </c>
      <c r="M127" s="11" t="str">
        <f aca="false">IF(OR(A127="",E127=""),"",IFERROR(INDEX(Precios!$K$5:$K$84,MATCH(E127,Precios!$J$5:$J$84,0)),""))</f>
        <v/>
      </c>
      <c r="N127" s="11" t="str">
        <f aca="false">IF(A127="","",IFERROR(N(G127)*IF(F127="",0,INDEX(Precios!$N$5:$N$64,MATCH(F127,Precios!$M$5:$M$64,0)))+N(I127)*IF(H127="",0,INDEX(Precios!$N$5:$N$64,MATCH(H127,Precios!$M$5:$M$64,0))),""))</f>
        <v/>
      </c>
      <c r="O127" s="12" t="str">
        <f aca="false">IF(A127="","",IFERROR(L127+M127+N127,""))</f>
        <v/>
      </c>
      <c r="P127" s="30" t="str">
        <f aca="false">IF(A127="","",IF(ISNUMBER(O127),"Lista"&amp;IF(N(Precios!$Q$10)=0," (impresión en $0)",""),IF(J127=0,"Agregar piezas en Despiece. ",IF(COUNTIFS(Despiece!$A$5:$A$1004,A127,Despiece!$D$5:$D$1004,"&gt;0")&lt;J127,"Metros de "&amp;(J127-COUNTIFS(Despiece!$A$5:$A$1004,A127,Despiece!$D$5:$D$1004,"&gt;0"))&amp;" pieza(s). ",""))&amp;IF(COUNTIFS(Despiece!$A$5:$A$1004,A127,Despiece!$G$5:$G$1004,"falta*")&gt;0,"Precio o peso de 1 m de alguna tela. ","")&amp;IF(M127="","Tipo/precio de confección. ","")))</f>
        <v/>
      </c>
      <c r="Q127" s="28"/>
    </row>
    <row r="128" customFormat="false" ht="15" hidden="false" customHeight="false" outlineLevel="0" collapsed="false">
      <c r="A128" s="28"/>
      <c r="B128" s="28"/>
      <c r="C128" s="28"/>
      <c r="D128" s="28"/>
      <c r="E128" s="28"/>
      <c r="F128" s="10"/>
      <c r="G128" s="28"/>
      <c r="H128" s="10"/>
      <c r="I128" s="28"/>
      <c r="J128" s="8" t="str">
        <f aca="false">IF(A128="","",COUNTIF(Despiece!$A$5:$A$1004,A128))</f>
        <v/>
      </c>
      <c r="K128" s="29"/>
      <c r="L128" s="11" t="str">
        <f aca="false">IF(A128="","",IF(COUNTIFS(Despiece!$A$5:$A$1004,A128,Despiece!$D$5:$D$1004,"&gt;0")&lt;J128,"",IF(COUNTIFS(Despiece!$A$5:$A$1004,A128,Despiece!$G$5:$G$1004,"falta*")&gt;0,"",SUMIFS(Despiece!$G$5:$G$1004,Despiece!$A$5:$A$1004,A128))))</f>
        <v/>
      </c>
      <c r="M128" s="11" t="str">
        <f aca="false">IF(OR(A128="",E128=""),"",IFERROR(INDEX(Precios!$K$5:$K$84,MATCH(E128,Precios!$J$5:$J$84,0)),""))</f>
        <v/>
      </c>
      <c r="N128" s="11" t="str">
        <f aca="false">IF(A128="","",IFERROR(N(G128)*IF(F128="",0,INDEX(Precios!$N$5:$N$64,MATCH(F128,Precios!$M$5:$M$64,0)))+N(I128)*IF(H128="",0,INDEX(Precios!$N$5:$N$64,MATCH(H128,Precios!$M$5:$M$64,0))),""))</f>
        <v/>
      </c>
      <c r="O128" s="12" t="str">
        <f aca="false">IF(A128="","",IFERROR(L128+M128+N128,""))</f>
        <v/>
      </c>
      <c r="P128" s="30" t="str">
        <f aca="false">IF(A128="","",IF(ISNUMBER(O128),"Lista"&amp;IF(N(Precios!$Q$10)=0," (impresión en $0)",""),IF(J128=0,"Agregar piezas en Despiece. ",IF(COUNTIFS(Despiece!$A$5:$A$1004,A128,Despiece!$D$5:$D$1004,"&gt;0")&lt;J128,"Metros de "&amp;(J128-COUNTIFS(Despiece!$A$5:$A$1004,A128,Despiece!$D$5:$D$1004,"&gt;0"))&amp;" pieza(s). ",""))&amp;IF(COUNTIFS(Despiece!$A$5:$A$1004,A128,Despiece!$G$5:$G$1004,"falta*")&gt;0,"Precio o peso de 1 m de alguna tela. ","")&amp;IF(M128="","Tipo/precio de confección. ","")))</f>
        <v/>
      </c>
      <c r="Q128" s="28"/>
    </row>
    <row r="129" customFormat="false" ht="15" hidden="false" customHeight="false" outlineLevel="0" collapsed="false">
      <c r="A129" s="28"/>
      <c r="B129" s="28"/>
      <c r="C129" s="28"/>
      <c r="D129" s="28"/>
      <c r="E129" s="28"/>
      <c r="F129" s="10"/>
      <c r="G129" s="28"/>
      <c r="H129" s="10"/>
      <c r="I129" s="28"/>
      <c r="J129" s="8" t="str">
        <f aca="false">IF(A129="","",COUNTIF(Despiece!$A$5:$A$1004,A129))</f>
        <v/>
      </c>
      <c r="K129" s="29"/>
      <c r="L129" s="11" t="str">
        <f aca="false">IF(A129="","",IF(COUNTIFS(Despiece!$A$5:$A$1004,A129,Despiece!$D$5:$D$1004,"&gt;0")&lt;J129,"",IF(COUNTIFS(Despiece!$A$5:$A$1004,A129,Despiece!$G$5:$G$1004,"falta*")&gt;0,"",SUMIFS(Despiece!$G$5:$G$1004,Despiece!$A$5:$A$1004,A129))))</f>
        <v/>
      </c>
      <c r="M129" s="11" t="str">
        <f aca="false">IF(OR(A129="",E129=""),"",IFERROR(INDEX(Precios!$K$5:$K$84,MATCH(E129,Precios!$J$5:$J$84,0)),""))</f>
        <v/>
      </c>
      <c r="N129" s="11" t="str">
        <f aca="false">IF(A129="","",IFERROR(N(G129)*IF(F129="",0,INDEX(Precios!$N$5:$N$64,MATCH(F129,Precios!$M$5:$M$64,0)))+N(I129)*IF(H129="",0,INDEX(Precios!$N$5:$N$64,MATCH(H129,Precios!$M$5:$M$64,0))),""))</f>
        <v/>
      </c>
      <c r="O129" s="12" t="str">
        <f aca="false">IF(A129="","",IFERROR(L129+M129+N129,""))</f>
        <v/>
      </c>
      <c r="P129" s="30" t="str">
        <f aca="false">IF(A129="","",IF(ISNUMBER(O129),"Lista"&amp;IF(N(Precios!$Q$10)=0," (impresión en $0)",""),IF(J129=0,"Agregar piezas en Despiece. ",IF(COUNTIFS(Despiece!$A$5:$A$1004,A129,Despiece!$D$5:$D$1004,"&gt;0")&lt;J129,"Metros de "&amp;(J129-COUNTIFS(Despiece!$A$5:$A$1004,A129,Despiece!$D$5:$D$1004,"&gt;0"))&amp;" pieza(s). ",""))&amp;IF(COUNTIFS(Despiece!$A$5:$A$1004,A129,Despiece!$G$5:$G$1004,"falta*")&gt;0,"Precio o peso de 1 m de alguna tela. ","")&amp;IF(M129="","Tipo/precio de confección. ","")))</f>
        <v/>
      </c>
      <c r="Q129" s="28"/>
    </row>
    <row r="130" customFormat="false" ht="15" hidden="false" customHeight="false" outlineLevel="0" collapsed="false">
      <c r="A130" s="28"/>
      <c r="B130" s="28"/>
      <c r="C130" s="28"/>
      <c r="D130" s="28"/>
      <c r="E130" s="28"/>
      <c r="F130" s="10"/>
      <c r="G130" s="28"/>
      <c r="H130" s="10"/>
      <c r="I130" s="28"/>
      <c r="J130" s="8" t="str">
        <f aca="false">IF(A130="","",COUNTIF(Despiece!$A$5:$A$1004,A130))</f>
        <v/>
      </c>
      <c r="K130" s="29"/>
      <c r="L130" s="11" t="str">
        <f aca="false">IF(A130="","",IF(COUNTIFS(Despiece!$A$5:$A$1004,A130,Despiece!$D$5:$D$1004,"&gt;0")&lt;J130,"",IF(COUNTIFS(Despiece!$A$5:$A$1004,A130,Despiece!$G$5:$G$1004,"falta*")&gt;0,"",SUMIFS(Despiece!$G$5:$G$1004,Despiece!$A$5:$A$1004,A130))))</f>
        <v/>
      </c>
      <c r="M130" s="11" t="str">
        <f aca="false">IF(OR(A130="",E130=""),"",IFERROR(INDEX(Precios!$K$5:$K$84,MATCH(E130,Precios!$J$5:$J$84,0)),""))</f>
        <v/>
      </c>
      <c r="N130" s="11" t="str">
        <f aca="false">IF(A130="","",IFERROR(N(G130)*IF(F130="",0,INDEX(Precios!$N$5:$N$64,MATCH(F130,Precios!$M$5:$M$64,0)))+N(I130)*IF(H130="",0,INDEX(Precios!$N$5:$N$64,MATCH(H130,Precios!$M$5:$M$64,0))),""))</f>
        <v/>
      </c>
      <c r="O130" s="12" t="str">
        <f aca="false">IF(A130="","",IFERROR(L130+M130+N130,""))</f>
        <v/>
      </c>
      <c r="P130" s="30" t="str">
        <f aca="false">IF(A130="","",IF(ISNUMBER(O130),"Lista"&amp;IF(N(Precios!$Q$10)=0," (impresión en $0)",""),IF(J130=0,"Agregar piezas en Despiece. ",IF(COUNTIFS(Despiece!$A$5:$A$1004,A130,Despiece!$D$5:$D$1004,"&gt;0")&lt;J130,"Metros de "&amp;(J130-COUNTIFS(Despiece!$A$5:$A$1004,A130,Despiece!$D$5:$D$1004,"&gt;0"))&amp;" pieza(s). ",""))&amp;IF(COUNTIFS(Despiece!$A$5:$A$1004,A130,Despiece!$G$5:$G$1004,"falta*")&gt;0,"Precio o peso de 1 m de alguna tela. ","")&amp;IF(M130="","Tipo/precio de confección. ","")))</f>
        <v/>
      </c>
      <c r="Q130" s="28"/>
    </row>
    <row r="131" customFormat="false" ht="15" hidden="false" customHeight="false" outlineLevel="0" collapsed="false">
      <c r="A131" s="28"/>
      <c r="B131" s="28"/>
      <c r="C131" s="28"/>
      <c r="D131" s="28"/>
      <c r="E131" s="28"/>
      <c r="F131" s="10"/>
      <c r="G131" s="28"/>
      <c r="H131" s="10"/>
      <c r="I131" s="28"/>
      <c r="J131" s="8" t="str">
        <f aca="false">IF(A131="","",COUNTIF(Despiece!$A$5:$A$1004,A131))</f>
        <v/>
      </c>
      <c r="K131" s="29"/>
      <c r="L131" s="11" t="str">
        <f aca="false">IF(A131="","",IF(COUNTIFS(Despiece!$A$5:$A$1004,A131,Despiece!$D$5:$D$1004,"&gt;0")&lt;J131,"",IF(COUNTIFS(Despiece!$A$5:$A$1004,A131,Despiece!$G$5:$G$1004,"falta*")&gt;0,"",SUMIFS(Despiece!$G$5:$G$1004,Despiece!$A$5:$A$1004,A131))))</f>
        <v/>
      </c>
      <c r="M131" s="11" t="str">
        <f aca="false">IF(OR(A131="",E131=""),"",IFERROR(INDEX(Precios!$K$5:$K$84,MATCH(E131,Precios!$J$5:$J$84,0)),""))</f>
        <v/>
      </c>
      <c r="N131" s="11" t="str">
        <f aca="false">IF(A131="","",IFERROR(N(G131)*IF(F131="",0,INDEX(Precios!$N$5:$N$64,MATCH(F131,Precios!$M$5:$M$64,0)))+N(I131)*IF(H131="",0,INDEX(Precios!$N$5:$N$64,MATCH(H131,Precios!$M$5:$M$64,0))),""))</f>
        <v/>
      </c>
      <c r="O131" s="12" t="str">
        <f aca="false">IF(A131="","",IFERROR(L131+M131+N131,""))</f>
        <v/>
      </c>
      <c r="P131" s="30" t="str">
        <f aca="false">IF(A131="","",IF(ISNUMBER(O131),"Lista"&amp;IF(N(Precios!$Q$10)=0," (impresión en $0)",""),IF(J131=0,"Agregar piezas en Despiece. ",IF(COUNTIFS(Despiece!$A$5:$A$1004,A131,Despiece!$D$5:$D$1004,"&gt;0")&lt;J131,"Metros de "&amp;(J131-COUNTIFS(Despiece!$A$5:$A$1004,A131,Despiece!$D$5:$D$1004,"&gt;0"))&amp;" pieza(s). ",""))&amp;IF(COUNTIFS(Despiece!$A$5:$A$1004,A131,Despiece!$G$5:$G$1004,"falta*")&gt;0,"Precio o peso de 1 m de alguna tela. ","")&amp;IF(M131="","Tipo/precio de confección. ","")))</f>
        <v/>
      </c>
      <c r="Q131" s="28"/>
    </row>
    <row r="132" customFormat="false" ht="15" hidden="false" customHeight="false" outlineLevel="0" collapsed="false">
      <c r="A132" s="28"/>
      <c r="B132" s="28"/>
      <c r="C132" s="28"/>
      <c r="D132" s="28"/>
      <c r="E132" s="28"/>
      <c r="F132" s="10"/>
      <c r="G132" s="28"/>
      <c r="H132" s="10"/>
      <c r="I132" s="28"/>
      <c r="J132" s="8" t="str">
        <f aca="false">IF(A132="","",COUNTIF(Despiece!$A$5:$A$1004,A132))</f>
        <v/>
      </c>
      <c r="K132" s="29"/>
      <c r="L132" s="11" t="str">
        <f aca="false">IF(A132="","",IF(COUNTIFS(Despiece!$A$5:$A$1004,A132,Despiece!$D$5:$D$1004,"&gt;0")&lt;J132,"",IF(COUNTIFS(Despiece!$A$5:$A$1004,A132,Despiece!$G$5:$G$1004,"falta*")&gt;0,"",SUMIFS(Despiece!$G$5:$G$1004,Despiece!$A$5:$A$1004,A132))))</f>
        <v/>
      </c>
      <c r="M132" s="11" t="str">
        <f aca="false">IF(OR(A132="",E132=""),"",IFERROR(INDEX(Precios!$K$5:$K$84,MATCH(E132,Precios!$J$5:$J$84,0)),""))</f>
        <v/>
      </c>
      <c r="N132" s="11" t="str">
        <f aca="false">IF(A132="","",IFERROR(N(G132)*IF(F132="",0,INDEX(Precios!$N$5:$N$64,MATCH(F132,Precios!$M$5:$M$64,0)))+N(I132)*IF(H132="",0,INDEX(Precios!$N$5:$N$64,MATCH(H132,Precios!$M$5:$M$64,0))),""))</f>
        <v/>
      </c>
      <c r="O132" s="12" t="str">
        <f aca="false">IF(A132="","",IFERROR(L132+M132+N132,""))</f>
        <v/>
      </c>
      <c r="P132" s="30" t="str">
        <f aca="false">IF(A132="","",IF(ISNUMBER(O132),"Lista"&amp;IF(N(Precios!$Q$10)=0," (impresión en $0)",""),IF(J132=0,"Agregar piezas en Despiece. ",IF(COUNTIFS(Despiece!$A$5:$A$1004,A132,Despiece!$D$5:$D$1004,"&gt;0")&lt;J132,"Metros de "&amp;(J132-COUNTIFS(Despiece!$A$5:$A$1004,A132,Despiece!$D$5:$D$1004,"&gt;0"))&amp;" pieza(s). ",""))&amp;IF(COUNTIFS(Despiece!$A$5:$A$1004,A132,Despiece!$G$5:$G$1004,"falta*")&gt;0,"Precio o peso de 1 m de alguna tela. ","")&amp;IF(M132="","Tipo/precio de confección. ","")))</f>
        <v/>
      </c>
      <c r="Q132" s="28"/>
    </row>
    <row r="133" customFormat="false" ht="15" hidden="false" customHeight="false" outlineLevel="0" collapsed="false">
      <c r="A133" s="28"/>
      <c r="B133" s="28"/>
      <c r="C133" s="28"/>
      <c r="D133" s="28"/>
      <c r="E133" s="28"/>
      <c r="F133" s="10"/>
      <c r="G133" s="28"/>
      <c r="H133" s="10"/>
      <c r="I133" s="28"/>
      <c r="J133" s="8" t="str">
        <f aca="false">IF(A133="","",COUNTIF(Despiece!$A$5:$A$1004,A133))</f>
        <v/>
      </c>
      <c r="K133" s="29"/>
      <c r="L133" s="11" t="str">
        <f aca="false">IF(A133="","",IF(COUNTIFS(Despiece!$A$5:$A$1004,A133,Despiece!$D$5:$D$1004,"&gt;0")&lt;J133,"",IF(COUNTIFS(Despiece!$A$5:$A$1004,A133,Despiece!$G$5:$G$1004,"falta*")&gt;0,"",SUMIFS(Despiece!$G$5:$G$1004,Despiece!$A$5:$A$1004,A133))))</f>
        <v/>
      </c>
      <c r="M133" s="11" t="str">
        <f aca="false">IF(OR(A133="",E133=""),"",IFERROR(INDEX(Precios!$K$5:$K$84,MATCH(E133,Precios!$J$5:$J$84,0)),""))</f>
        <v/>
      </c>
      <c r="N133" s="11" t="str">
        <f aca="false">IF(A133="","",IFERROR(N(G133)*IF(F133="",0,INDEX(Precios!$N$5:$N$64,MATCH(F133,Precios!$M$5:$M$64,0)))+N(I133)*IF(H133="",0,INDEX(Precios!$N$5:$N$64,MATCH(H133,Precios!$M$5:$M$64,0))),""))</f>
        <v/>
      </c>
      <c r="O133" s="12" t="str">
        <f aca="false">IF(A133="","",IFERROR(L133+M133+N133,""))</f>
        <v/>
      </c>
      <c r="P133" s="30" t="str">
        <f aca="false">IF(A133="","",IF(ISNUMBER(O133),"Lista"&amp;IF(N(Precios!$Q$10)=0," (impresión en $0)",""),IF(J133=0,"Agregar piezas en Despiece. ",IF(COUNTIFS(Despiece!$A$5:$A$1004,A133,Despiece!$D$5:$D$1004,"&gt;0")&lt;J133,"Metros de "&amp;(J133-COUNTIFS(Despiece!$A$5:$A$1004,A133,Despiece!$D$5:$D$1004,"&gt;0"))&amp;" pieza(s). ",""))&amp;IF(COUNTIFS(Despiece!$A$5:$A$1004,A133,Despiece!$G$5:$G$1004,"falta*")&gt;0,"Precio o peso de 1 m de alguna tela. ","")&amp;IF(M133="","Tipo/precio de confección. ","")))</f>
        <v/>
      </c>
      <c r="Q133" s="28"/>
    </row>
    <row r="134" customFormat="false" ht="15" hidden="false" customHeight="false" outlineLevel="0" collapsed="false">
      <c r="A134" s="28"/>
      <c r="B134" s="28"/>
      <c r="C134" s="28"/>
      <c r="D134" s="28"/>
      <c r="E134" s="28"/>
      <c r="F134" s="10"/>
      <c r="G134" s="28"/>
      <c r="H134" s="10"/>
      <c r="I134" s="28"/>
      <c r="J134" s="8" t="str">
        <f aca="false">IF(A134="","",COUNTIF(Despiece!$A$5:$A$1004,A134))</f>
        <v/>
      </c>
      <c r="K134" s="29"/>
      <c r="L134" s="11" t="str">
        <f aca="false">IF(A134="","",IF(COUNTIFS(Despiece!$A$5:$A$1004,A134,Despiece!$D$5:$D$1004,"&gt;0")&lt;J134,"",IF(COUNTIFS(Despiece!$A$5:$A$1004,A134,Despiece!$G$5:$G$1004,"falta*")&gt;0,"",SUMIFS(Despiece!$G$5:$G$1004,Despiece!$A$5:$A$1004,A134))))</f>
        <v/>
      </c>
      <c r="M134" s="11" t="str">
        <f aca="false">IF(OR(A134="",E134=""),"",IFERROR(INDEX(Precios!$K$5:$K$84,MATCH(E134,Precios!$J$5:$J$84,0)),""))</f>
        <v/>
      </c>
      <c r="N134" s="11" t="str">
        <f aca="false">IF(A134="","",IFERROR(N(G134)*IF(F134="",0,INDEX(Precios!$N$5:$N$64,MATCH(F134,Precios!$M$5:$M$64,0)))+N(I134)*IF(H134="",0,INDEX(Precios!$N$5:$N$64,MATCH(H134,Precios!$M$5:$M$64,0))),""))</f>
        <v/>
      </c>
      <c r="O134" s="12" t="str">
        <f aca="false">IF(A134="","",IFERROR(L134+M134+N134,""))</f>
        <v/>
      </c>
      <c r="P134" s="30" t="str">
        <f aca="false">IF(A134="","",IF(ISNUMBER(O134),"Lista"&amp;IF(N(Precios!$Q$10)=0," (impresión en $0)",""),IF(J134=0,"Agregar piezas en Despiece. ",IF(COUNTIFS(Despiece!$A$5:$A$1004,A134,Despiece!$D$5:$D$1004,"&gt;0")&lt;J134,"Metros de "&amp;(J134-COUNTIFS(Despiece!$A$5:$A$1004,A134,Despiece!$D$5:$D$1004,"&gt;0"))&amp;" pieza(s). ",""))&amp;IF(COUNTIFS(Despiece!$A$5:$A$1004,A134,Despiece!$G$5:$G$1004,"falta*")&gt;0,"Precio o peso de 1 m de alguna tela. ","")&amp;IF(M134="","Tipo/precio de confección. ","")))</f>
        <v/>
      </c>
      <c r="Q134" s="28"/>
    </row>
    <row r="135" customFormat="false" ht="15" hidden="false" customHeight="false" outlineLevel="0" collapsed="false">
      <c r="A135" s="28"/>
      <c r="B135" s="28"/>
      <c r="C135" s="28"/>
      <c r="D135" s="28"/>
      <c r="E135" s="28"/>
      <c r="F135" s="10"/>
      <c r="G135" s="28"/>
      <c r="H135" s="10"/>
      <c r="I135" s="28"/>
      <c r="J135" s="8" t="str">
        <f aca="false">IF(A135="","",COUNTIF(Despiece!$A$5:$A$1004,A135))</f>
        <v/>
      </c>
      <c r="K135" s="29"/>
      <c r="L135" s="11" t="str">
        <f aca="false">IF(A135="","",IF(COUNTIFS(Despiece!$A$5:$A$1004,A135,Despiece!$D$5:$D$1004,"&gt;0")&lt;J135,"",IF(COUNTIFS(Despiece!$A$5:$A$1004,A135,Despiece!$G$5:$G$1004,"falta*")&gt;0,"",SUMIFS(Despiece!$G$5:$G$1004,Despiece!$A$5:$A$1004,A135))))</f>
        <v/>
      </c>
      <c r="M135" s="11" t="str">
        <f aca="false">IF(OR(A135="",E135=""),"",IFERROR(INDEX(Precios!$K$5:$K$84,MATCH(E135,Precios!$J$5:$J$84,0)),""))</f>
        <v/>
      </c>
      <c r="N135" s="11" t="str">
        <f aca="false">IF(A135="","",IFERROR(N(G135)*IF(F135="",0,INDEX(Precios!$N$5:$N$64,MATCH(F135,Precios!$M$5:$M$64,0)))+N(I135)*IF(H135="",0,INDEX(Precios!$N$5:$N$64,MATCH(H135,Precios!$M$5:$M$64,0))),""))</f>
        <v/>
      </c>
      <c r="O135" s="12" t="str">
        <f aca="false">IF(A135="","",IFERROR(L135+M135+N135,""))</f>
        <v/>
      </c>
      <c r="P135" s="30" t="str">
        <f aca="false">IF(A135="","",IF(ISNUMBER(O135),"Lista"&amp;IF(N(Precios!$Q$10)=0," (impresión en $0)",""),IF(J135=0,"Agregar piezas en Despiece. ",IF(COUNTIFS(Despiece!$A$5:$A$1004,A135,Despiece!$D$5:$D$1004,"&gt;0")&lt;J135,"Metros de "&amp;(J135-COUNTIFS(Despiece!$A$5:$A$1004,A135,Despiece!$D$5:$D$1004,"&gt;0"))&amp;" pieza(s). ",""))&amp;IF(COUNTIFS(Despiece!$A$5:$A$1004,A135,Despiece!$G$5:$G$1004,"falta*")&gt;0,"Precio o peso de 1 m de alguna tela. ","")&amp;IF(M135="","Tipo/precio de confección. ","")))</f>
        <v/>
      </c>
      <c r="Q135" s="28"/>
    </row>
    <row r="136" customFormat="false" ht="15" hidden="false" customHeight="false" outlineLevel="0" collapsed="false">
      <c r="A136" s="28"/>
      <c r="B136" s="28"/>
      <c r="C136" s="28"/>
      <c r="D136" s="28"/>
      <c r="E136" s="28"/>
      <c r="F136" s="10"/>
      <c r="G136" s="28"/>
      <c r="H136" s="10"/>
      <c r="I136" s="28"/>
      <c r="J136" s="8" t="str">
        <f aca="false">IF(A136="","",COUNTIF(Despiece!$A$5:$A$1004,A136))</f>
        <v/>
      </c>
      <c r="K136" s="29"/>
      <c r="L136" s="11" t="str">
        <f aca="false">IF(A136="","",IF(COUNTIFS(Despiece!$A$5:$A$1004,A136,Despiece!$D$5:$D$1004,"&gt;0")&lt;J136,"",IF(COUNTIFS(Despiece!$A$5:$A$1004,A136,Despiece!$G$5:$G$1004,"falta*")&gt;0,"",SUMIFS(Despiece!$G$5:$G$1004,Despiece!$A$5:$A$1004,A136))))</f>
        <v/>
      </c>
      <c r="M136" s="11" t="str">
        <f aca="false">IF(OR(A136="",E136=""),"",IFERROR(INDEX(Precios!$K$5:$K$84,MATCH(E136,Precios!$J$5:$J$84,0)),""))</f>
        <v/>
      </c>
      <c r="N136" s="11" t="str">
        <f aca="false">IF(A136="","",IFERROR(N(G136)*IF(F136="",0,INDEX(Precios!$N$5:$N$64,MATCH(F136,Precios!$M$5:$M$64,0)))+N(I136)*IF(H136="",0,INDEX(Precios!$N$5:$N$64,MATCH(H136,Precios!$M$5:$M$64,0))),""))</f>
        <v/>
      </c>
      <c r="O136" s="12" t="str">
        <f aca="false">IF(A136="","",IFERROR(L136+M136+N136,""))</f>
        <v/>
      </c>
      <c r="P136" s="30" t="str">
        <f aca="false">IF(A136="","",IF(ISNUMBER(O136),"Lista"&amp;IF(N(Precios!$Q$10)=0," (impresión en $0)",""),IF(J136=0,"Agregar piezas en Despiece. ",IF(COUNTIFS(Despiece!$A$5:$A$1004,A136,Despiece!$D$5:$D$1004,"&gt;0")&lt;J136,"Metros de "&amp;(J136-COUNTIFS(Despiece!$A$5:$A$1004,A136,Despiece!$D$5:$D$1004,"&gt;0"))&amp;" pieza(s). ",""))&amp;IF(COUNTIFS(Despiece!$A$5:$A$1004,A136,Despiece!$G$5:$G$1004,"falta*")&gt;0,"Precio o peso de 1 m de alguna tela. ","")&amp;IF(M136="","Tipo/precio de confección. ","")))</f>
        <v/>
      </c>
      <c r="Q136" s="28"/>
    </row>
    <row r="137" customFormat="false" ht="15" hidden="false" customHeight="false" outlineLevel="0" collapsed="false">
      <c r="A137" s="28"/>
      <c r="B137" s="28"/>
      <c r="C137" s="28"/>
      <c r="D137" s="28"/>
      <c r="E137" s="28"/>
      <c r="F137" s="10"/>
      <c r="G137" s="28"/>
      <c r="H137" s="10"/>
      <c r="I137" s="28"/>
      <c r="J137" s="8" t="str">
        <f aca="false">IF(A137="","",COUNTIF(Despiece!$A$5:$A$1004,A137))</f>
        <v/>
      </c>
      <c r="K137" s="29"/>
      <c r="L137" s="11" t="str">
        <f aca="false">IF(A137="","",IF(COUNTIFS(Despiece!$A$5:$A$1004,A137,Despiece!$D$5:$D$1004,"&gt;0")&lt;J137,"",IF(COUNTIFS(Despiece!$A$5:$A$1004,A137,Despiece!$G$5:$G$1004,"falta*")&gt;0,"",SUMIFS(Despiece!$G$5:$G$1004,Despiece!$A$5:$A$1004,A137))))</f>
        <v/>
      </c>
      <c r="M137" s="11" t="str">
        <f aca="false">IF(OR(A137="",E137=""),"",IFERROR(INDEX(Precios!$K$5:$K$84,MATCH(E137,Precios!$J$5:$J$84,0)),""))</f>
        <v/>
      </c>
      <c r="N137" s="11" t="str">
        <f aca="false">IF(A137="","",IFERROR(N(G137)*IF(F137="",0,INDEX(Precios!$N$5:$N$64,MATCH(F137,Precios!$M$5:$M$64,0)))+N(I137)*IF(H137="",0,INDEX(Precios!$N$5:$N$64,MATCH(H137,Precios!$M$5:$M$64,0))),""))</f>
        <v/>
      </c>
      <c r="O137" s="12" t="str">
        <f aca="false">IF(A137="","",IFERROR(L137+M137+N137,""))</f>
        <v/>
      </c>
      <c r="P137" s="30" t="str">
        <f aca="false">IF(A137="","",IF(ISNUMBER(O137),"Lista"&amp;IF(N(Precios!$Q$10)=0," (impresión en $0)",""),IF(J137=0,"Agregar piezas en Despiece. ",IF(COUNTIFS(Despiece!$A$5:$A$1004,A137,Despiece!$D$5:$D$1004,"&gt;0")&lt;J137,"Metros de "&amp;(J137-COUNTIFS(Despiece!$A$5:$A$1004,A137,Despiece!$D$5:$D$1004,"&gt;0"))&amp;" pieza(s). ",""))&amp;IF(COUNTIFS(Despiece!$A$5:$A$1004,A137,Despiece!$G$5:$G$1004,"falta*")&gt;0,"Precio o peso de 1 m de alguna tela. ","")&amp;IF(M137="","Tipo/precio de confección. ","")))</f>
        <v/>
      </c>
      <c r="Q137" s="28"/>
    </row>
    <row r="138" customFormat="false" ht="15" hidden="false" customHeight="false" outlineLevel="0" collapsed="false">
      <c r="A138" s="28"/>
      <c r="B138" s="28"/>
      <c r="C138" s="28"/>
      <c r="D138" s="28"/>
      <c r="E138" s="28"/>
      <c r="F138" s="10"/>
      <c r="G138" s="28"/>
      <c r="H138" s="10"/>
      <c r="I138" s="28"/>
      <c r="J138" s="8" t="str">
        <f aca="false">IF(A138="","",COUNTIF(Despiece!$A$5:$A$1004,A138))</f>
        <v/>
      </c>
      <c r="K138" s="29"/>
      <c r="L138" s="11" t="str">
        <f aca="false">IF(A138="","",IF(COUNTIFS(Despiece!$A$5:$A$1004,A138,Despiece!$D$5:$D$1004,"&gt;0")&lt;J138,"",IF(COUNTIFS(Despiece!$A$5:$A$1004,A138,Despiece!$G$5:$G$1004,"falta*")&gt;0,"",SUMIFS(Despiece!$G$5:$G$1004,Despiece!$A$5:$A$1004,A138))))</f>
        <v/>
      </c>
      <c r="M138" s="11" t="str">
        <f aca="false">IF(OR(A138="",E138=""),"",IFERROR(INDEX(Precios!$K$5:$K$84,MATCH(E138,Precios!$J$5:$J$84,0)),""))</f>
        <v/>
      </c>
      <c r="N138" s="11" t="str">
        <f aca="false">IF(A138="","",IFERROR(N(G138)*IF(F138="",0,INDEX(Precios!$N$5:$N$64,MATCH(F138,Precios!$M$5:$M$64,0)))+N(I138)*IF(H138="",0,INDEX(Precios!$N$5:$N$64,MATCH(H138,Precios!$M$5:$M$64,0))),""))</f>
        <v/>
      </c>
      <c r="O138" s="12" t="str">
        <f aca="false">IF(A138="","",IFERROR(L138+M138+N138,""))</f>
        <v/>
      </c>
      <c r="P138" s="30" t="str">
        <f aca="false">IF(A138="","",IF(ISNUMBER(O138),"Lista"&amp;IF(N(Precios!$Q$10)=0," (impresión en $0)",""),IF(J138=0,"Agregar piezas en Despiece. ",IF(COUNTIFS(Despiece!$A$5:$A$1004,A138,Despiece!$D$5:$D$1004,"&gt;0")&lt;J138,"Metros de "&amp;(J138-COUNTIFS(Despiece!$A$5:$A$1004,A138,Despiece!$D$5:$D$1004,"&gt;0"))&amp;" pieza(s). ",""))&amp;IF(COUNTIFS(Despiece!$A$5:$A$1004,A138,Despiece!$G$5:$G$1004,"falta*")&gt;0,"Precio o peso de 1 m de alguna tela. ","")&amp;IF(M138="","Tipo/precio de confección. ","")))</f>
        <v/>
      </c>
      <c r="Q138" s="28"/>
    </row>
    <row r="139" customFormat="false" ht="15" hidden="false" customHeight="false" outlineLevel="0" collapsed="false">
      <c r="A139" s="28"/>
      <c r="B139" s="28"/>
      <c r="C139" s="28"/>
      <c r="D139" s="28"/>
      <c r="E139" s="28"/>
      <c r="F139" s="10"/>
      <c r="G139" s="28"/>
      <c r="H139" s="10"/>
      <c r="I139" s="28"/>
      <c r="J139" s="8" t="str">
        <f aca="false">IF(A139="","",COUNTIF(Despiece!$A$5:$A$1004,A139))</f>
        <v/>
      </c>
      <c r="K139" s="29"/>
      <c r="L139" s="11" t="str">
        <f aca="false">IF(A139="","",IF(COUNTIFS(Despiece!$A$5:$A$1004,A139,Despiece!$D$5:$D$1004,"&gt;0")&lt;J139,"",IF(COUNTIFS(Despiece!$A$5:$A$1004,A139,Despiece!$G$5:$G$1004,"falta*")&gt;0,"",SUMIFS(Despiece!$G$5:$G$1004,Despiece!$A$5:$A$1004,A139))))</f>
        <v/>
      </c>
      <c r="M139" s="11" t="str">
        <f aca="false">IF(OR(A139="",E139=""),"",IFERROR(INDEX(Precios!$K$5:$K$84,MATCH(E139,Precios!$J$5:$J$84,0)),""))</f>
        <v/>
      </c>
      <c r="N139" s="11" t="str">
        <f aca="false">IF(A139="","",IFERROR(N(G139)*IF(F139="",0,INDEX(Precios!$N$5:$N$64,MATCH(F139,Precios!$M$5:$M$64,0)))+N(I139)*IF(H139="",0,INDEX(Precios!$N$5:$N$64,MATCH(H139,Precios!$M$5:$M$64,0))),""))</f>
        <v/>
      </c>
      <c r="O139" s="12" t="str">
        <f aca="false">IF(A139="","",IFERROR(L139+M139+N139,""))</f>
        <v/>
      </c>
      <c r="P139" s="30" t="str">
        <f aca="false">IF(A139="","",IF(ISNUMBER(O139),"Lista"&amp;IF(N(Precios!$Q$10)=0," (impresión en $0)",""),IF(J139=0,"Agregar piezas en Despiece. ",IF(COUNTIFS(Despiece!$A$5:$A$1004,A139,Despiece!$D$5:$D$1004,"&gt;0")&lt;J139,"Metros de "&amp;(J139-COUNTIFS(Despiece!$A$5:$A$1004,A139,Despiece!$D$5:$D$1004,"&gt;0"))&amp;" pieza(s). ",""))&amp;IF(COUNTIFS(Despiece!$A$5:$A$1004,A139,Despiece!$G$5:$G$1004,"falta*")&gt;0,"Precio o peso de 1 m de alguna tela. ","")&amp;IF(M139="","Tipo/precio de confección. ","")))</f>
        <v/>
      </c>
      <c r="Q139" s="28"/>
    </row>
    <row r="140" customFormat="false" ht="15" hidden="false" customHeight="false" outlineLevel="0" collapsed="false">
      <c r="A140" s="28"/>
      <c r="B140" s="28"/>
      <c r="C140" s="28"/>
      <c r="D140" s="28"/>
      <c r="E140" s="28"/>
      <c r="F140" s="10"/>
      <c r="G140" s="28"/>
      <c r="H140" s="10"/>
      <c r="I140" s="28"/>
      <c r="J140" s="8" t="str">
        <f aca="false">IF(A140="","",COUNTIF(Despiece!$A$5:$A$1004,A140))</f>
        <v/>
      </c>
      <c r="K140" s="29"/>
      <c r="L140" s="11" t="str">
        <f aca="false">IF(A140="","",IF(COUNTIFS(Despiece!$A$5:$A$1004,A140,Despiece!$D$5:$D$1004,"&gt;0")&lt;J140,"",IF(COUNTIFS(Despiece!$A$5:$A$1004,A140,Despiece!$G$5:$G$1004,"falta*")&gt;0,"",SUMIFS(Despiece!$G$5:$G$1004,Despiece!$A$5:$A$1004,A140))))</f>
        <v/>
      </c>
      <c r="M140" s="11" t="str">
        <f aca="false">IF(OR(A140="",E140=""),"",IFERROR(INDEX(Precios!$K$5:$K$84,MATCH(E140,Precios!$J$5:$J$84,0)),""))</f>
        <v/>
      </c>
      <c r="N140" s="11" t="str">
        <f aca="false">IF(A140="","",IFERROR(N(G140)*IF(F140="",0,INDEX(Precios!$N$5:$N$64,MATCH(F140,Precios!$M$5:$M$64,0)))+N(I140)*IF(H140="",0,INDEX(Precios!$N$5:$N$64,MATCH(H140,Precios!$M$5:$M$64,0))),""))</f>
        <v/>
      </c>
      <c r="O140" s="12" t="str">
        <f aca="false">IF(A140="","",IFERROR(L140+M140+N140,""))</f>
        <v/>
      </c>
      <c r="P140" s="30" t="str">
        <f aca="false">IF(A140="","",IF(ISNUMBER(O140),"Lista"&amp;IF(N(Precios!$Q$10)=0," (impresión en $0)",""),IF(J140=0,"Agregar piezas en Despiece. ",IF(COUNTIFS(Despiece!$A$5:$A$1004,A140,Despiece!$D$5:$D$1004,"&gt;0")&lt;J140,"Metros de "&amp;(J140-COUNTIFS(Despiece!$A$5:$A$1004,A140,Despiece!$D$5:$D$1004,"&gt;0"))&amp;" pieza(s). ",""))&amp;IF(COUNTIFS(Despiece!$A$5:$A$1004,A140,Despiece!$G$5:$G$1004,"falta*")&gt;0,"Precio o peso de 1 m de alguna tela. ","")&amp;IF(M140="","Tipo/precio de confección. ","")))</f>
        <v/>
      </c>
      <c r="Q140" s="28"/>
    </row>
    <row r="141" customFormat="false" ht="15" hidden="false" customHeight="false" outlineLevel="0" collapsed="false">
      <c r="A141" s="28"/>
      <c r="B141" s="28"/>
      <c r="C141" s="28"/>
      <c r="D141" s="28"/>
      <c r="E141" s="28"/>
      <c r="F141" s="10"/>
      <c r="G141" s="28"/>
      <c r="H141" s="10"/>
      <c r="I141" s="28"/>
      <c r="J141" s="8" t="str">
        <f aca="false">IF(A141="","",COUNTIF(Despiece!$A$5:$A$1004,A141))</f>
        <v/>
      </c>
      <c r="K141" s="29"/>
      <c r="L141" s="11" t="str">
        <f aca="false">IF(A141="","",IF(COUNTIFS(Despiece!$A$5:$A$1004,A141,Despiece!$D$5:$D$1004,"&gt;0")&lt;J141,"",IF(COUNTIFS(Despiece!$A$5:$A$1004,A141,Despiece!$G$5:$G$1004,"falta*")&gt;0,"",SUMIFS(Despiece!$G$5:$G$1004,Despiece!$A$5:$A$1004,A141))))</f>
        <v/>
      </c>
      <c r="M141" s="11" t="str">
        <f aca="false">IF(OR(A141="",E141=""),"",IFERROR(INDEX(Precios!$K$5:$K$84,MATCH(E141,Precios!$J$5:$J$84,0)),""))</f>
        <v/>
      </c>
      <c r="N141" s="11" t="str">
        <f aca="false">IF(A141="","",IFERROR(N(G141)*IF(F141="",0,INDEX(Precios!$N$5:$N$64,MATCH(F141,Precios!$M$5:$M$64,0)))+N(I141)*IF(H141="",0,INDEX(Precios!$N$5:$N$64,MATCH(H141,Precios!$M$5:$M$64,0))),""))</f>
        <v/>
      </c>
      <c r="O141" s="12" t="str">
        <f aca="false">IF(A141="","",IFERROR(L141+M141+N141,""))</f>
        <v/>
      </c>
      <c r="P141" s="30" t="str">
        <f aca="false">IF(A141="","",IF(ISNUMBER(O141),"Lista"&amp;IF(N(Precios!$Q$10)=0," (impresión en $0)",""),IF(J141=0,"Agregar piezas en Despiece. ",IF(COUNTIFS(Despiece!$A$5:$A$1004,A141,Despiece!$D$5:$D$1004,"&gt;0")&lt;J141,"Metros de "&amp;(J141-COUNTIFS(Despiece!$A$5:$A$1004,A141,Despiece!$D$5:$D$1004,"&gt;0"))&amp;" pieza(s). ",""))&amp;IF(COUNTIFS(Despiece!$A$5:$A$1004,A141,Despiece!$G$5:$G$1004,"falta*")&gt;0,"Precio o peso de 1 m de alguna tela. ","")&amp;IF(M141="","Tipo/precio de confección. ","")))</f>
        <v/>
      </c>
      <c r="Q141" s="28"/>
    </row>
    <row r="142" customFormat="false" ht="15" hidden="false" customHeight="false" outlineLevel="0" collapsed="false">
      <c r="A142" s="28"/>
      <c r="B142" s="28"/>
      <c r="C142" s="28"/>
      <c r="D142" s="28"/>
      <c r="E142" s="28"/>
      <c r="F142" s="10"/>
      <c r="G142" s="28"/>
      <c r="H142" s="10"/>
      <c r="I142" s="28"/>
      <c r="J142" s="8" t="str">
        <f aca="false">IF(A142="","",COUNTIF(Despiece!$A$5:$A$1004,A142))</f>
        <v/>
      </c>
      <c r="K142" s="29"/>
      <c r="L142" s="11" t="str">
        <f aca="false">IF(A142="","",IF(COUNTIFS(Despiece!$A$5:$A$1004,A142,Despiece!$D$5:$D$1004,"&gt;0")&lt;J142,"",IF(COUNTIFS(Despiece!$A$5:$A$1004,A142,Despiece!$G$5:$G$1004,"falta*")&gt;0,"",SUMIFS(Despiece!$G$5:$G$1004,Despiece!$A$5:$A$1004,A142))))</f>
        <v/>
      </c>
      <c r="M142" s="11" t="str">
        <f aca="false">IF(OR(A142="",E142=""),"",IFERROR(INDEX(Precios!$K$5:$K$84,MATCH(E142,Precios!$J$5:$J$84,0)),""))</f>
        <v/>
      </c>
      <c r="N142" s="11" t="str">
        <f aca="false">IF(A142="","",IFERROR(N(G142)*IF(F142="",0,INDEX(Precios!$N$5:$N$64,MATCH(F142,Precios!$M$5:$M$64,0)))+N(I142)*IF(H142="",0,INDEX(Precios!$N$5:$N$64,MATCH(H142,Precios!$M$5:$M$64,0))),""))</f>
        <v/>
      </c>
      <c r="O142" s="12" t="str">
        <f aca="false">IF(A142="","",IFERROR(L142+M142+N142,""))</f>
        <v/>
      </c>
      <c r="P142" s="30" t="str">
        <f aca="false">IF(A142="","",IF(ISNUMBER(O142),"Lista"&amp;IF(N(Precios!$Q$10)=0," (impresión en $0)",""),IF(J142=0,"Agregar piezas en Despiece. ",IF(COUNTIFS(Despiece!$A$5:$A$1004,A142,Despiece!$D$5:$D$1004,"&gt;0")&lt;J142,"Metros de "&amp;(J142-COUNTIFS(Despiece!$A$5:$A$1004,A142,Despiece!$D$5:$D$1004,"&gt;0"))&amp;" pieza(s). ",""))&amp;IF(COUNTIFS(Despiece!$A$5:$A$1004,A142,Despiece!$G$5:$G$1004,"falta*")&gt;0,"Precio o peso de 1 m de alguna tela. ","")&amp;IF(M142="","Tipo/precio de confección. ","")))</f>
        <v/>
      </c>
      <c r="Q142" s="28"/>
    </row>
    <row r="143" customFormat="false" ht="15" hidden="false" customHeight="false" outlineLevel="0" collapsed="false">
      <c r="A143" s="28"/>
      <c r="B143" s="28"/>
      <c r="C143" s="28"/>
      <c r="D143" s="28"/>
      <c r="E143" s="28"/>
      <c r="F143" s="10"/>
      <c r="G143" s="28"/>
      <c r="H143" s="10"/>
      <c r="I143" s="28"/>
      <c r="J143" s="8" t="str">
        <f aca="false">IF(A143="","",COUNTIF(Despiece!$A$5:$A$1004,A143))</f>
        <v/>
      </c>
      <c r="K143" s="29"/>
      <c r="L143" s="11" t="str">
        <f aca="false">IF(A143="","",IF(COUNTIFS(Despiece!$A$5:$A$1004,A143,Despiece!$D$5:$D$1004,"&gt;0")&lt;J143,"",IF(COUNTIFS(Despiece!$A$5:$A$1004,A143,Despiece!$G$5:$G$1004,"falta*")&gt;0,"",SUMIFS(Despiece!$G$5:$G$1004,Despiece!$A$5:$A$1004,A143))))</f>
        <v/>
      </c>
      <c r="M143" s="11" t="str">
        <f aca="false">IF(OR(A143="",E143=""),"",IFERROR(INDEX(Precios!$K$5:$K$84,MATCH(E143,Precios!$J$5:$J$84,0)),""))</f>
        <v/>
      </c>
      <c r="N143" s="11" t="str">
        <f aca="false">IF(A143="","",IFERROR(N(G143)*IF(F143="",0,INDEX(Precios!$N$5:$N$64,MATCH(F143,Precios!$M$5:$M$64,0)))+N(I143)*IF(H143="",0,INDEX(Precios!$N$5:$N$64,MATCH(H143,Precios!$M$5:$M$64,0))),""))</f>
        <v/>
      </c>
      <c r="O143" s="12" t="str">
        <f aca="false">IF(A143="","",IFERROR(L143+M143+N143,""))</f>
        <v/>
      </c>
      <c r="P143" s="30" t="str">
        <f aca="false">IF(A143="","",IF(ISNUMBER(O143),"Lista"&amp;IF(N(Precios!$Q$10)=0," (impresión en $0)",""),IF(J143=0,"Agregar piezas en Despiece. ",IF(COUNTIFS(Despiece!$A$5:$A$1004,A143,Despiece!$D$5:$D$1004,"&gt;0")&lt;J143,"Metros de "&amp;(J143-COUNTIFS(Despiece!$A$5:$A$1004,A143,Despiece!$D$5:$D$1004,"&gt;0"))&amp;" pieza(s). ",""))&amp;IF(COUNTIFS(Despiece!$A$5:$A$1004,A143,Despiece!$G$5:$G$1004,"falta*")&gt;0,"Precio o peso de 1 m de alguna tela. ","")&amp;IF(M143="","Tipo/precio de confección. ","")))</f>
        <v/>
      </c>
      <c r="Q143" s="28"/>
    </row>
    <row r="144" customFormat="false" ht="15" hidden="false" customHeight="false" outlineLevel="0" collapsed="false">
      <c r="A144" s="28"/>
      <c r="B144" s="28"/>
      <c r="C144" s="28"/>
      <c r="D144" s="28"/>
      <c r="E144" s="28"/>
      <c r="F144" s="10"/>
      <c r="G144" s="28"/>
      <c r="H144" s="10"/>
      <c r="I144" s="28"/>
      <c r="J144" s="8" t="str">
        <f aca="false">IF(A144="","",COUNTIF(Despiece!$A$5:$A$1004,A144))</f>
        <v/>
      </c>
      <c r="K144" s="29"/>
      <c r="L144" s="11" t="str">
        <f aca="false">IF(A144="","",IF(COUNTIFS(Despiece!$A$5:$A$1004,A144,Despiece!$D$5:$D$1004,"&gt;0")&lt;J144,"",IF(COUNTIFS(Despiece!$A$5:$A$1004,A144,Despiece!$G$5:$G$1004,"falta*")&gt;0,"",SUMIFS(Despiece!$G$5:$G$1004,Despiece!$A$5:$A$1004,A144))))</f>
        <v/>
      </c>
      <c r="M144" s="11" t="str">
        <f aca="false">IF(OR(A144="",E144=""),"",IFERROR(INDEX(Precios!$K$5:$K$84,MATCH(E144,Precios!$J$5:$J$84,0)),""))</f>
        <v/>
      </c>
      <c r="N144" s="11" t="str">
        <f aca="false">IF(A144="","",IFERROR(N(G144)*IF(F144="",0,INDEX(Precios!$N$5:$N$64,MATCH(F144,Precios!$M$5:$M$64,0)))+N(I144)*IF(H144="",0,INDEX(Precios!$N$5:$N$64,MATCH(H144,Precios!$M$5:$M$64,0))),""))</f>
        <v/>
      </c>
      <c r="O144" s="12" t="str">
        <f aca="false">IF(A144="","",IFERROR(L144+M144+N144,""))</f>
        <v/>
      </c>
      <c r="P144" s="30" t="str">
        <f aca="false">IF(A144="","",IF(ISNUMBER(O144),"Lista"&amp;IF(N(Precios!$Q$10)=0," (impresión en $0)",""),IF(J144=0,"Agregar piezas en Despiece. ",IF(COUNTIFS(Despiece!$A$5:$A$1004,A144,Despiece!$D$5:$D$1004,"&gt;0")&lt;J144,"Metros de "&amp;(J144-COUNTIFS(Despiece!$A$5:$A$1004,A144,Despiece!$D$5:$D$1004,"&gt;0"))&amp;" pieza(s). ",""))&amp;IF(COUNTIFS(Despiece!$A$5:$A$1004,A144,Despiece!$G$5:$G$1004,"falta*")&gt;0,"Precio o peso de 1 m de alguna tela. ","")&amp;IF(M144="","Tipo/precio de confección. ","")))</f>
        <v/>
      </c>
      <c r="Q144" s="28"/>
    </row>
    <row r="145" customFormat="false" ht="15" hidden="false" customHeight="false" outlineLevel="0" collapsed="false">
      <c r="A145" s="28"/>
      <c r="B145" s="28"/>
      <c r="C145" s="28"/>
      <c r="D145" s="28"/>
      <c r="E145" s="28"/>
      <c r="F145" s="10"/>
      <c r="G145" s="28"/>
      <c r="H145" s="10"/>
      <c r="I145" s="28"/>
      <c r="J145" s="8" t="str">
        <f aca="false">IF(A145="","",COUNTIF(Despiece!$A$5:$A$1004,A145))</f>
        <v/>
      </c>
      <c r="K145" s="29"/>
      <c r="L145" s="11" t="str">
        <f aca="false">IF(A145="","",IF(COUNTIFS(Despiece!$A$5:$A$1004,A145,Despiece!$D$5:$D$1004,"&gt;0")&lt;J145,"",IF(COUNTIFS(Despiece!$A$5:$A$1004,A145,Despiece!$G$5:$G$1004,"falta*")&gt;0,"",SUMIFS(Despiece!$G$5:$G$1004,Despiece!$A$5:$A$1004,A145))))</f>
        <v/>
      </c>
      <c r="M145" s="11" t="str">
        <f aca="false">IF(OR(A145="",E145=""),"",IFERROR(INDEX(Precios!$K$5:$K$84,MATCH(E145,Precios!$J$5:$J$84,0)),""))</f>
        <v/>
      </c>
      <c r="N145" s="11" t="str">
        <f aca="false">IF(A145="","",IFERROR(N(G145)*IF(F145="",0,INDEX(Precios!$N$5:$N$64,MATCH(F145,Precios!$M$5:$M$64,0)))+N(I145)*IF(H145="",0,INDEX(Precios!$N$5:$N$64,MATCH(H145,Precios!$M$5:$M$64,0))),""))</f>
        <v/>
      </c>
      <c r="O145" s="12" t="str">
        <f aca="false">IF(A145="","",IFERROR(L145+M145+N145,""))</f>
        <v/>
      </c>
      <c r="P145" s="30" t="str">
        <f aca="false">IF(A145="","",IF(ISNUMBER(O145),"Lista"&amp;IF(N(Precios!$Q$10)=0," (impresión en $0)",""),IF(J145=0,"Agregar piezas en Despiece. ",IF(COUNTIFS(Despiece!$A$5:$A$1004,A145,Despiece!$D$5:$D$1004,"&gt;0")&lt;J145,"Metros de "&amp;(J145-COUNTIFS(Despiece!$A$5:$A$1004,A145,Despiece!$D$5:$D$1004,"&gt;0"))&amp;" pieza(s). ",""))&amp;IF(COUNTIFS(Despiece!$A$5:$A$1004,A145,Despiece!$G$5:$G$1004,"falta*")&gt;0,"Precio o peso de 1 m de alguna tela. ","")&amp;IF(M145="","Tipo/precio de confección. ","")))</f>
        <v/>
      </c>
      <c r="Q145" s="28"/>
    </row>
    <row r="146" customFormat="false" ht="15" hidden="false" customHeight="false" outlineLevel="0" collapsed="false">
      <c r="A146" s="28"/>
      <c r="B146" s="28"/>
      <c r="C146" s="28"/>
      <c r="D146" s="28"/>
      <c r="E146" s="28"/>
      <c r="F146" s="10"/>
      <c r="G146" s="28"/>
      <c r="H146" s="10"/>
      <c r="I146" s="28"/>
      <c r="J146" s="8" t="str">
        <f aca="false">IF(A146="","",COUNTIF(Despiece!$A$5:$A$1004,A146))</f>
        <v/>
      </c>
      <c r="K146" s="29"/>
      <c r="L146" s="11" t="str">
        <f aca="false">IF(A146="","",IF(COUNTIFS(Despiece!$A$5:$A$1004,A146,Despiece!$D$5:$D$1004,"&gt;0")&lt;J146,"",IF(COUNTIFS(Despiece!$A$5:$A$1004,A146,Despiece!$G$5:$G$1004,"falta*")&gt;0,"",SUMIFS(Despiece!$G$5:$G$1004,Despiece!$A$5:$A$1004,A146))))</f>
        <v/>
      </c>
      <c r="M146" s="11" t="str">
        <f aca="false">IF(OR(A146="",E146=""),"",IFERROR(INDEX(Precios!$K$5:$K$84,MATCH(E146,Precios!$J$5:$J$84,0)),""))</f>
        <v/>
      </c>
      <c r="N146" s="11" t="str">
        <f aca="false">IF(A146="","",IFERROR(N(G146)*IF(F146="",0,INDEX(Precios!$N$5:$N$64,MATCH(F146,Precios!$M$5:$M$64,0)))+N(I146)*IF(H146="",0,INDEX(Precios!$N$5:$N$64,MATCH(H146,Precios!$M$5:$M$64,0))),""))</f>
        <v/>
      </c>
      <c r="O146" s="12" t="str">
        <f aca="false">IF(A146="","",IFERROR(L146+M146+N146,""))</f>
        <v/>
      </c>
      <c r="P146" s="30" t="str">
        <f aca="false">IF(A146="","",IF(ISNUMBER(O146),"Lista"&amp;IF(N(Precios!$Q$10)=0," (impresión en $0)",""),IF(J146=0,"Agregar piezas en Despiece. ",IF(COUNTIFS(Despiece!$A$5:$A$1004,A146,Despiece!$D$5:$D$1004,"&gt;0")&lt;J146,"Metros de "&amp;(J146-COUNTIFS(Despiece!$A$5:$A$1004,A146,Despiece!$D$5:$D$1004,"&gt;0"))&amp;" pieza(s). ",""))&amp;IF(COUNTIFS(Despiece!$A$5:$A$1004,A146,Despiece!$G$5:$G$1004,"falta*")&gt;0,"Precio o peso de 1 m de alguna tela. ","")&amp;IF(M146="","Tipo/precio de confección. ","")))</f>
        <v/>
      </c>
      <c r="Q146" s="28"/>
    </row>
    <row r="147" customFormat="false" ht="15" hidden="false" customHeight="false" outlineLevel="0" collapsed="false">
      <c r="A147" s="28"/>
      <c r="B147" s="28"/>
      <c r="C147" s="28"/>
      <c r="D147" s="28"/>
      <c r="E147" s="28"/>
      <c r="F147" s="10"/>
      <c r="G147" s="28"/>
      <c r="H147" s="10"/>
      <c r="I147" s="28"/>
      <c r="J147" s="8" t="str">
        <f aca="false">IF(A147="","",COUNTIF(Despiece!$A$5:$A$1004,A147))</f>
        <v/>
      </c>
      <c r="K147" s="29"/>
      <c r="L147" s="11" t="str">
        <f aca="false">IF(A147="","",IF(COUNTIFS(Despiece!$A$5:$A$1004,A147,Despiece!$D$5:$D$1004,"&gt;0")&lt;J147,"",IF(COUNTIFS(Despiece!$A$5:$A$1004,A147,Despiece!$G$5:$G$1004,"falta*")&gt;0,"",SUMIFS(Despiece!$G$5:$G$1004,Despiece!$A$5:$A$1004,A147))))</f>
        <v/>
      </c>
      <c r="M147" s="11" t="str">
        <f aca="false">IF(OR(A147="",E147=""),"",IFERROR(INDEX(Precios!$K$5:$K$84,MATCH(E147,Precios!$J$5:$J$84,0)),""))</f>
        <v/>
      </c>
      <c r="N147" s="11" t="str">
        <f aca="false">IF(A147="","",IFERROR(N(G147)*IF(F147="",0,INDEX(Precios!$N$5:$N$64,MATCH(F147,Precios!$M$5:$M$64,0)))+N(I147)*IF(H147="",0,INDEX(Precios!$N$5:$N$64,MATCH(H147,Precios!$M$5:$M$64,0))),""))</f>
        <v/>
      </c>
      <c r="O147" s="12" t="str">
        <f aca="false">IF(A147="","",IFERROR(L147+M147+N147,""))</f>
        <v/>
      </c>
      <c r="P147" s="30" t="str">
        <f aca="false">IF(A147="","",IF(ISNUMBER(O147),"Lista"&amp;IF(N(Precios!$Q$10)=0," (impresión en $0)",""),IF(J147=0,"Agregar piezas en Despiece. ",IF(COUNTIFS(Despiece!$A$5:$A$1004,A147,Despiece!$D$5:$D$1004,"&gt;0")&lt;J147,"Metros de "&amp;(J147-COUNTIFS(Despiece!$A$5:$A$1004,A147,Despiece!$D$5:$D$1004,"&gt;0"))&amp;" pieza(s). ",""))&amp;IF(COUNTIFS(Despiece!$A$5:$A$1004,A147,Despiece!$G$5:$G$1004,"falta*")&gt;0,"Precio o peso de 1 m de alguna tela. ","")&amp;IF(M147="","Tipo/precio de confección. ","")))</f>
        <v/>
      </c>
      <c r="Q147" s="28"/>
    </row>
    <row r="148" customFormat="false" ht="15" hidden="false" customHeight="false" outlineLevel="0" collapsed="false">
      <c r="A148" s="28"/>
      <c r="B148" s="28"/>
      <c r="C148" s="28"/>
      <c r="D148" s="28"/>
      <c r="E148" s="28"/>
      <c r="F148" s="10"/>
      <c r="G148" s="28"/>
      <c r="H148" s="10"/>
      <c r="I148" s="28"/>
      <c r="J148" s="8" t="str">
        <f aca="false">IF(A148="","",COUNTIF(Despiece!$A$5:$A$1004,A148))</f>
        <v/>
      </c>
      <c r="K148" s="29"/>
      <c r="L148" s="11" t="str">
        <f aca="false">IF(A148="","",IF(COUNTIFS(Despiece!$A$5:$A$1004,A148,Despiece!$D$5:$D$1004,"&gt;0")&lt;J148,"",IF(COUNTIFS(Despiece!$A$5:$A$1004,A148,Despiece!$G$5:$G$1004,"falta*")&gt;0,"",SUMIFS(Despiece!$G$5:$G$1004,Despiece!$A$5:$A$1004,A148))))</f>
        <v/>
      </c>
      <c r="M148" s="11" t="str">
        <f aca="false">IF(OR(A148="",E148=""),"",IFERROR(INDEX(Precios!$K$5:$K$84,MATCH(E148,Precios!$J$5:$J$84,0)),""))</f>
        <v/>
      </c>
      <c r="N148" s="11" t="str">
        <f aca="false">IF(A148="","",IFERROR(N(G148)*IF(F148="",0,INDEX(Precios!$N$5:$N$64,MATCH(F148,Precios!$M$5:$M$64,0)))+N(I148)*IF(H148="",0,INDEX(Precios!$N$5:$N$64,MATCH(H148,Precios!$M$5:$M$64,0))),""))</f>
        <v/>
      </c>
      <c r="O148" s="12" t="str">
        <f aca="false">IF(A148="","",IFERROR(L148+M148+N148,""))</f>
        <v/>
      </c>
      <c r="P148" s="30" t="str">
        <f aca="false">IF(A148="","",IF(ISNUMBER(O148),"Lista"&amp;IF(N(Precios!$Q$10)=0," (impresión en $0)",""),IF(J148=0,"Agregar piezas en Despiece. ",IF(COUNTIFS(Despiece!$A$5:$A$1004,A148,Despiece!$D$5:$D$1004,"&gt;0")&lt;J148,"Metros de "&amp;(J148-COUNTIFS(Despiece!$A$5:$A$1004,A148,Despiece!$D$5:$D$1004,"&gt;0"))&amp;" pieza(s). ",""))&amp;IF(COUNTIFS(Despiece!$A$5:$A$1004,A148,Despiece!$G$5:$G$1004,"falta*")&gt;0,"Precio o peso de 1 m de alguna tela. ","")&amp;IF(M148="","Tipo/precio de confección. ","")))</f>
        <v/>
      </c>
      <c r="Q148" s="28"/>
    </row>
    <row r="149" customFormat="false" ht="15" hidden="false" customHeight="false" outlineLevel="0" collapsed="false">
      <c r="A149" s="28"/>
      <c r="B149" s="28"/>
      <c r="C149" s="28"/>
      <c r="D149" s="28"/>
      <c r="E149" s="28"/>
      <c r="F149" s="10"/>
      <c r="G149" s="28"/>
      <c r="H149" s="10"/>
      <c r="I149" s="28"/>
      <c r="J149" s="8" t="str">
        <f aca="false">IF(A149="","",COUNTIF(Despiece!$A$5:$A$1004,A149))</f>
        <v/>
      </c>
      <c r="K149" s="29"/>
      <c r="L149" s="11" t="str">
        <f aca="false">IF(A149="","",IF(COUNTIFS(Despiece!$A$5:$A$1004,A149,Despiece!$D$5:$D$1004,"&gt;0")&lt;J149,"",IF(COUNTIFS(Despiece!$A$5:$A$1004,A149,Despiece!$G$5:$G$1004,"falta*")&gt;0,"",SUMIFS(Despiece!$G$5:$G$1004,Despiece!$A$5:$A$1004,A149))))</f>
        <v/>
      </c>
      <c r="M149" s="11" t="str">
        <f aca="false">IF(OR(A149="",E149=""),"",IFERROR(INDEX(Precios!$K$5:$K$84,MATCH(E149,Precios!$J$5:$J$84,0)),""))</f>
        <v/>
      </c>
      <c r="N149" s="11" t="str">
        <f aca="false">IF(A149="","",IFERROR(N(G149)*IF(F149="",0,INDEX(Precios!$N$5:$N$64,MATCH(F149,Precios!$M$5:$M$64,0)))+N(I149)*IF(H149="",0,INDEX(Precios!$N$5:$N$64,MATCH(H149,Precios!$M$5:$M$64,0))),""))</f>
        <v/>
      </c>
      <c r="O149" s="12" t="str">
        <f aca="false">IF(A149="","",IFERROR(L149+M149+N149,""))</f>
        <v/>
      </c>
      <c r="P149" s="30" t="str">
        <f aca="false">IF(A149="","",IF(ISNUMBER(O149),"Lista"&amp;IF(N(Precios!$Q$10)=0," (impresión en $0)",""),IF(J149=0,"Agregar piezas en Despiece. ",IF(COUNTIFS(Despiece!$A$5:$A$1004,A149,Despiece!$D$5:$D$1004,"&gt;0")&lt;J149,"Metros de "&amp;(J149-COUNTIFS(Despiece!$A$5:$A$1004,A149,Despiece!$D$5:$D$1004,"&gt;0"))&amp;" pieza(s). ",""))&amp;IF(COUNTIFS(Despiece!$A$5:$A$1004,A149,Despiece!$G$5:$G$1004,"falta*")&gt;0,"Precio o peso de 1 m de alguna tela. ","")&amp;IF(M149="","Tipo/precio de confección. ","")))</f>
        <v/>
      </c>
      <c r="Q149" s="28"/>
    </row>
    <row r="150" customFormat="false" ht="15" hidden="false" customHeight="false" outlineLevel="0" collapsed="false">
      <c r="A150" s="28"/>
      <c r="B150" s="28"/>
      <c r="C150" s="28"/>
      <c r="D150" s="28"/>
      <c r="E150" s="28"/>
      <c r="F150" s="10"/>
      <c r="G150" s="28"/>
      <c r="H150" s="10"/>
      <c r="I150" s="28"/>
      <c r="J150" s="8" t="str">
        <f aca="false">IF(A150="","",COUNTIF(Despiece!$A$5:$A$1004,A150))</f>
        <v/>
      </c>
      <c r="K150" s="29"/>
      <c r="L150" s="11" t="str">
        <f aca="false">IF(A150="","",IF(COUNTIFS(Despiece!$A$5:$A$1004,A150,Despiece!$D$5:$D$1004,"&gt;0")&lt;J150,"",IF(COUNTIFS(Despiece!$A$5:$A$1004,A150,Despiece!$G$5:$G$1004,"falta*")&gt;0,"",SUMIFS(Despiece!$G$5:$G$1004,Despiece!$A$5:$A$1004,A150))))</f>
        <v/>
      </c>
      <c r="M150" s="11" t="str">
        <f aca="false">IF(OR(A150="",E150=""),"",IFERROR(INDEX(Precios!$K$5:$K$84,MATCH(E150,Precios!$J$5:$J$84,0)),""))</f>
        <v/>
      </c>
      <c r="N150" s="11" t="str">
        <f aca="false">IF(A150="","",IFERROR(N(G150)*IF(F150="",0,INDEX(Precios!$N$5:$N$64,MATCH(F150,Precios!$M$5:$M$64,0)))+N(I150)*IF(H150="",0,INDEX(Precios!$N$5:$N$64,MATCH(H150,Precios!$M$5:$M$64,0))),""))</f>
        <v/>
      </c>
      <c r="O150" s="12" t="str">
        <f aca="false">IF(A150="","",IFERROR(L150+M150+N150,""))</f>
        <v/>
      </c>
      <c r="P150" s="30" t="str">
        <f aca="false">IF(A150="","",IF(ISNUMBER(O150),"Lista"&amp;IF(N(Precios!$Q$10)=0," (impresión en $0)",""),IF(J150=0,"Agregar piezas en Despiece. ",IF(COUNTIFS(Despiece!$A$5:$A$1004,A150,Despiece!$D$5:$D$1004,"&gt;0")&lt;J150,"Metros de "&amp;(J150-COUNTIFS(Despiece!$A$5:$A$1004,A150,Despiece!$D$5:$D$1004,"&gt;0"))&amp;" pieza(s). ",""))&amp;IF(COUNTIFS(Despiece!$A$5:$A$1004,A150,Despiece!$G$5:$G$1004,"falta*")&gt;0,"Precio o peso de 1 m de alguna tela. ","")&amp;IF(M150="","Tipo/precio de confección. ","")))</f>
        <v/>
      </c>
      <c r="Q150" s="28"/>
    </row>
    <row r="151" customFormat="false" ht="15" hidden="false" customHeight="false" outlineLevel="0" collapsed="false">
      <c r="A151" s="28"/>
      <c r="B151" s="28"/>
      <c r="C151" s="28"/>
      <c r="D151" s="28"/>
      <c r="E151" s="28"/>
      <c r="F151" s="10"/>
      <c r="G151" s="28"/>
      <c r="H151" s="10"/>
      <c r="I151" s="28"/>
      <c r="J151" s="8" t="str">
        <f aca="false">IF(A151="","",COUNTIF(Despiece!$A$5:$A$1004,A151))</f>
        <v/>
      </c>
      <c r="K151" s="29"/>
      <c r="L151" s="11" t="str">
        <f aca="false">IF(A151="","",IF(COUNTIFS(Despiece!$A$5:$A$1004,A151,Despiece!$D$5:$D$1004,"&gt;0")&lt;J151,"",IF(COUNTIFS(Despiece!$A$5:$A$1004,A151,Despiece!$G$5:$G$1004,"falta*")&gt;0,"",SUMIFS(Despiece!$G$5:$G$1004,Despiece!$A$5:$A$1004,A151))))</f>
        <v/>
      </c>
      <c r="M151" s="11" t="str">
        <f aca="false">IF(OR(A151="",E151=""),"",IFERROR(INDEX(Precios!$K$5:$K$84,MATCH(E151,Precios!$J$5:$J$84,0)),""))</f>
        <v/>
      </c>
      <c r="N151" s="11" t="str">
        <f aca="false">IF(A151="","",IFERROR(N(G151)*IF(F151="",0,INDEX(Precios!$N$5:$N$64,MATCH(F151,Precios!$M$5:$M$64,0)))+N(I151)*IF(H151="",0,INDEX(Precios!$N$5:$N$64,MATCH(H151,Precios!$M$5:$M$64,0))),""))</f>
        <v/>
      </c>
      <c r="O151" s="12" t="str">
        <f aca="false">IF(A151="","",IFERROR(L151+M151+N151,""))</f>
        <v/>
      </c>
      <c r="P151" s="30" t="str">
        <f aca="false">IF(A151="","",IF(ISNUMBER(O151),"Lista"&amp;IF(N(Precios!$Q$10)=0," (impresión en $0)",""),IF(J151=0,"Agregar piezas en Despiece. ",IF(COUNTIFS(Despiece!$A$5:$A$1004,A151,Despiece!$D$5:$D$1004,"&gt;0")&lt;J151,"Metros de "&amp;(J151-COUNTIFS(Despiece!$A$5:$A$1004,A151,Despiece!$D$5:$D$1004,"&gt;0"))&amp;" pieza(s). ",""))&amp;IF(COUNTIFS(Despiece!$A$5:$A$1004,A151,Despiece!$G$5:$G$1004,"falta*")&gt;0,"Precio o peso de 1 m de alguna tela. ","")&amp;IF(M151="","Tipo/precio de confección. ","")))</f>
        <v/>
      </c>
      <c r="Q151" s="28"/>
    </row>
    <row r="152" customFormat="false" ht="15" hidden="false" customHeight="false" outlineLevel="0" collapsed="false">
      <c r="A152" s="28"/>
      <c r="B152" s="28"/>
      <c r="C152" s="28"/>
      <c r="D152" s="28"/>
      <c r="E152" s="28"/>
      <c r="F152" s="10"/>
      <c r="G152" s="28"/>
      <c r="H152" s="10"/>
      <c r="I152" s="28"/>
      <c r="J152" s="8" t="str">
        <f aca="false">IF(A152="","",COUNTIF(Despiece!$A$5:$A$1004,A152))</f>
        <v/>
      </c>
      <c r="K152" s="29"/>
      <c r="L152" s="11" t="str">
        <f aca="false">IF(A152="","",IF(COUNTIFS(Despiece!$A$5:$A$1004,A152,Despiece!$D$5:$D$1004,"&gt;0")&lt;J152,"",IF(COUNTIFS(Despiece!$A$5:$A$1004,A152,Despiece!$G$5:$G$1004,"falta*")&gt;0,"",SUMIFS(Despiece!$G$5:$G$1004,Despiece!$A$5:$A$1004,A152))))</f>
        <v/>
      </c>
      <c r="M152" s="11" t="str">
        <f aca="false">IF(OR(A152="",E152=""),"",IFERROR(INDEX(Precios!$K$5:$K$84,MATCH(E152,Precios!$J$5:$J$84,0)),""))</f>
        <v/>
      </c>
      <c r="N152" s="11" t="str">
        <f aca="false">IF(A152="","",IFERROR(N(G152)*IF(F152="",0,INDEX(Precios!$N$5:$N$64,MATCH(F152,Precios!$M$5:$M$64,0)))+N(I152)*IF(H152="",0,INDEX(Precios!$N$5:$N$64,MATCH(H152,Precios!$M$5:$M$64,0))),""))</f>
        <v/>
      </c>
      <c r="O152" s="12" t="str">
        <f aca="false">IF(A152="","",IFERROR(L152+M152+N152,""))</f>
        <v/>
      </c>
      <c r="P152" s="30" t="str">
        <f aca="false">IF(A152="","",IF(ISNUMBER(O152),"Lista"&amp;IF(N(Precios!$Q$10)=0," (impresión en $0)",""),IF(J152=0,"Agregar piezas en Despiece. ",IF(COUNTIFS(Despiece!$A$5:$A$1004,A152,Despiece!$D$5:$D$1004,"&gt;0")&lt;J152,"Metros de "&amp;(J152-COUNTIFS(Despiece!$A$5:$A$1004,A152,Despiece!$D$5:$D$1004,"&gt;0"))&amp;" pieza(s). ",""))&amp;IF(COUNTIFS(Despiece!$A$5:$A$1004,A152,Despiece!$G$5:$G$1004,"falta*")&gt;0,"Precio o peso de 1 m de alguna tela. ","")&amp;IF(M152="","Tipo/precio de confección. ","")))</f>
        <v/>
      </c>
      <c r="Q152" s="28"/>
    </row>
    <row r="153" customFormat="false" ht="15" hidden="false" customHeight="false" outlineLevel="0" collapsed="false">
      <c r="A153" s="28"/>
      <c r="B153" s="28"/>
      <c r="C153" s="28"/>
      <c r="D153" s="28"/>
      <c r="E153" s="28"/>
      <c r="F153" s="10"/>
      <c r="G153" s="28"/>
      <c r="H153" s="10"/>
      <c r="I153" s="28"/>
      <c r="J153" s="8" t="str">
        <f aca="false">IF(A153="","",COUNTIF(Despiece!$A$5:$A$1004,A153))</f>
        <v/>
      </c>
      <c r="K153" s="29"/>
      <c r="L153" s="11" t="str">
        <f aca="false">IF(A153="","",IF(COUNTIFS(Despiece!$A$5:$A$1004,A153,Despiece!$D$5:$D$1004,"&gt;0")&lt;J153,"",IF(COUNTIFS(Despiece!$A$5:$A$1004,A153,Despiece!$G$5:$G$1004,"falta*")&gt;0,"",SUMIFS(Despiece!$G$5:$G$1004,Despiece!$A$5:$A$1004,A153))))</f>
        <v/>
      </c>
      <c r="M153" s="11" t="str">
        <f aca="false">IF(OR(A153="",E153=""),"",IFERROR(INDEX(Precios!$K$5:$K$84,MATCH(E153,Precios!$J$5:$J$84,0)),""))</f>
        <v/>
      </c>
      <c r="N153" s="11" t="str">
        <f aca="false">IF(A153="","",IFERROR(N(G153)*IF(F153="",0,INDEX(Precios!$N$5:$N$64,MATCH(F153,Precios!$M$5:$M$64,0)))+N(I153)*IF(H153="",0,INDEX(Precios!$N$5:$N$64,MATCH(H153,Precios!$M$5:$M$64,0))),""))</f>
        <v/>
      </c>
      <c r="O153" s="12" t="str">
        <f aca="false">IF(A153="","",IFERROR(L153+M153+N153,""))</f>
        <v/>
      </c>
      <c r="P153" s="30" t="str">
        <f aca="false">IF(A153="","",IF(ISNUMBER(O153),"Lista"&amp;IF(N(Precios!$Q$10)=0," (impresión en $0)",""),IF(J153=0,"Agregar piezas en Despiece. ",IF(COUNTIFS(Despiece!$A$5:$A$1004,A153,Despiece!$D$5:$D$1004,"&gt;0")&lt;J153,"Metros de "&amp;(J153-COUNTIFS(Despiece!$A$5:$A$1004,A153,Despiece!$D$5:$D$1004,"&gt;0"))&amp;" pieza(s). ",""))&amp;IF(COUNTIFS(Despiece!$A$5:$A$1004,A153,Despiece!$G$5:$G$1004,"falta*")&gt;0,"Precio o peso de 1 m de alguna tela. ","")&amp;IF(M153="","Tipo/precio de confección. ","")))</f>
        <v/>
      </c>
      <c r="Q153" s="28"/>
    </row>
    <row r="154" customFormat="false" ht="15" hidden="false" customHeight="false" outlineLevel="0" collapsed="false">
      <c r="A154" s="28"/>
      <c r="B154" s="28"/>
      <c r="C154" s="28"/>
      <c r="D154" s="28"/>
      <c r="E154" s="28"/>
      <c r="F154" s="10"/>
      <c r="G154" s="28"/>
      <c r="H154" s="10"/>
      <c r="I154" s="28"/>
      <c r="J154" s="8" t="str">
        <f aca="false">IF(A154="","",COUNTIF(Despiece!$A$5:$A$1004,A154))</f>
        <v/>
      </c>
      <c r="K154" s="29"/>
      <c r="L154" s="11" t="str">
        <f aca="false">IF(A154="","",IF(COUNTIFS(Despiece!$A$5:$A$1004,A154,Despiece!$D$5:$D$1004,"&gt;0")&lt;J154,"",IF(COUNTIFS(Despiece!$A$5:$A$1004,A154,Despiece!$G$5:$G$1004,"falta*")&gt;0,"",SUMIFS(Despiece!$G$5:$G$1004,Despiece!$A$5:$A$1004,A154))))</f>
        <v/>
      </c>
      <c r="M154" s="11" t="str">
        <f aca="false">IF(OR(A154="",E154=""),"",IFERROR(INDEX(Precios!$K$5:$K$84,MATCH(E154,Precios!$J$5:$J$84,0)),""))</f>
        <v/>
      </c>
      <c r="N154" s="11" t="str">
        <f aca="false">IF(A154="","",IFERROR(N(G154)*IF(F154="",0,INDEX(Precios!$N$5:$N$64,MATCH(F154,Precios!$M$5:$M$64,0)))+N(I154)*IF(H154="",0,INDEX(Precios!$N$5:$N$64,MATCH(H154,Precios!$M$5:$M$64,0))),""))</f>
        <v/>
      </c>
      <c r="O154" s="12" t="str">
        <f aca="false">IF(A154="","",IFERROR(L154+M154+N154,""))</f>
        <v/>
      </c>
      <c r="P154" s="30" t="str">
        <f aca="false">IF(A154="","",IF(ISNUMBER(O154),"Lista"&amp;IF(N(Precios!$Q$10)=0," (impresión en $0)",""),IF(J154=0,"Agregar piezas en Despiece. ",IF(COUNTIFS(Despiece!$A$5:$A$1004,A154,Despiece!$D$5:$D$1004,"&gt;0")&lt;J154,"Metros de "&amp;(J154-COUNTIFS(Despiece!$A$5:$A$1004,A154,Despiece!$D$5:$D$1004,"&gt;0"))&amp;" pieza(s). ",""))&amp;IF(COUNTIFS(Despiece!$A$5:$A$1004,A154,Despiece!$G$5:$G$1004,"falta*")&gt;0,"Precio o peso de 1 m de alguna tela. ","")&amp;IF(M154="","Tipo/precio de confección. ","")))</f>
        <v/>
      </c>
      <c r="Q154" s="28"/>
    </row>
  </sheetData>
  <dataValidations count="3">
    <dataValidation allowBlank="true" errorStyle="stop" operator="between" showDropDown="false" showErrorMessage="false" showInputMessage="false" sqref="E5:E154" type="list">
      <formula1>Precios!$J$5:$J$84</formula1>
      <formula2>0</formula2>
    </dataValidation>
    <dataValidation allowBlank="true" errorStyle="stop" operator="between" showDropDown="false" showErrorMessage="false" showInputMessage="false" sqref="F5:F154" type="list">
      <formula1>Precios!$M$5:$M$64</formula1>
      <formula2>0</formula2>
    </dataValidation>
    <dataValidation allowBlank="true" errorStyle="stop" operator="between" showDropDown="false" showErrorMessage="false" showInputMessage="false" sqref="H5:H154" type="list">
      <formula1>Precios!$M$5:$M$64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2" min="1" style="0" width="24"/>
    <col collapsed="false" customWidth="true" hidden="false" outlineLevel="0" max="3" min="3" style="0" width="7"/>
    <col collapsed="false" customWidth="true" hidden="false" outlineLevel="0" max="4" min="4" style="0" width="11"/>
    <col collapsed="false" customWidth="true" hidden="false" outlineLevel="0" max="5" min="5" style="0" width="30"/>
    <col collapsed="false" customWidth="true" hidden="false" outlineLevel="0" max="6" min="6" style="0" width="8"/>
    <col collapsed="false" customWidth="true" hidden="false" outlineLevel="0" max="7" min="7" style="0" width="16"/>
    <col collapsed="false" customWidth="true" hidden="false" outlineLevel="0" max="8" min="8" style="0" width="6"/>
  </cols>
  <sheetData>
    <row r="1" customFormat="false" ht="17.35" hidden="false" customHeight="false" outlineLevel="0" collapsed="false">
      <c r="A1" s="26" t="s">
        <v>169</v>
      </c>
    </row>
    <row r="2" customFormat="false" ht="15" hidden="false" customHeight="false" outlineLevel="0" collapsed="false">
      <c r="A2" s="2" t="s">
        <v>170</v>
      </c>
    </row>
    <row r="4" customFormat="false" ht="42" hidden="false" customHeight="true" outlineLevel="0" collapsed="false">
      <c r="A4" s="7" t="s">
        <v>39</v>
      </c>
      <c r="B4" s="7" t="s">
        <v>6</v>
      </c>
      <c r="C4" s="7" t="s">
        <v>7</v>
      </c>
      <c r="D4" s="7" t="s">
        <v>171</v>
      </c>
      <c r="E4" s="7" t="s">
        <v>172</v>
      </c>
      <c r="F4" s="7" t="s">
        <v>173</v>
      </c>
      <c r="G4" s="7" t="s">
        <v>174</v>
      </c>
      <c r="H4" s="7" t="s">
        <v>175</v>
      </c>
    </row>
    <row r="5" customFormat="false" ht="15" hidden="false" customHeight="false" outlineLevel="0" collapsed="false">
      <c r="A5" s="28" t="s">
        <v>54</v>
      </c>
      <c r="B5" s="28" t="s">
        <v>176</v>
      </c>
      <c r="C5" s="28" t="n">
        <v>1</v>
      </c>
      <c r="D5" s="31"/>
      <c r="E5" s="10"/>
      <c r="F5" s="28" t="s">
        <v>177</v>
      </c>
      <c r="G5" s="11" t="str">
        <f aca="false">IF(OR(A5="",N(D5)=0),"",IFERROR(D5*(1+IFERROR(IF(ISNUMBER(INDEX(Moldes!$K$5:$K$154,MATCH(A5,Moldes!$A$5:$A$154,0))),INDEX(Moldes!$K$5:$K$154,MATCH(A5,Moldes!$A$5:$A$154,0)),Precios!$Q$12),Precios!$Q$12))*(INDEX(Precios!$F$5:$F$124,MATCH(E5,Precios!$A$5:$A$124,0))+IF(F5="Sí",Precios!$Q$10,0)),"falta $ tela"))</f>
        <v/>
      </c>
      <c r="H5" s="32" t="str">
        <f aca="false">IF(A5="","",A5&amp;"|"&amp;COUNTIF($A$5:A5,A5))</f>
        <v>01 · FUTMUJU01|1</v>
      </c>
    </row>
    <row r="6" customFormat="false" ht="15" hidden="false" customHeight="false" outlineLevel="0" collapsed="false">
      <c r="A6" s="28" t="s">
        <v>54</v>
      </c>
      <c r="B6" s="28" t="s">
        <v>178</v>
      </c>
      <c r="C6" s="28" t="n">
        <v>1</v>
      </c>
      <c r="D6" s="31"/>
      <c r="E6" s="10"/>
      <c r="F6" s="28" t="s">
        <v>177</v>
      </c>
      <c r="G6" s="11" t="str">
        <f aca="false">IF(OR(A6="",N(D6)=0),"",IFERROR(D6*(1+IFERROR(IF(ISNUMBER(INDEX(Moldes!$K$5:$K$154,MATCH(A6,Moldes!$A$5:$A$154,0))),INDEX(Moldes!$K$5:$K$154,MATCH(A6,Moldes!$A$5:$A$154,0)),Precios!$Q$12),Precios!$Q$12))*(INDEX(Precios!$F$5:$F$124,MATCH(E6,Precios!$A$5:$A$124,0))+IF(F6="Sí",Precios!$Q$10,0)),"falta $ tela"))</f>
        <v/>
      </c>
      <c r="H6" s="32" t="str">
        <f aca="false">IF(A6="","",A6&amp;"|"&amp;COUNTIF($A$5:A6,A6))</f>
        <v>01 · FUTMUJU01|2</v>
      </c>
    </row>
    <row r="7" customFormat="false" ht="15" hidden="false" customHeight="false" outlineLevel="0" collapsed="false">
      <c r="A7" s="28" t="s">
        <v>54</v>
      </c>
      <c r="B7" s="28" t="s">
        <v>179</v>
      </c>
      <c r="C7" s="28" t="n">
        <v>2</v>
      </c>
      <c r="D7" s="31"/>
      <c r="E7" s="10"/>
      <c r="F7" s="28" t="s">
        <v>177</v>
      </c>
      <c r="G7" s="11" t="str">
        <f aca="false">IF(OR(A7="",N(D7)=0),"",IFERROR(D7*(1+IFERROR(IF(ISNUMBER(INDEX(Moldes!$K$5:$K$154,MATCH(A7,Moldes!$A$5:$A$154,0))),INDEX(Moldes!$K$5:$K$154,MATCH(A7,Moldes!$A$5:$A$154,0)),Precios!$Q$12),Precios!$Q$12))*(INDEX(Precios!$F$5:$F$124,MATCH(E7,Precios!$A$5:$A$124,0))+IF(F7="Sí",Precios!$Q$10,0)),"falta $ tela"))</f>
        <v/>
      </c>
      <c r="H7" s="32" t="str">
        <f aca="false">IF(A7="","",A7&amp;"|"&amp;COUNTIF($A$5:A7,A7))</f>
        <v>01 · FUTMUJU01|3</v>
      </c>
    </row>
    <row r="8" customFormat="false" ht="15" hidden="false" customHeight="false" outlineLevel="0" collapsed="false">
      <c r="A8" s="28" t="s">
        <v>54</v>
      </c>
      <c r="B8" s="28" t="s">
        <v>180</v>
      </c>
      <c r="C8" s="28" t="n">
        <v>1</v>
      </c>
      <c r="D8" s="31"/>
      <c r="E8" s="10"/>
      <c r="F8" s="28" t="s">
        <v>177</v>
      </c>
      <c r="G8" s="11" t="str">
        <f aca="false">IF(OR(A8="",N(D8)=0),"",IFERROR(D8*(1+IFERROR(IF(ISNUMBER(INDEX(Moldes!$K$5:$K$154,MATCH(A8,Moldes!$A$5:$A$154,0))),INDEX(Moldes!$K$5:$K$154,MATCH(A8,Moldes!$A$5:$A$154,0)),Precios!$Q$12),Precios!$Q$12))*(INDEX(Precios!$F$5:$F$124,MATCH(E8,Precios!$A$5:$A$124,0))+IF(F8="Sí",Precios!$Q$10,0)),"falta $ tela"))</f>
        <v/>
      </c>
      <c r="H8" s="32" t="str">
        <f aca="false">IF(A8="","",A8&amp;"|"&amp;COUNTIF($A$5:A8,A8))</f>
        <v>01 · FUTMUJU01|4</v>
      </c>
    </row>
    <row r="9" customFormat="false" ht="15" hidden="false" customHeight="false" outlineLevel="0" collapsed="false">
      <c r="A9" s="28" t="s">
        <v>59</v>
      </c>
      <c r="B9" s="28" t="s">
        <v>176</v>
      </c>
      <c r="C9" s="28" t="n">
        <v>1</v>
      </c>
      <c r="D9" s="31"/>
      <c r="E9" s="10"/>
      <c r="F9" s="28" t="s">
        <v>177</v>
      </c>
      <c r="G9" s="11" t="str">
        <f aca="false">IF(OR(A9="",N(D9)=0),"",IFERROR(D9*(1+IFERROR(IF(ISNUMBER(INDEX(Moldes!$K$5:$K$154,MATCH(A9,Moldes!$A$5:$A$154,0))),INDEX(Moldes!$K$5:$K$154,MATCH(A9,Moldes!$A$5:$A$154,0)),Precios!$Q$12),Precios!$Q$12))*(INDEX(Precios!$F$5:$F$124,MATCH(E9,Precios!$A$5:$A$124,0))+IF(F9="Sí",Precios!$Q$10,0)),"falta $ tela"))</f>
        <v/>
      </c>
      <c r="H9" s="32" t="str">
        <f aca="false">IF(A9="","",A9&amp;"|"&amp;COUNTIF($A$5:A9,A9))</f>
        <v>02 · FUTHOMU01|1</v>
      </c>
    </row>
    <row r="10" customFormat="false" ht="15" hidden="false" customHeight="false" outlineLevel="0" collapsed="false">
      <c r="A10" s="28" t="s">
        <v>59</v>
      </c>
      <c r="B10" s="28" t="s">
        <v>178</v>
      </c>
      <c r="C10" s="28" t="n">
        <v>1</v>
      </c>
      <c r="D10" s="31"/>
      <c r="E10" s="10"/>
      <c r="F10" s="28" t="s">
        <v>177</v>
      </c>
      <c r="G10" s="11" t="str">
        <f aca="false">IF(OR(A10="",N(D10)=0),"",IFERROR(D10*(1+IFERROR(IF(ISNUMBER(INDEX(Moldes!$K$5:$K$154,MATCH(A10,Moldes!$A$5:$A$154,0))),INDEX(Moldes!$K$5:$K$154,MATCH(A10,Moldes!$A$5:$A$154,0)),Precios!$Q$12),Precios!$Q$12))*(INDEX(Precios!$F$5:$F$124,MATCH(E10,Precios!$A$5:$A$124,0))+IF(F10="Sí",Precios!$Q$10,0)),"falta $ tela"))</f>
        <v/>
      </c>
      <c r="H10" s="32" t="str">
        <f aca="false">IF(A10="","",A10&amp;"|"&amp;COUNTIF($A$5:A10,A10))</f>
        <v>02 · FUTHOMU01|2</v>
      </c>
    </row>
    <row r="11" customFormat="false" ht="15" hidden="false" customHeight="false" outlineLevel="0" collapsed="false">
      <c r="A11" s="28" t="s">
        <v>59</v>
      </c>
      <c r="B11" s="28" t="s">
        <v>179</v>
      </c>
      <c r="C11" s="28" t="n">
        <v>2</v>
      </c>
      <c r="D11" s="31"/>
      <c r="E11" s="10"/>
      <c r="F11" s="28" t="s">
        <v>177</v>
      </c>
      <c r="G11" s="11" t="str">
        <f aca="false">IF(OR(A11="",N(D11)=0),"",IFERROR(D11*(1+IFERROR(IF(ISNUMBER(INDEX(Moldes!$K$5:$K$154,MATCH(A11,Moldes!$A$5:$A$154,0))),INDEX(Moldes!$K$5:$K$154,MATCH(A11,Moldes!$A$5:$A$154,0)),Precios!$Q$12),Precios!$Q$12))*(INDEX(Precios!$F$5:$F$124,MATCH(E11,Precios!$A$5:$A$124,0))+IF(F11="Sí",Precios!$Q$10,0)),"falta $ tela"))</f>
        <v/>
      </c>
      <c r="H11" s="32" t="str">
        <f aca="false">IF(A11="","",A11&amp;"|"&amp;COUNTIF($A$5:A11,A11))</f>
        <v>02 · FUTHOMU01|3</v>
      </c>
    </row>
    <row r="12" customFormat="false" ht="15" hidden="false" customHeight="false" outlineLevel="0" collapsed="false">
      <c r="A12" s="28" t="s">
        <v>59</v>
      </c>
      <c r="B12" s="28" t="s">
        <v>180</v>
      </c>
      <c r="C12" s="28" t="n">
        <v>1</v>
      </c>
      <c r="D12" s="31"/>
      <c r="E12" s="10"/>
      <c r="F12" s="28" t="s">
        <v>177</v>
      </c>
      <c r="G12" s="11" t="str">
        <f aca="false">IF(OR(A12="",N(D12)=0),"",IFERROR(D12*(1+IFERROR(IF(ISNUMBER(INDEX(Moldes!$K$5:$K$154,MATCH(A12,Moldes!$A$5:$A$154,0))),INDEX(Moldes!$K$5:$K$154,MATCH(A12,Moldes!$A$5:$A$154,0)),Precios!$Q$12),Precios!$Q$12))*(INDEX(Precios!$F$5:$F$124,MATCH(E12,Precios!$A$5:$A$124,0))+IF(F12="Sí",Precios!$Q$10,0)),"falta $ tela"))</f>
        <v/>
      </c>
      <c r="H12" s="32" t="str">
        <f aca="false">IF(A12="","",A12&amp;"|"&amp;COUNTIF($A$5:A12,A12))</f>
        <v>02 · FUTHOMU01|4</v>
      </c>
    </row>
    <row r="13" customFormat="false" ht="15" hidden="false" customHeight="false" outlineLevel="0" collapsed="false">
      <c r="A13" s="28" t="s">
        <v>61</v>
      </c>
      <c r="B13" s="28" t="s">
        <v>176</v>
      </c>
      <c r="C13" s="28" t="n">
        <v>1</v>
      </c>
      <c r="D13" s="31"/>
      <c r="E13" s="10"/>
      <c r="F13" s="28" t="s">
        <v>177</v>
      </c>
      <c r="G13" s="11" t="str">
        <f aca="false">IF(OR(A13="",N(D13)=0),"",IFERROR(D13*(1+IFERROR(IF(ISNUMBER(INDEX(Moldes!$K$5:$K$154,MATCH(A13,Moldes!$A$5:$A$154,0))),INDEX(Moldes!$K$5:$K$154,MATCH(A13,Moldes!$A$5:$A$154,0)),Precios!$Q$12),Precios!$Q$12))*(INDEX(Precios!$F$5:$F$124,MATCH(E13,Precios!$A$5:$A$124,0))+IF(F13="Sí",Precios!$Q$10,0)),"falta $ tela"))</f>
        <v/>
      </c>
      <c r="H13" s="32" t="str">
        <f aca="false">IF(A13="","",A13&amp;"|"&amp;COUNTIF($A$5:A13,A13))</f>
        <v>03 · FUTINMUJU01|1</v>
      </c>
    </row>
    <row r="14" customFormat="false" ht="15" hidden="false" customHeight="false" outlineLevel="0" collapsed="false">
      <c r="A14" s="28" t="s">
        <v>61</v>
      </c>
      <c r="B14" s="28" t="s">
        <v>178</v>
      </c>
      <c r="C14" s="28" t="n">
        <v>1</v>
      </c>
      <c r="D14" s="31"/>
      <c r="E14" s="10"/>
      <c r="F14" s="28" t="s">
        <v>177</v>
      </c>
      <c r="G14" s="11" t="str">
        <f aca="false">IF(OR(A14="",N(D14)=0),"",IFERROR(D14*(1+IFERROR(IF(ISNUMBER(INDEX(Moldes!$K$5:$K$154,MATCH(A14,Moldes!$A$5:$A$154,0))),INDEX(Moldes!$K$5:$K$154,MATCH(A14,Moldes!$A$5:$A$154,0)),Precios!$Q$12),Precios!$Q$12))*(INDEX(Precios!$F$5:$F$124,MATCH(E14,Precios!$A$5:$A$124,0))+IF(F14="Sí",Precios!$Q$10,0)),"falta $ tela"))</f>
        <v/>
      </c>
      <c r="H14" s="32" t="str">
        <f aca="false">IF(A14="","",A14&amp;"|"&amp;COUNTIF($A$5:A14,A14))</f>
        <v>03 · FUTINMUJU01|2</v>
      </c>
    </row>
    <row r="15" customFormat="false" ht="15" hidden="false" customHeight="false" outlineLevel="0" collapsed="false">
      <c r="A15" s="28" t="s">
        <v>61</v>
      </c>
      <c r="B15" s="28" t="s">
        <v>179</v>
      </c>
      <c r="C15" s="28" t="n">
        <v>2</v>
      </c>
      <c r="D15" s="31"/>
      <c r="E15" s="10"/>
      <c r="F15" s="28" t="s">
        <v>177</v>
      </c>
      <c r="G15" s="11" t="str">
        <f aca="false">IF(OR(A15="",N(D15)=0),"",IFERROR(D15*(1+IFERROR(IF(ISNUMBER(INDEX(Moldes!$K$5:$K$154,MATCH(A15,Moldes!$A$5:$A$154,0))),INDEX(Moldes!$K$5:$K$154,MATCH(A15,Moldes!$A$5:$A$154,0)),Precios!$Q$12),Precios!$Q$12))*(INDEX(Precios!$F$5:$F$124,MATCH(E15,Precios!$A$5:$A$124,0))+IF(F15="Sí",Precios!$Q$10,0)),"falta $ tela"))</f>
        <v/>
      </c>
      <c r="H15" s="32" t="str">
        <f aca="false">IF(A15="","",A15&amp;"|"&amp;COUNTIF($A$5:A15,A15))</f>
        <v>03 · FUTINMUJU01|3</v>
      </c>
    </row>
    <row r="16" customFormat="false" ht="15" hidden="false" customHeight="false" outlineLevel="0" collapsed="false">
      <c r="A16" s="28" t="s">
        <v>61</v>
      </c>
      <c r="B16" s="28" t="s">
        <v>180</v>
      </c>
      <c r="C16" s="28" t="n">
        <v>1</v>
      </c>
      <c r="D16" s="31"/>
      <c r="E16" s="10"/>
      <c r="F16" s="28" t="s">
        <v>177</v>
      </c>
      <c r="G16" s="11" t="str">
        <f aca="false">IF(OR(A16="",N(D16)=0),"",IFERROR(D16*(1+IFERROR(IF(ISNUMBER(INDEX(Moldes!$K$5:$K$154,MATCH(A16,Moldes!$A$5:$A$154,0))),INDEX(Moldes!$K$5:$K$154,MATCH(A16,Moldes!$A$5:$A$154,0)),Precios!$Q$12),Precios!$Q$12))*(INDEX(Precios!$F$5:$F$124,MATCH(E16,Precios!$A$5:$A$124,0))+IF(F16="Sí",Precios!$Q$10,0)),"falta $ tela"))</f>
        <v/>
      </c>
      <c r="H16" s="32" t="str">
        <f aca="false">IF(A16="","",A16&amp;"|"&amp;COUNTIF($A$5:A16,A16))</f>
        <v>03 · FUTINMUJU01|4</v>
      </c>
    </row>
    <row r="17" customFormat="false" ht="15" hidden="false" customHeight="false" outlineLevel="0" collapsed="false">
      <c r="A17" s="28" t="s">
        <v>64</v>
      </c>
      <c r="B17" s="28" t="s">
        <v>176</v>
      </c>
      <c r="C17" s="28" t="n">
        <v>1</v>
      </c>
      <c r="D17" s="31"/>
      <c r="E17" s="10" t="s">
        <v>181</v>
      </c>
      <c r="F17" s="28" t="s">
        <v>177</v>
      </c>
      <c r="G17" s="11" t="str">
        <f aca="false">IF(OR(A17="",N(D17)=0),"",IFERROR(D17*(1+IFERROR(IF(ISNUMBER(INDEX(Moldes!$K$5:$K$154,MATCH(A17,Moldes!$A$5:$A$154,0))),INDEX(Moldes!$K$5:$K$154,MATCH(A17,Moldes!$A$5:$A$154,0)),Precios!$Q$12),Precios!$Q$12))*(INDEX(Precios!$F$5:$F$124,MATCH(E17,Precios!$A$5:$A$124,0))+IF(F17="Sí",Precios!$Q$10,0)),"falta $ tela"))</f>
        <v/>
      </c>
      <c r="H17" s="32" t="str">
        <f aca="false">IF(A17="","",A17&amp;"|"&amp;COUNTIF($A$5:A17,A17))</f>
        <v>04 · FUTINHOMU01|1</v>
      </c>
    </row>
    <row r="18" customFormat="false" ht="15" hidden="false" customHeight="false" outlineLevel="0" collapsed="false">
      <c r="A18" s="28" t="s">
        <v>64</v>
      </c>
      <c r="B18" s="28" t="s">
        <v>178</v>
      </c>
      <c r="C18" s="28" t="n">
        <v>1</v>
      </c>
      <c r="D18" s="31"/>
      <c r="E18" s="10" t="s">
        <v>181</v>
      </c>
      <c r="F18" s="28" t="s">
        <v>177</v>
      </c>
      <c r="G18" s="11" t="str">
        <f aca="false">IF(OR(A18="",N(D18)=0),"",IFERROR(D18*(1+IFERROR(IF(ISNUMBER(INDEX(Moldes!$K$5:$K$154,MATCH(A18,Moldes!$A$5:$A$154,0))),INDEX(Moldes!$K$5:$K$154,MATCH(A18,Moldes!$A$5:$A$154,0)),Precios!$Q$12),Precios!$Q$12))*(INDEX(Precios!$F$5:$F$124,MATCH(E18,Precios!$A$5:$A$124,0))+IF(F18="Sí",Precios!$Q$10,0)),"falta $ tela"))</f>
        <v/>
      </c>
      <c r="H18" s="32" t="str">
        <f aca="false">IF(A18="","",A18&amp;"|"&amp;COUNTIF($A$5:A18,A18))</f>
        <v>04 · FUTINHOMU01|2</v>
      </c>
    </row>
    <row r="19" customFormat="false" ht="15" hidden="false" customHeight="false" outlineLevel="0" collapsed="false">
      <c r="A19" s="28" t="s">
        <v>64</v>
      </c>
      <c r="B19" s="28" t="s">
        <v>179</v>
      </c>
      <c r="C19" s="28" t="n">
        <v>2</v>
      </c>
      <c r="D19" s="31"/>
      <c r="E19" s="10" t="s">
        <v>181</v>
      </c>
      <c r="F19" s="28" t="s">
        <v>177</v>
      </c>
      <c r="G19" s="11" t="str">
        <f aca="false">IF(OR(A19="",N(D19)=0),"",IFERROR(D19*(1+IFERROR(IF(ISNUMBER(INDEX(Moldes!$K$5:$K$154,MATCH(A19,Moldes!$A$5:$A$154,0))),INDEX(Moldes!$K$5:$K$154,MATCH(A19,Moldes!$A$5:$A$154,0)),Precios!$Q$12),Precios!$Q$12))*(INDEX(Precios!$F$5:$F$124,MATCH(E19,Precios!$A$5:$A$124,0))+IF(F19="Sí",Precios!$Q$10,0)),"falta $ tela"))</f>
        <v/>
      </c>
      <c r="H19" s="32" t="str">
        <f aca="false">IF(A19="","",A19&amp;"|"&amp;COUNTIF($A$5:A19,A19))</f>
        <v>04 · FUTINHOMU01|3</v>
      </c>
    </row>
    <row r="20" customFormat="false" ht="15" hidden="false" customHeight="false" outlineLevel="0" collapsed="false">
      <c r="A20" s="28" t="s">
        <v>64</v>
      </c>
      <c r="B20" s="28" t="s">
        <v>180</v>
      </c>
      <c r="C20" s="28" t="n">
        <v>1</v>
      </c>
      <c r="D20" s="31"/>
      <c r="E20" s="10" t="s">
        <v>181</v>
      </c>
      <c r="F20" s="28" t="s">
        <v>177</v>
      </c>
      <c r="G20" s="11" t="str">
        <f aca="false">IF(OR(A20="",N(D20)=0),"",IFERROR(D20*(1+IFERROR(IF(ISNUMBER(INDEX(Moldes!$K$5:$K$154,MATCH(A20,Moldes!$A$5:$A$154,0))),INDEX(Moldes!$K$5:$K$154,MATCH(A20,Moldes!$A$5:$A$154,0)),Precios!$Q$12),Precios!$Q$12))*(INDEX(Precios!$F$5:$F$124,MATCH(E20,Precios!$A$5:$A$124,0))+IF(F20="Sí",Precios!$Q$10,0)),"falta $ tela"))</f>
        <v/>
      </c>
      <c r="H20" s="32" t="str">
        <f aca="false">IF(A20="","",A20&amp;"|"&amp;COUNTIF($A$5:A20,A20))</f>
        <v>04 · FUTINHOMU01|4</v>
      </c>
    </row>
    <row r="21" customFormat="false" ht="15" hidden="false" customHeight="false" outlineLevel="0" collapsed="false">
      <c r="A21" s="28" t="s">
        <v>67</v>
      </c>
      <c r="B21" s="28" t="s">
        <v>176</v>
      </c>
      <c r="C21" s="28" t="n">
        <v>1</v>
      </c>
      <c r="D21" s="31"/>
      <c r="E21" s="10"/>
      <c r="F21" s="28" t="s">
        <v>177</v>
      </c>
      <c r="G21" s="11" t="str">
        <f aca="false">IF(OR(A21="",N(D21)=0),"",IFERROR(D21*(1+IFERROR(IF(ISNUMBER(INDEX(Moldes!$K$5:$K$154,MATCH(A21,Moldes!$A$5:$A$154,0))),INDEX(Moldes!$K$5:$K$154,MATCH(A21,Moldes!$A$5:$A$154,0)),Precios!$Q$12),Precios!$Q$12))*(INDEX(Precios!$F$5:$F$124,MATCH(E21,Precios!$A$5:$A$124,0))+IF(F21="Sí",Precios!$Q$10,0)),"falta $ tela"))</f>
        <v/>
      </c>
      <c r="H21" s="32" t="str">
        <f aca="false">IF(A21="","",A21&amp;"|"&amp;COUNTIF($A$5:A21,A21))</f>
        <v>05 · FUTMUJV01|1</v>
      </c>
    </row>
    <row r="22" customFormat="false" ht="15" hidden="false" customHeight="false" outlineLevel="0" collapsed="false">
      <c r="A22" s="28" t="s">
        <v>67</v>
      </c>
      <c r="B22" s="28" t="s">
        <v>178</v>
      </c>
      <c r="C22" s="28" t="n">
        <v>1</v>
      </c>
      <c r="D22" s="31"/>
      <c r="E22" s="10"/>
      <c r="F22" s="28" t="s">
        <v>177</v>
      </c>
      <c r="G22" s="11" t="str">
        <f aca="false">IF(OR(A22="",N(D22)=0),"",IFERROR(D22*(1+IFERROR(IF(ISNUMBER(INDEX(Moldes!$K$5:$K$154,MATCH(A22,Moldes!$A$5:$A$154,0))),INDEX(Moldes!$K$5:$K$154,MATCH(A22,Moldes!$A$5:$A$154,0)),Precios!$Q$12),Precios!$Q$12))*(INDEX(Precios!$F$5:$F$124,MATCH(E22,Precios!$A$5:$A$124,0))+IF(F22="Sí",Precios!$Q$10,0)),"falta $ tela"))</f>
        <v/>
      </c>
      <c r="H22" s="32" t="str">
        <f aca="false">IF(A22="","",A22&amp;"|"&amp;COUNTIF($A$5:A22,A22))</f>
        <v>05 · FUTMUJV01|2</v>
      </c>
    </row>
    <row r="23" customFormat="false" ht="15" hidden="false" customHeight="false" outlineLevel="0" collapsed="false">
      <c r="A23" s="28" t="s">
        <v>67</v>
      </c>
      <c r="B23" s="28" t="s">
        <v>179</v>
      </c>
      <c r="C23" s="28" t="n">
        <v>2</v>
      </c>
      <c r="D23" s="31"/>
      <c r="E23" s="10"/>
      <c r="F23" s="28" t="s">
        <v>177</v>
      </c>
      <c r="G23" s="11" t="str">
        <f aca="false">IF(OR(A23="",N(D23)=0),"",IFERROR(D23*(1+IFERROR(IF(ISNUMBER(INDEX(Moldes!$K$5:$K$154,MATCH(A23,Moldes!$A$5:$A$154,0))),INDEX(Moldes!$K$5:$K$154,MATCH(A23,Moldes!$A$5:$A$154,0)),Precios!$Q$12),Precios!$Q$12))*(INDEX(Precios!$F$5:$F$124,MATCH(E23,Precios!$A$5:$A$124,0))+IF(F23="Sí",Precios!$Q$10,0)),"falta $ tela"))</f>
        <v/>
      </c>
      <c r="H23" s="32" t="str">
        <f aca="false">IF(A23="","",A23&amp;"|"&amp;COUNTIF($A$5:A23,A23))</f>
        <v>05 · FUTMUJV01|3</v>
      </c>
    </row>
    <row r="24" customFormat="false" ht="15" hidden="false" customHeight="false" outlineLevel="0" collapsed="false">
      <c r="A24" s="28" t="s">
        <v>67</v>
      </c>
      <c r="B24" s="28" t="s">
        <v>180</v>
      </c>
      <c r="C24" s="28" t="n">
        <v>1</v>
      </c>
      <c r="D24" s="31"/>
      <c r="E24" s="10"/>
      <c r="F24" s="28" t="s">
        <v>177</v>
      </c>
      <c r="G24" s="11" t="str">
        <f aca="false">IF(OR(A24="",N(D24)=0),"",IFERROR(D24*(1+IFERROR(IF(ISNUMBER(INDEX(Moldes!$K$5:$K$154,MATCH(A24,Moldes!$A$5:$A$154,0))),INDEX(Moldes!$K$5:$K$154,MATCH(A24,Moldes!$A$5:$A$154,0)),Precios!$Q$12),Precios!$Q$12))*(INDEX(Precios!$F$5:$F$124,MATCH(E24,Precios!$A$5:$A$124,0))+IF(F24="Sí",Precios!$Q$10,0)),"falta $ tela"))</f>
        <v/>
      </c>
      <c r="H24" s="32" t="str">
        <f aca="false">IF(A24="","",A24&amp;"|"&amp;COUNTIF($A$5:A24,A24))</f>
        <v>05 · FUTMUJV01|4</v>
      </c>
    </row>
    <row r="25" customFormat="false" ht="15" hidden="false" customHeight="false" outlineLevel="0" collapsed="false">
      <c r="A25" s="28" t="s">
        <v>69</v>
      </c>
      <c r="B25" s="28" t="s">
        <v>176</v>
      </c>
      <c r="C25" s="28" t="n">
        <v>1</v>
      </c>
      <c r="D25" s="31"/>
      <c r="E25" s="10"/>
      <c r="F25" s="28" t="s">
        <v>177</v>
      </c>
      <c r="G25" s="11" t="str">
        <f aca="false">IF(OR(A25="",N(D25)=0),"",IFERROR(D25*(1+IFERROR(IF(ISNUMBER(INDEX(Moldes!$K$5:$K$154,MATCH(A25,Moldes!$A$5:$A$154,0))),INDEX(Moldes!$K$5:$K$154,MATCH(A25,Moldes!$A$5:$A$154,0)),Precios!$Q$12),Precios!$Q$12))*(INDEX(Precios!$F$5:$F$124,MATCH(E25,Precios!$A$5:$A$124,0))+IF(F25="Sí",Precios!$Q$10,0)),"falta $ tela"))</f>
        <v/>
      </c>
      <c r="H25" s="32" t="str">
        <f aca="false">IF(A25="","",A25&amp;"|"&amp;COUNTIF($A$5:A25,A25))</f>
        <v>06 · FUTHOMV01|1</v>
      </c>
    </row>
    <row r="26" customFormat="false" ht="15" hidden="false" customHeight="false" outlineLevel="0" collapsed="false">
      <c r="A26" s="28" t="s">
        <v>69</v>
      </c>
      <c r="B26" s="28" t="s">
        <v>178</v>
      </c>
      <c r="C26" s="28" t="n">
        <v>1</v>
      </c>
      <c r="D26" s="31"/>
      <c r="E26" s="10"/>
      <c r="F26" s="28" t="s">
        <v>177</v>
      </c>
      <c r="G26" s="11" t="str">
        <f aca="false">IF(OR(A26="",N(D26)=0),"",IFERROR(D26*(1+IFERROR(IF(ISNUMBER(INDEX(Moldes!$K$5:$K$154,MATCH(A26,Moldes!$A$5:$A$154,0))),INDEX(Moldes!$K$5:$K$154,MATCH(A26,Moldes!$A$5:$A$154,0)),Precios!$Q$12),Precios!$Q$12))*(INDEX(Precios!$F$5:$F$124,MATCH(E26,Precios!$A$5:$A$124,0))+IF(F26="Sí",Precios!$Q$10,0)),"falta $ tela"))</f>
        <v/>
      </c>
      <c r="H26" s="32" t="str">
        <f aca="false">IF(A26="","",A26&amp;"|"&amp;COUNTIF($A$5:A26,A26))</f>
        <v>06 · FUTHOMV01|2</v>
      </c>
    </row>
    <row r="27" customFormat="false" ht="15" hidden="false" customHeight="false" outlineLevel="0" collapsed="false">
      <c r="A27" s="28" t="s">
        <v>69</v>
      </c>
      <c r="B27" s="28" t="s">
        <v>179</v>
      </c>
      <c r="C27" s="28" t="n">
        <v>2</v>
      </c>
      <c r="D27" s="31"/>
      <c r="E27" s="10"/>
      <c r="F27" s="28" t="s">
        <v>177</v>
      </c>
      <c r="G27" s="11" t="str">
        <f aca="false">IF(OR(A27="",N(D27)=0),"",IFERROR(D27*(1+IFERROR(IF(ISNUMBER(INDEX(Moldes!$K$5:$K$154,MATCH(A27,Moldes!$A$5:$A$154,0))),INDEX(Moldes!$K$5:$K$154,MATCH(A27,Moldes!$A$5:$A$154,0)),Precios!$Q$12),Precios!$Q$12))*(INDEX(Precios!$F$5:$F$124,MATCH(E27,Precios!$A$5:$A$124,0))+IF(F27="Sí",Precios!$Q$10,0)),"falta $ tela"))</f>
        <v/>
      </c>
      <c r="H27" s="32" t="str">
        <f aca="false">IF(A27="","",A27&amp;"|"&amp;COUNTIF($A$5:A27,A27))</f>
        <v>06 · FUTHOMV01|3</v>
      </c>
    </row>
    <row r="28" customFormat="false" ht="15" hidden="false" customHeight="false" outlineLevel="0" collapsed="false">
      <c r="A28" s="28" t="s">
        <v>69</v>
      </c>
      <c r="B28" s="28" t="s">
        <v>180</v>
      </c>
      <c r="C28" s="28" t="n">
        <v>1</v>
      </c>
      <c r="D28" s="31"/>
      <c r="E28" s="10"/>
      <c r="F28" s="28" t="s">
        <v>177</v>
      </c>
      <c r="G28" s="11" t="str">
        <f aca="false">IF(OR(A28="",N(D28)=0),"",IFERROR(D28*(1+IFERROR(IF(ISNUMBER(INDEX(Moldes!$K$5:$K$154,MATCH(A28,Moldes!$A$5:$A$154,0))),INDEX(Moldes!$K$5:$K$154,MATCH(A28,Moldes!$A$5:$A$154,0)),Precios!$Q$12),Precios!$Q$12))*(INDEX(Precios!$F$5:$F$124,MATCH(E28,Precios!$A$5:$A$124,0))+IF(F28="Sí",Precios!$Q$10,0)),"falta $ tela"))</f>
        <v/>
      </c>
      <c r="H28" s="32" t="str">
        <f aca="false">IF(A28="","",A28&amp;"|"&amp;COUNTIF($A$5:A28,A28))</f>
        <v>06 · FUTHOMV01|4</v>
      </c>
    </row>
    <row r="29" customFormat="false" ht="15" hidden="false" customHeight="false" outlineLevel="0" collapsed="false">
      <c r="A29" s="28" t="s">
        <v>70</v>
      </c>
      <c r="B29" s="28" t="s">
        <v>176</v>
      </c>
      <c r="C29" s="28" t="n">
        <v>1</v>
      </c>
      <c r="D29" s="31"/>
      <c r="E29" s="10"/>
      <c r="F29" s="28" t="s">
        <v>177</v>
      </c>
      <c r="G29" s="11" t="str">
        <f aca="false">IF(OR(A29="",N(D29)=0),"",IFERROR(D29*(1+IFERROR(IF(ISNUMBER(INDEX(Moldes!$K$5:$K$154,MATCH(A29,Moldes!$A$5:$A$154,0))),INDEX(Moldes!$K$5:$K$154,MATCH(A29,Moldes!$A$5:$A$154,0)),Precios!$Q$12),Precios!$Q$12))*(INDEX(Precios!$F$5:$F$124,MATCH(E29,Precios!$A$5:$A$124,0))+IF(F29="Sí",Precios!$Q$10,0)),"falta $ tela"))</f>
        <v/>
      </c>
      <c r="H29" s="32" t="str">
        <f aca="false">IF(A29="","",A29&amp;"|"&amp;COUNTIF($A$5:A29,A29))</f>
        <v>07 · FUTINMUJV01|1</v>
      </c>
    </row>
    <row r="30" customFormat="false" ht="15" hidden="false" customHeight="false" outlineLevel="0" collapsed="false">
      <c r="A30" s="28" t="s">
        <v>70</v>
      </c>
      <c r="B30" s="28" t="s">
        <v>178</v>
      </c>
      <c r="C30" s="28" t="n">
        <v>1</v>
      </c>
      <c r="D30" s="31"/>
      <c r="E30" s="10"/>
      <c r="F30" s="28" t="s">
        <v>177</v>
      </c>
      <c r="G30" s="11" t="str">
        <f aca="false">IF(OR(A30="",N(D30)=0),"",IFERROR(D30*(1+IFERROR(IF(ISNUMBER(INDEX(Moldes!$K$5:$K$154,MATCH(A30,Moldes!$A$5:$A$154,0))),INDEX(Moldes!$K$5:$K$154,MATCH(A30,Moldes!$A$5:$A$154,0)),Precios!$Q$12),Precios!$Q$12))*(INDEX(Precios!$F$5:$F$124,MATCH(E30,Precios!$A$5:$A$124,0))+IF(F30="Sí",Precios!$Q$10,0)),"falta $ tela"))</f>
        <v/>
      </c>
      <c r="H30" s="32" t="str">
        <f aca="false">IF(A30="","",A30&amp;"|"&amp;COUNTIF($A$5:A30,A30))</f>
        <v>07 · FUTINMUJV01|2</v>
      </c>
    </row>
    <row r="31" customFormat="false" ht="15" hidden="false" customHeight="false" outlineLevel="0" collapsed="false">
      <c r="A31" s="28" t="s">
        <v>70</v>
      </c>
      <c r="B31" s="28" t="s">
        <v>179</v>
      </c>
      <c r="C31" s="28" t="n">
        <v>2</v>
      </c>
      <c r="D31" s="31"/>
      <c r="E31" s="10"/>
      <c r="F31" s="28" t="s">
        <v>177</v>
      </c>
      <c r="G31" s="11" t="str">
        <f aca="false">IF(OR(A31="",N(D31)=0),"",IFERROR(D31*(1+IFERROR(IF(ISNUMBER(INDEX(Moldes!$K$5:$K$154,MATCH(A31,Moldes!$A$5:$A$154,0))),INDEX(Moldes!$K$5:$K$154,MATCH(A31,Moldes!$A$5:$A$154,0)),Precios!$Q$12),Precios!$Q$12))*(INDEX(Precios!$F$5:$F$124,MATCH(E31,Precios!$A$5:$A$124,0))+IF(F31="Sí",Precios!$Q$10,0)),"falta $ tela"))</f>
        <v/>
      </c>
      <c r="H31" s="32" t="str">
        <f aca="false">IF(A31="","",A31&amp;"|"&amp;COUNTIF($A$5:A31,A31))</f>
        <v>07 · FUTINMUJV01|3</v>
      </c>
    </row>
    <row r="32" customFormat="false" ht="15" hidden="false" customHeight="false" outlineLevel="0" collapsed="false">
      <c r="A32" s="28" t="s">
        <v>70</v>
      </c>
      <c r="B32" s="28" t="s">
        <v>180</v>
      </c>
      <c r="C32" s="28" t="n">
        <v>1</v>
      </c>
      <c r="D32" s="31"/>
      <c r="E32" s="10"/>
      <c r="F32" s="28" t="s">
        <v>177</v>
      </c>
      <c r="G32" s="11" t="str">
        <f aca="false">IF(OR(A32="",N(D32)=0),"",IFERROR(D32*(1+IFERROR(IF(ISNUMBER(INDEX(Moldes!$K$5:$K$154,MATCH(A32,Moldes!$A$5:$A$154,0))),INDEX(Moldes!$K$5:$K$154,MATCH(A32,Moldes!$A$5:$A$154,0)),Precios!$Q$12),Precios!$Q$12))*(INDEX(Precios!$F$5:$F$124,MATCH(E32,Precios!$A$5:$A$124,0))+IF(F32="Sí",Precios!$Q$10,0)),"falta $ tela"))</f>
        <v/>
      </c>
      <c r="H32" s="32" t="str">
        <f aca="false">IF(A32="","",A32&amp;"|"&amp;COUNTIF($A$5:A32,A32))</f>
        <v>07 · FUTINMUJV01|4</v>
      </c>
    </row>
    <row r="33" customFormat="false" ht="15" hidden="false" customHeight="false" outlineLevel="0" collapsed="false">
      <c r="A33" s="28" t="s">
        <v>72</v>
      </c>
      <c r="B33" s="28" t="s">
        <v>176</v>
      </c>
      <c r="C33" s="28" t="n">
        <v>1</v>
      </c>
      <c r="D33" s="31"/>
      <c r="E33" s="10"/>
      <c r="F33" s="28" t="s">
        <v>177</v>
      </c>
      <c r="G33" s="11" t="str">
        <f aca="false">IF(OR(A33="",N(D33)=0),"",IFERROR(D33*(1+IFERROR(IF(ISNUMBER(INDEX(Moldes!$K$5:$K$154,MATCH(A33,Moldes!$A$5:$A$154,0))),INDEX(Moldes!$K$5:$K$154,MATCH(A33,Moldes!$A$5:$A$154,0)),Precios!$Q$12),Precios!$Q$12))*(INDEX(Precios!$F$5:$F$124,MATCH(E33,Precios!$A$5:$A$124,0))+IF(F33="Sí",Precios!$Q$10,0)),"falta $ tela"))</f>
        <v/>
      </c>
      <c r="H33" s="32" t="str">
        <f aca="false">IF(A33="","",A33&amp;"|"&amp;COUNTIF($A$5:A33,A33))</f>
        <v>08 · FUTINHOMV01|1</v>
      </c>
    </row>
    <row r="34" customFormat="false" ht="15" hidden="false" customHeight="false" outlineLevel="0" collapsed="false">
      <c r="A34" s="28" t="s">
        <v>72</v>
      </c>
      <c r="B34" s="28" t="s">
        <v>178</v>
      </c>
      <c r="C34" s="28" t="n">
        <v>1</v>
      </c>
      <c r="D34" s="31"/>
      <c r="E34" s="10"/>
      <c r="F34" s="28" t="s">
        <v>177</v>
      </c>
      <c r="G34" s="11" t="str">
        <f aca="false">IF(OR(A34="",N(D34)=0),"",IFERROR(D34*(1+IFERROR(IF(ISNUMBER(INDEX(Moldes!$K$5:$K$154,MATCH(A34,Moldes!$A$5:$A$154,0))),INDEX(Moldes!$K$5:$K$154,MATCH(A34,Moldes!$A$5:$A$154,0)),Precios!$Q$12),Precios!$Q$12))*(INDEX(Precios!$F$5:$F$124,MATCH(E34,Precios!$A$5:$A$124,0))+IF(F34="Sí",Precios!$Q$10,0)),"falta $ tela"))</f>
        <v/>
      </c>
      <c r="H34" s="32" t="str">
        <f aca="false">IF(A34="","",A34&amp;"|"&amp;COUNTIF($A$5:A34,A34))</f>
        <v>08 · FUTINHOMV01|2</v>
      </c>
    </row>
    <row r="35" customFormat="false" ht="15" hidden="false" customHeight="false" outlineLevel="0" collapsed="false">
      <c r="A35" s="28" t="s">
        <v>72</v>
      </c>
      <c r="B35" s="28" t="s">
        <v>179</v>
      </c>
      <c r="C35" s="28" t="n">
        <v>2</v>
      </c>
      <c r="D35" s="31"/>
      <c r="E35" s="10"/>
      <c r="F35" s="28" t="s">
        <v>177</v>
      </c>
      <c r="G35" s="11" t="str">
        <f aca="false">IF(OR(A35="",N(D35)=0),"",IFERROR(D35*(1+IFERROR(IF(ISNUMBER(INDEX(Moldes!$K$5:$K$154,MATCH(A35,Moldes!$A$5:$A$154,0))),INDEX(Moldes!$K$5:$K$154,MATCH(A35,Moldes!$A$5:$A$154,0)),Precios!$Q$12),Precios!$Q$12))*(INDEX(Precios!$F$5:$F$124,MATCH(E35,Precios!$A$5:$A$124,0))+IF(F35="Sí",Precios!$Q$10,0)),"falta $ tela"))</f>
        <v/>
      </c>
      <c r="H35" s="32" t="str">
        <f aca="false">IF(A35="","",A35&amp;"|"&amp;COUNTIF($A$5:A35,A35))</f>
        <v>08 · FUTINHOMV01|3</v>
      </c>
    </row>
    <row r="36" customFormat="false" ht="15" hidden="false" customHeight="false" outlineLevel="0" collapsed="false">
      <c r="A36" s="28" t="s">
        <v>72</v>
      </c>
      <c r="B36" s="28" t="s">
        <v>180</v>
      </c>
      <c r="C36" s="28" t="n">
        <v>1</v>
      </c>
      <c r="D36" s="31"/>
      <c r="E36" s="10"/>
      <c r="F36" s="28" t="s">
        <v>177</v>
      </c>
      <c r="G36" s="11" t="str">
        <f aca="false">IF(OR(A36="",N(D36)=0),"",IFERROR(D36*(1+IFERROR(IF(ISNUMBER(INDEX(Moldes!$K$5:$K$154,MATCH(A36,Moldes!$A$5:$A$154,0))),INDEX(Moldes!$K$5:$K$154,MATCH(A36,Moldes!$A$5:$A$154,0)),Precios!$Q$12),Precios!$Q$12))*(INDEX(Precios!$F$5:$F$124,MATCH(E36,Precios!$A$5:$A$124,0))+IF(F36="Sí",Precios!$Q$10,0)),"falta $ tela"))</f>
        <v/>
      </c>
      <c r="H36" s="32" t="str">
        <f aca="false">IF(A36="","",A36&amp;"|"&amp;COUNTIF($A$5:A36,A36))</f>
        <v>08 · FUTINHOMV01|4</v>
      </c>
    </row>
    <row r="37" customFormat="false" ht="15" hidden="false" customHeight="false" outlineLevel="0" collapsed="false">
      <c r="A37" s="28" t="s">
        <v>73</v>
      </c>
      <c r="B37" s="28" t="s">
        <v>176</v>
      </c>
      <c r="C37" s="28" t="n">
        <v>1</v>
      </c>
      <c r="D37" s="31"/>
      <c r="E37" s="10"/>
      <c r="F37" s="28" t="s">
        <v>177</v>
      </c>
      <c r="G37" s="11" t="str">
        <f aca="false">IF(OR(A37="",N(D37)=0),"",IFERROR(D37*(1+IFERROR(IF(ISNUMBER(INDEX(Moldes!$K$5:$K$154,MATCH(A37,Moldes!$A$5:$A$154,0))),INDEX(Moldes!$K$5:$K$154,MATCH(A37,Moldes!$A$5:$A$154,0)),Precios!$Q$12),Precios!$Q$12))*(INDEX(Precios!$F$5:$F$124,MATCH(E37,Precios!$A$5:$A$124,0))+IF(F37="Sí",Precios!$Q$10,0)),"falta $ tela"))</f>
        <v/>
      </c>
      <c r="H37" s="32" t="str">
        <f aca="false">IF(A37="","",A37&amp;"|"&amp;COUNTIF($A$5:A37,A37))</f>
        <v>09 · FUTMUJCC01|1</v>
      </c>
    </row>
    <row r="38" customFormat="false" ht="15" hidden="false" customHeight="false" outlineLevel="0" collapsed="false">
      <c r="A38" s="28" t="s">
        <v>73</v>
      </c>
      <c r="B38" s="28" t="s">
        <v>178</v>
      </c>
      <c r="C38" s="28" t="n">
        <v>1</v>
      </c>
      <c r="D38" s="31"/>
      <c r="E38" s="10"/>
      <c r="F38" s="28" t="s">
        <v>177</v>
      </c>
      <c r="G38" s="11" t="str">
        <f aca="false">IF(OR(A38="",N(D38)=0),"",IFERROR(D38*(1+IFERROR(IF(ISNUMBER(INDEX(Moldes!$K$5:$K$154,MATCH(A38,Moldes!$A$5:$A$154,0))),INDEX(Moldes!$K$5:$K$154,MATCH(A38,Moldes!$A$5:$A$154,0)),Precios!$Q$12),Precios!$Q$12))*(INDEX(Precios!$F$5:$F$124,MATCH(E38,Precios!$A$5:$A$124,0))+IF(F38="Sí",Precios!$Q$10,0)),"falta $ tela"))</f>
        <v/>
      </c>
      <c r="H38" s="32" t="str">
        <f aca="false">IF(A38="","",A38&amp;"|"&amp;COUNTIF($A$5:A38,A38))</f>
        <v>09 · FUTMUJCC01|2</v>
      </c>
    </row>
    <row r="39" customFormat="false" ht="15" hidden="false" customHeight="false" outlineLevel="0" collapsed="false">
      <c r="A39" s="28" t="s">
        <v>73</v>
      </c>
      <c r="B39" s="28" t="s">
        <v>179</v>
      </c>
      <c r="C39" s="28" t="n">
        <v>2</v>
      </c>
      <c r="D39" s="31"/>
      <c r="E39" s="10"/>
      <c r="F39" s="28" t="s">
        <v>177</v>
      </c>
      <c r="G39" s="11" t="str">
        <f aca="false">IF(OR(A39="",N(D39)=0),"",IFERROR(D39*(1+IFERROR(IF(ISNUMBER(INDEX(Moldes!$K$5:$K$154,MATCH(A39,Moldes!$A$5:$A$154,0))),INDEX(Moldes!$K$5:$K$154,MATCH(A39,Moldes!$A$5:$A$154,0)),Precios!$Q$12),Precios!$Q$12))*(INDEX(Precios!$F$5:$F$124,MATCH(E39,Precios!$A$5:$A$124,0))+IF(F39="Sí",Precios!$Q$10,0)),"falta $ tela"))</f>
        <v/>
      </c>
      <c r="H39" s="32" t="str">
        <f aca="false">IF(A39="","",A39&amp;"|"&amp;COUNTIF($A$5:A39,A39))</f>
        <v>09 · FUTMUJCC01|3</v>
      </c>
    </row>
    <row r="40" customFormat="false" ht="15" hidden="false" customHeight="false" outlineLevel="0" collapsed="false">
      <c r="A40" s="28" t="s">
        <v>73</v>
      </c>
      <c r="B40" s="28" t="s">
        <v>182</v>
      </c>
      <c r="C40" s="28" t="n">
        <v>1</v>
      </c>
      <c r="D40" s="31"/>
      <c r="E40" s="10"/>
      <c r="F40" s="28" t="s">
        <v>177</v>
      </c>
      <c r="G40" s="11" t="str">
        <f aca="false">IF(OR(A40="",N(D40)=0),"",IFERROR(D40*(1+IFERROR(IF(ISNUMBER(INDEX(Moldes!$K$5:$K$154,MATCH(A40,Moldes!$A$5:$A$154,0))),INDEX(Moldes!$K$5:$K$154,MATCH(A40,Moldes!$A$5:$A$154,0)),Precios!$Q$12),Precios!$Q$12))*(INDEX(Precios!$F$5:$F$124,MATCH(E40,Precios!$A$5:$A$124,0))+IF(F40="Sí",Precios!$Q$10,0)),"falta $ tela"))</f>
        <v/>
      </c>
      <c r="H40" s="32" t="str">
        <f aca="false">IF(A40="","",A40&amp;"|"&amp;COUNTIF($A$5:A40,A40))</f>
        <v>09 · FUTMUJCC01|4</v>
      </c>
    </row>
    <row r="41" customFormat="false" ht="15" hidden="false" customHeight="false" outlineLevel="0" collapsed="false">
      <c r="A41" s="28" t="s">
        <v>75</v>
      </c>
      <c r="B41" s="28" t="s">
        <v>176</v>
      </c>
      <c r="C41" s="28" t="n">
        <v>1</v>
      </c>
      <c r="D41" s="31"/>
      <c r="E41" s="10"/>
      <c r="F41" s="28" t="s">
        <v>177</v>
      </c>
      <c r="G41" s="11" t="str">
        <f aca="false">IF(OR(A41="",N(D41)=0),"",IFERROR(D41*(1+IFERROR(IF(ISNUMBER(INDEX(Moldes!$K$5:$K$154,MATCH(A41,Moldes!$A$5:$A$154,0))),INDEX(Moldes!$K$5:$K$154,MATCH(A41,Moldes!$A$5:$A$154,0)),Precios!$Q$12),Precios!$Q$12))*(INDEX(Precios!$F$5:$F$124,MATCH(E41,Precios!$A$5:$A$124,0))+IF(F41="Sí",Precios!$Q$10,0)),"falta $ tela"))</f>
        <v/>
      </c>
      <c r="H41" s="32" t="str">
        <f aca="false">IF(A41="","",A41&amp;"|"&amp;COUNTIF($A$5:A41,A41))</f>
        <v>10 · FUTHOMCC01|1</v>
      </c>
    </row>
    <row r="42" customFormat="false" ht="15" hidden="false" customHeight="false" outlineLevel="0" collapsed="false">
      <c r="A42" s="28" t="s">
        <v>75</v>
      </c>
      <c r="B42" s="28" t="s">
        <v>178</v>
      </c>
      <c r="C42" s="28" t="n">
        <v>1</v>
      </c>
      <c r="D42" s="31"/>
      <c r="E42" s="10"/>
      <c r="F42" s="28" t="s">
        <v>177</v>
      </c>
      <c r="G42" s="11" t="str">
        <f aca="false">IF(OR(A42="",N(D42)=0),"",IFERROR(D42*(1+IFERROR(IF(ISNUMBER(INDEX(Moldes!$K$5:$K$154,MATCH(A42,Moldes!$A$5:$A$154,0))),INDEX(Moldes!$K$5:$K$154,MATCH(A42,Moldes!$A$5:$A$154,0)),Precios!$Q$12),Precios!$Q$12))*(INDEX(Precios!$F$5:$F$124,MATCH(E42,Precios!$A$5:$A$124,0))+IF(F42="Sí",Precios!$Q$10,0)),"falta $ tela"))</f>
        <v/>
      </c>
      <c r="H42" s="32" t="str">
        <f aca="false">IF(A42="","",A42&amp;"|"&amp;COUNTIF($A$5:A42,A42))</f>
        <v>10 · FUTHOMCC01|2</v>
      </c>
    </row>
    <row r="43" customFormat="false" ht="15" hidden="false" customHeight="false" outlineLevel="0" collapsed="false">
      <c r="A43" s="28" t="s">
        <v>75</v>
      </c>
      <c r="B43" s="28" t="s">
        <v>179</v>
      </c>
      <c r="C43" s="28" t="n">
        <v>2</v>
      </c>
      <c r="D43" s="31"/>
      <c r="E43" s="10"/>
      <c r="F43" s="28" t="s">
        <v>177</v>
      </c>
      <c r="G43" s="11" t="str">
        <f aca="false">IF(OR(A43="",N(D43)=0),"",IFERROR(D43*(1+IFERROR(IF(ISNUMBER(INDEX(Moldes!$K$5:$K$154,MATCH(A43,Moldes!$A$5:$A$154,0))),INDEX(Moldes!$K$5:$K$154,MATCH(A43,Moldes!$A$5:$A$154,0)),Precios!$Q$12),Precios!$Q$12))*(INDEX(Precios!$F$5:$F$124,MATCH(E43,Precios!$A$5:$A$124,0))+IF(F43="Sí",Precios!$Q$10,0)),"falta $ tela"))</f>
        <v/>
      </c>
      <c r="H43" s="32" t="str">
        <f aca="false">IF(A43="","",A43&amp;"|"&amp;COUNTIF($A$5:A43,A43))</f>
        <v>10 · FUTHOMCC01|3</v>
      </c>
    </row>
    <row r="44" customFormat="false" ht="15" hidden="false" customHeight="false" outlineLevel="0" collapsed="false">
      <c r="A44" s="28" t="s">
        <v>75</v>
      </c>
      <c r="B44" s="28" t="s">
        <v>182</v>
      </c>
      <c r="C44" s="28" t="n">
        <v>1</v>
      </c>
      <c r="D44" s="31"/>
      <c r="E44" s="10"/>
      <c r="F44" s="28" t="s">
        <v>177</v>
      </c>
      <c r="G44" s="11" t="str">
        <f aca="false">IF(OR(A44="",N(D44)=0),"",IFERROR(D44*(1+IFERROR(IF(ISNUMBER(INDEX(Moldes!$K$5:$K$154,MATCH(A44,Moldes!$A$5:$A$154,0))),INDEX(Moldes!$K$5:$K$154,MATCH(A44,Moldes!$A$5:$A$154,0)),Precios!$Q$12),Precios!$Q$12))*(INDEX(Precios!$F$5:$F$124,MATCH(E44,Precios!$A$5:$A$124,0))+IF(F44="Sí",Precios!$Q$10,0)),"falta $ tela"))</f>
        <v/>
      </c>
      <c r="H44" s="32" t="str">
        <f aca="false">IF(A44="","",A44&amp;"|"&amp;COUNTIF($A$5:A44,A44))</f>
        <v>10 · FUTHOMCC01|4</v>
      </c>
    </row>
    <row r="45" customFormat="false" ht="15" hidden="false" customHeight="false" outlineLevel="0" collapsed="false">
      <c r="A45" s="28" t="s">
        <v>76</v>
      </c>
      <c r="B45" s="28" t="s">
        <v>176</v>
      </c>
      <c r="C45" s="28" t="n">
        <v>1</v>
      </c>
      <c r="D45" s="31"/>
      <c r="E45" s="10"/>
      <c r="F45" s="28" t="s">
        <v>177</v>
      </c>
      <c r="G45" s="11" t="str">
        <f aca="false">IF(OR(A45="",N(D45)=0),"",IFERROR(D45*(1+IFERROR(IF(ISNUMBER(INDEX(Moldes!$K$5:$K$154,MATCH(A45,Moldes!$A$5:$A$154,0))),INDEX(Moldes!$K$5:$K$154,MATCH(A45,Moldes!$A$5:$A$154,0)),Precios!$Q$12),Precios!$Q$12))*(INDEX(Precios!$F$5:$F$124,MATCH(E45,Precios!$A$5:$A$124,0))+IF(F45="Sí",Precios!$Q$10,0)),"falta $ tela"))</f>
        <v/>
      </c>
      <c r="H45" s="32" t="str">
        <f aca="false">IF(A45="","",A45&amp;"|"&amp;COUNTIF($A$5:A45,A45))</f>
        <v>11 · FUTINMUJCC01|1</v>
      </c>
    </row>
    <row r="46" customFormat="false" ht="15" hidden="false" customHeight="false" outlineLevel="0" collapsed="false">
      <c r="A46" s="28" t="s">
        <v>76</v>
      </c>
      <c r="B46" s="28" t="s">
        <v>178</v>
      </c>
      <c r="C46" s="28" t="n">
        <v>1</v>
      </c>
      <c r="D46" s="31"/>
      <c r="E46" s="10"/>
      <c r="F46" s="28" t="s">
        <v>177</v>
      </c>
      <c r="G46" s="11" t="str">
        <f aca="false">IF(OR(A46="",N(D46)=0),"",IFERROR(D46*(1+IFERROR(IF(ISNUMBER(INDEX(Moldes!$K$5:$K$154,MATCH(A46,Moldes!$A$5:$A$154,0))),INDEX(Moldes!$K$5:$K$154,MATCH(A46,Moldes!$A$5:$A$154,0)),Precios!$Q$12),Precios!$Q$12))*(INDEX(Precios!$F$5:$F$124,MATCH(E46,Precios!$A$5:$A$124,0))+IF(F46="Sí",Precios!$Q$10,0)),"falta $ tela"))</f>
        <v/>
      </c>
      <c r="H46" s="32" t="str">
        <f aca="false">IF(A46="","",A46&amp;"|"&amp;COUNTIF($A$5:A46,A46))</f>
        <v>11 · FUTINMUJCC01|2</v>
      </c>
    </row>
    <row r="47" customFormat="false" ht="15" hidden="false" customHeight="false" outlineLevel="0" collapsed="false">
      <c r="A47" s="28" t="s">
        <v>76</v>
      </c>
      <c r="B47" s="28" t="s">
        <v>179</v>
      </c>
      <c r="C47" s="28" t="n">
        <v>2</v>
      </c>
      <c r="D47" s="31"/>
      <c r="E47" s="10"/>
      <c r="F47" s="28" t="s">
        <v>177</v>
      </c>
      <c r="G47" s="11" t="str">
        <f aca="false">IF(OR(A47="",N(D47)=0),"",IFERROR(D47*(1+IFERROR(IF(ISNUMBER(INDEX(Moldes!$K$5:$K$154,MATCH(A47,Moldes!$A$5:$A$154,0))),INDEX(Moldes!$K$5:$K$154,MATCH(A47,Moldes!$A$5:$A$154,0)),Precios!$Q$12),Precios!$Q$12))*(INDEX(Precios!$F$5:$F$124,MATCH(E47,Precios!$A$5:$A$124,0))+IF(F47="Sí",Precios!$Q$10,0)),"falta $ tela"))</f>
        <v/>
      </c>
      <c r="H47" s="32" t="str">
        <f aca="false">IF(A47="","",A47&amp;"|"&amp;COUNTIF($A$5:A47,A47))</f>
        <v>11 · FUTINMUJCC01|3</v>
      </c>
    </row>
    <row r="48" customFormat="false" ht="15" hidden="false" customHeight="false" outlineLevel="0" collapsed="false">
      <c r="A48" s="28" t="s">
        <v>76</v>
      </c>
      <c r="B48" s="28" t="s">
        <v>182</v>
      </c>
      <c r="C48" s="28" t="n">
        <v>1</v>
      </c>
      <c r="D48" s="31"/>
      <c r="E48" s="10"/>
      <c r="F48" s="28" t="s">
        <v>177</v>
      </c>
      <c r="G48" s="11" t="str">
        <f aca="false">IF(OR(A48="",N(D48)=0),"",IFERROR(D48*(1+IFERROR(IF(ISNUMBER(INDEX(Moldes!$K$5:$K$154,MATCH(A48,Moldes!$A$5:$A$154,0))),INDEX(Moldes!$K$5:$K$154,MATCH(A48,Moldes!$A$5:$A$154,0)),Precios!$Q$12),Precios!$Q$12))*(INDEX(Precios!$F$5:$F$124,MATCH(E48,Precios!$A$5:$A$124,0))+IF(F48="Sí",Precios!$Q$10,0)),"falta $ tela"))</f>
        <v/>
      </c>
      <c r="H48" s="32" t="str">
        <f aca="false">IF(A48="","",A48&amp;"|"&amp;COUNTIF($A$5:A48,A48))</f>
        <v>11 · FUTINMUJCC01|4</v>
      </c>
    </row>
    <row r="49" customFormat="false" ht="15" hidden="false" customHeight="false" outlineLevel="0" collapsed="false">
      <c r="A49" s="28" t="s">
        <v>78</v>
      </c>
      <c r="B49" s="28" t="s">
        <v>176</v>
      </c>
      <c r="C49" s="28" t="n">
        <v>1</v>
      </c>
      <c r="D49" s="31"/>
      <c r="E49" s="10"/>
      <c r="F49" s="28" t="s">
        <v>177</v>
      </c>
      <c r="G49" s="11" t="str">
        <f aca="false">IF(OR(A49="",N(D49)=0),"",IFERROR(D49*(1+IFERROR(IF(ISNUMBER(INDEX(Moldes!$K$5:$K$154,MATCH(A49,Moldes!$A$5:$A$154,0))),INDEX(Moldes!$K$5:$K$154,MATCH(A49,Moldes!$A$5:$A$154,0)),Precios!$Q$12),Precios!$Q$12))*(INDEX(Precios!$F$5:$F$124,MATCH(E49,Precios!$A$5:$A$124,0))+IF(F49="Sí",Precios!$Q$10,0)),"falta $ tela"))</f>
        <v/>
      </c>
      <c r="H49" s="32" t="str">
        <f aca="false">IF(A49="","",A49&amp;"|"&amp;COUNTIF($A$5:A49,A49))</f>
        <v>12 · FUTINHOMCC01|1</v>
      </c>
    </row>
    <row r="50" customFormat="false" ht="15" hidden="false" customHeight="false" outlineLevel="0" collapsed="false">
      <c r="A50" s="28" t="s">
        <v>78</v>
      </c>
      <c r="B50" s="28" t="s">
        <v>178</v>
      </c>
      <c r="C50" s="28" t="n">
        <v>1</v>
      </c>
      <c r="D50" s="31"/>
      <c r="E50" s="10"/>
      <c r="F50" s="28" t="s">
        <v>177</v>
      </c>
      <c r="G50" s="11" t="str">
        <f aca="false">IF(OR(A50="",N(D50)=0),"",IFERROR(D50*(1+IFERROR(IF(ISNUMBER(INDEX(Moldes!$K$5:$K$154,MATCH(A50,Moldes!$A$5:$A$154,0))),INDEX(Moldes!$K$5:$K$154,MATCH(A50,Moldes!$A$5:$A$154,0)),Precios!$Q$12),Precios!$Q$12))*(INDEX(Precios!$F$5:$F$124,MATCH(E50,Precios!$A$5:$A$124,0))+IF(F50="Sí",Precios!$Q$10,0)),"falta $ tela"))</f>
        <v/>
      </c>
      <c r="H50" s="32" t="str">
        <f aca="false">IF(A50="","",A50&amp;"|"&amp;COUNTIF($A$5:A50,A50))</f>
        <v>12 · FUTINHOMCC01|2</v>
      </c>
    </row>
    <row r="51" customFormat="false" ht="15" hidden="false" customHeight="false" outlineLevel="0" collapsed="false">
      <c r="A51" s="28" t="s">
        <v>78</v>
      </c>
      <c r="B51" s="28" t="s">
        <v>179</v>
      </c>
      <c r="C51" s="28" t="n">
        <v>2</v>
      </c>
      <c r="D51" s="31"/>
      <c r="E51" s="10"/>
      <c r="F51" s="28" t="s">
        <v>177</v>
      </c>
      <c r="G51" s="11" t="str">
        <f aca="false">IF(OR(A51="",N(D51)=0),"",IFERROR(D51*(1+IFERROR(IF(ISNUMBER(INDEX(Moldes!$K$5:$K$154,MATCH(A51,Moldes!$A$5:$A$154,0))),INDEX(Moldes!$K$5:$K$154,MATCH(A51,Moldes!$A$5:$A$154,0)),Precios!$Q$12),Precios!$Q$12))*(INDEX(Precios!$F$5:$F$124,MATCH(E51,Precios!$A$5:$A$124,0))+IF(F51="Sí",Precios!$Q$10,0)),"falta $ tela"))</f>
        <v/>
      </c>
      <c r="H51" s="32" t="str">
        <f aca="false">IF(A51="","",A51&amp;"|"&amp;COUNTIF($A$5:A51,A51))</f>
        <v>12 · FUTINHOMCC01|3</v>
      </c>
    </row>
    <row r="52" customFormat="false" ht="15" hidden="false" customHeight="false" outlineLevel="0" collapsed="false">
      <c r="A52" s="28" t="s">
        <v>78</v>
      </c>
      <c r="B52" s="28" t="s">
        <v>182</v>
      </c>
      <c r="C52" s="28" t="n">
        <v>1</v>
      </c>
      <c r="D52" s="31"/>
      <c r="E52" s="10"/>
      <c r="F52" s="28" t="s">
        <v>177</v>
      </c>
      <c r="G52" s="11" t="str">
        <f aca="false">IF(OR(A52="",N(D52)=0),"",IFERROR(D52*(1+IFERROR(IF(ISNUMBER(INDEX(Moldes!$K$5:$K$154,MATCH(A52,Moldes!$A$5:$A$154,0))),INDEX(Moldes!$K$5:$K$154,MATCH(A52,Moldes!$A$5:$A$154,0)),Precios!$Q$12),Precios!$Q$12))*(INDEX(Precios!$F$5:$F$124,MATCH(E52,Precios!$A$5:$A$124,0))+IF(F52="Sí",Precios!$Q$10,0)),"falta $ tela"))</f>
        <v/>
      </c>
      <c r="H52" s="32" t="str">
        <f aca="false">IF(A52="","",A52&amp;"|"&amp;COUNTIF($A$5:A52,A52))</f>
        <v>12 · FUTINHOMCC01|4</v>
      </c>
    </row>
    <row r="53" customFormat="false" ht="15" hidden="false" customHeight="false" outlineLevel="0" collapsed="false">
      <c r="A53" s="28" t="s">
        <v>79</v>
      </c>
      <c r="B53" s="28" t="s">
        <v>176</v>
      </c>
      <c r="C53" s="28" t="n">
        <v>1</v>
      </c>
      <c r="D53" s="31"/>
      <c r="E53" s="10" t="s">
        <v>183</v>
      </c>
      <c r="F53" s="28" t="s">
        <v>177</v>
      </c>
      <c r="G53" s="11" t="str">
        <f aca="false">IF(OR(A53="",N(D53)=0),"",IFERROR(D53*(1+IFERROR(IF(ISNUMBER(INDEX(Moldes!$K$5:$K$154,MATCH(A53,Moldes!$A$5:$A$154,0))),INDEX(Moldes!$K$5:$K$154,MATCH(A53,Moldes!$A$5:$A$154,0)),Precios!$Q$12),Precios!$Q$12))*(INDEX(Precios!$F$5:$F$124,MATCH(E53,Precios!$A$5:$A$124,0))+IF(F53="Sí",Precios!$Q$10,0)),"falta $ tela"))</f>
        <v/>
      </c>
      <c r="H53" s="32" t="str">
        <f aca="false">IF(A53="","",A53&amp;"|"&amp;COUNTIF($A$5:A53,A53))</f>
        <v>13 · FUTMUJU01PRO|1</v>
      </c>
    </row>
    <row r="54" customFormat="false" ht="15" hidden="false" customHeight="false" outlineLevel="0" collapsed="false">
      <c r="A54" s="28" t="s">
        <v>79</v>
      </c>
      <c r="B54" s="28" t="s">
        <v>178</v>
      </c>
      <c r="C54" s="28" t="n">
        <v>1</v>
      </c>
      <c r="D54" s="31"/>
      <c r="E54" s="10" t="s">
        <v>183</v>
      </c>
      <c r="F54" s="28" t="s">
        <v>177</v>
      </c>
      <c r="G54" s="11" t="str">
        <f aca="false">IF(OR(A54="",N(D54)=0),"",IFERROR(D54*(1+IFERROR(IF(ISNUMBER(INDEX(Moldes!$K$5:$K$154,MATCH(A54,Moldes!$A$5:$A$154,0))),INDEX(Moldes!$K$5:$K$154,MATCH(A54,Moldes!$A$5:$A$154,0)),Precios!$Q$12),Precios!$Q$12))*(INDEX(Precios!$F$5:$F$124,MATCH(E54,Precios!$A$5:$A$124,0))+IF(F54="Sí",Precios!$Q$10,0)),"falta $ tela"))</f>
        <v/>
      </c>
      <c r="H54" s="32" t="str">
        <f aca="false">IF(A54="","",A54&amp;"|"&amp;COUNTIF($A$5:A54,A54))</f>
        <v>13 · FUTMUJU01PRO|2</v>
      </c>
    </row>
    <row r="55" customFormat="false" ht="15" hidden="false" customHeight="false" outlineLevel="0" collapsed="false">
      <c r="A55" s="28" t="s">
        <v>79</v>
      </c>
      <c r="B55" s="28" t="s">
        <v>179</v>
      </c>
      <c r="C55" s="28" t="n">
        <v>2</v>
      </c>
      <c r="D55" s="31"/>
      <c r="E55" s="10" t="s">
        <v>183</v>
      </c>
      <c r="F55" s="28" t="s">
        <v>177</v>
      </c>
      <c r="G55" s="11" t="str">
        <f aca="false">IF(OR(A55="",N(D55)=0),"",IFERROR(D55*(1+IFERROR(IF(ISNUMBER(INDEX(Moldes!$K$5:$K$154,MATCH(A55,Moldes!$A$5:$A$154,0))),INDEX(Moldes!$K$5:$K$154,MATCH(A55,Moldes!$A$5:$A$154,0)),Precios!$Q$12),Precios!$Q$12))*(INDEX(Precios!$F$5:$F$124,MATCH(E55,Precios!$A$5:$A$124,0))+IF(F55="Sí",Precios!$Q$10,0)),"falta $ tela"))</f>
        <v/>
      </c>
      <c r="H55" s="32" t="str">
        <f aca="false">IF(A55="","",A55&amp;"|"&amp;COUNTIF($A$5:A55,A55))</f>
        <v>13 · FUTMUJU01PRO|3</v>
      </c>
    </row>
    <row r="56" customFormat="false" ht="15" hidden="false" customHeight="false" outlineLevel="0" collapsed="false">
      <c r="A56" s="28" t="s">
        <v>79</v>
      </c>
      <c r="B56" s="28" t="s">
        <v>180</v>
      </c>
      <c r="C56" s="28" t="n">
        <v>1</v>
      </c>
      <c r="D56" s="31"/>
      <c r="E56" s="10" t="s">
        <v>183</v>
      </c>
      <c r="F56" s="28" t="s">
        <v>177</v>
      </c>
      <c r="G56" s="11" t="str">
        <f aca="false">IF(OR(A56="",N(D56)=0),"",IFERROR(D56*(1+IFERROR(IF(ISNUMBER(INDEX(Moldes!$K$5:$K$154,MATCH(A56,Moldes!$A$5:$A$154,0))),INDEX(Moldes!$K$5:$K$154,MATCH(A56,Moldes!$A$5:$A$154,0)),Precios!$Q$12),Precios!$Q$12))*(INDEX(Precios!$F$5:$F$124,MATCH(E56,Precios!$A$5:$A$124,0))+IF(F56="Sí",Precios!$Q$10,0)),"falta $ tela"))</f>
        <v/>
      </c>
      <c r="H56" s="32" t="str">
        <f aca="false">IF(A56="","",A56&amp;"|"&amp;COUNTIF($A$5:A56,A56))</f>
        <v>13 · FUTMUJU01PRO|4</v>
      </c>
    </row>
    <row r="57" customFormat="false" ht="15" hidden="false" customHeight="false" outlineLevel="0" collapsed="false">
      <c r="A57" s="28" t="s">
        <v>79</v>
      </c>
      <c r="B57" s="28" t="s">
        <v>184</v>
      </c>
      <c r="C57" s="28" t="n">
        <v>2</v>
      </c>
      <c r="D57" s="31"/>
      <c r="E57" s="10" t="s">
        <v>183</v>
      </c>
      <c r="F57" s="28" t="s">
        <v>177</v>
      </c>
      <c r="G57" s="11" t="str">
        <f aca="false">IF(OR(A57="",N(D57)=0),"",IFERROR(D57*(1+IFERROR(IF(ISNUMBER(INDEX(Moldes!$K$5:$K$154,MATCH(A57,Moldes!$A$5:$A$154,0))),INDEX(Moldes!$K$5:$K$154,MATCH(A57,Moldes!$A$5:$A$154,0)),Precios!$Q$12),Precios!$Q$12))*(INDEX(Precios!$F$5:$F$124,MATCH(E57,Precios!$A$5:$A$124,0))+IF(F57="Sí",Precios!$Q$10,0)),"falta $ tela"))</f>
        <v/>
      </c>
      <c r="H57" s="32" t="str">
        <f aca="false">IF(A57="","",A57&amp;"|"&amp;COUNTIF($A$5:A57,A57))</f>
        <v>13 · FUTMUJU01PRO|5</v>
      </c>
    </row>
    <row r="58" customFormat="false" ht="15" hidden="false" customHeight="false" outlineLevel="0" collapsed="false">
      <c r="A58" s="28" t="s">
        <v>4</v>
      </c>
      <c r="B58" s="28" t="s">
        <v>176</v>
      </c>
      <c r="C58" s="28" t="n">
        <v>1</v>
      </c>
      <c r="D58" s="31"/>
      <c r="E58" s="10" t="s">
        <v>183</v>
      </c>
      <c r="F58" s="28" t="s">
        <v>177</v>
      </c>
      <c r="G58" s="11" t="str">
        <f aca="false">IF(OR(A58="",N(D58)=0),"",IFERROR(D58*(1+IFERROR(IF(ISNUMBER(INDEX(Moldes!$K$5:$K$154,MATCH(A58,Moldes!$A$5:$A$154,0))),INDEX(Moldes!$K$5:$K$154,MATCH(A58,Moldes!$A$5:$A$154,0)),Precios!$Q$12),Precios!$Q$12))*(INDEX(Precios!$F$5:$F$124,MATCH(E58,Precios!$A$5:$A$124,0))+IF(F58="Sí",Precios!$Q$10,0)),"falta $ tela"))</f>
        <v/>
      </c>
      <c r="H58" s="32" t="str">
        <f aca="false">IF(A58="","",A58&amp;"|"&amp;COUNTIF($A$5:A58,A58))</f>
        <v>14 · FUTHOMU01PRO|1</v>
      </c>
    </row>
    <row r="59" customFormat="false" ht="15" hidden="false" customHeight="false" outlineLevel="0" collapsed="false">
      <c r="A59" s="28" t="s">
        <v>4</v>
      </c>
      <c r="B59" s="28" t="s">
        <v>178</v>
      </c>
      <c r="C59" s="28" t="n">
        <v>1</v>
      </c>
      <c r="D59" s="31"/>
      <c r="E59" s="10" t="s">
        <v>183</v>
      </c>
      <c r="F59" s="28" t="s">
        <v>177</v>
      </c>
      <c r="G59" s="11" t="str">
        <f aca="false">IF(OR(A59="",N(D59)=0),"",IFERROR(D59*(1+IFERROR(IF(ISNUMBER(INDEX(Moldes!$K$5:$K$154,MATCH(A59,Moldes!$A$5:$A$154,0))),INDEX(Moldes!$K$5:$K$154,MATCH(A59,Moldes!$A$5:$A$154,0)),Precios!$Q$12),Precios!$Q$12))*(INDEX(Precios!$F$5:$F$124,MATCH(E59,Precios!$A$5:$A$124,0))+IF(F59="Sí",Precios!$Q$10,0)),"falta $ tela"))</f>
        <v/>
      </c>
      <c r="H59" s="32" t="str">
        <f aca="false">IF(A59="","",A59&amp;"|"&amp;COUNTIF($A$5:A59,A59))</f>
        <v>14 · FUTHOMU01PRO|2</v>
      </c>
    </row>
    <row r="60" customFormat="false" ht="15" hidden="false" customHeight="false" outlineLevel="0" collapsed="false">
      <c r="A60" s="28" t="s">
        <v>4</v>
      </c>
      <c r="B60" s="28" t="s">
        <v>179</v>
      </c>
      <c r="C60" s="28" t="n">
        <v>2</v>
      </c>
      <c r="D60" s="31"/>
      <c r="E60" s="10" t="s">
        <v>183</v>
      </c>
      <c r="F60" s="28" t="s">
        <v>177</v>
      </c>
      <c r="G60" s="11" t="str">
        <f aca="false">IF(OR(A60="",N(D60)=0),"",IFERROR(D60*(1+IFERROR(IF(ISNUMBER(INDEX(Moldes!$K$5:$K$154,MATCH(A60,Moldes!$A$5:$A$154,0))),INDEX(Moldes!$K$5:$K$154,MATCH(A60,Moldes!$A$5:$A$154,0)),Precios!$Q$12),Precios!$Q$12))*(INDEX(Precios!$F$5:$F$124,MATCH(E60,Precios!$A$5:$A$124,0))+IF(F60="Sí",Precios!$Q$10,0)),"falta $ tela"))</f>
        <v/>
      </c>
      <c r="H60" s="32" t="str">
        <f aca="false">IF(A60="","",A60&amp;"|"&amp;COUNTIF($A$5:A60,A60))</f>
        <v>14 · FUTHOMU01PRO|3</v>
      </c>
    </row>
    <row r="61" customFormat="false" ht="15" hidden="false" customHeight="false" outlineLevel="0" collapsed="false">
      <c r="A61" s="28" t="s">
        <v>4</v>
      </c>
      <c r="B61" s="28" t="s">
        <v>180</v>
      </c>
      <c r="C61" s="28" t="n">
        <v>1</v>
      </c>
      <c r="D61" s="31"/>
      <c r="E61" s="10" t="s">
        <v>183</v>
      </c>
      <c r="F61" s="28" t="s">
        <v>177</v>
      </c>
      <c r="G61" s="11" t="str">
        <f aca="false">IF(OR(A61="",N(D61)=0),"",IFERROR(D61*(1+IFERROR(IF(ISNUMBER(INDEX(Moldes!$K$5:$K$154,MATCH(A61,Moldes!$A$5:$A$154,0))),INDEX(Moldes!$K$5:$K$154,MATCH(A61,Moldes!$A$5:$A$154,0)),Precios!$Q$12),Precios!$Q$12))*(INDEX(Precios!$F$5:$F$124,MATCH(E61,Precios!$A$5:$A$124,0))+IF(F61="Sí",Precios!$Q$10,0)),"falta $ tela"))</f>
        <v/>
      </c>
      <c r="H61" s="32" t="str">
        <f aca="false">IF(A61="","",A61&amp;"|"&amp;COUNTIF($A$5:A61,A61))</f>
        <v>14 · FUTHOMU01PRO|4</v>
      </c>
    </row>
    <row r="62" customFormat="false" ht="15" hidden="false" customHeight="false" outlineLevel="0" collapsed="false">
      <c r="A62" s="28" t="s">
        <v>4</v>
      </c>
      <c r="B62" s="28" t="s">
        <v>184</v>
      </c>
      <c r="C62" s="28" t="n">
        <v>2</v>
      </c>
      <c r="D62" s="31"/>
      <c r="E62" s="10" t="s">
        <v>185</v>
      </c>
      <c r="F62" s="28" t="s">
        <v>177</v>
      </c>
      <c r="G62" s="11" t="str">
        <f aca="false">IF(OR(A62="",N(D62)=0),"",IFERROR(D62*(1+IFERROR(IF(ISNUMBER(INDEX(Moldes!$K$5:$K$154,MATCH(A62,Moldes!$A$5:$A$154,0))),INDEX(Moldes!$K$5:$K$154,MATCH(A62,Moldes!$A$5:$A$154,0)),Precios!$Q$12),Precios!$Q$12))*(INDEX(Precios!$F$5:$F$124,MATCH(E62,Precios!$A$5:$A$124,0))+IF(F62="Sí",Precios!$Q$10,0)),"falta $ tela"))</f>
        <v/>
      </c>
      <c r="H62" s="32" t="str">
        <f aca="false">IF(A62="","",A62&amp;"|"&amp;COUNTIF($A$5:A62,A62))</f>
        <v>14 · FUTHOMU01PRO|5</v>
      </c>
    </row>
    <row r="63" customFormat="false" ht="15" hidden="false" customHeight="false" outlineLevel="0" collapsed="false">
      <c r="A63" s="28" t="s">
        <v>83</v>
      </c>
      <c r="B63" s="28" t="s">
        <v>176</v>
      </c>
      <c r="C63" s="28" t="n">
        <v>1</v>
      </c>
      <c r="D63" s="31"/>
      <c r="E63" s="10"/>
      <c r="F63" s="28" t="s">
        <v>177</v>
      </c>
      <c r="G63" s="11" t="str">
        <f aca="false">IF(OR(A63="",N(D63)=0),"",IFERROR(D63*(1+IFERROR(IF(ISNUMBER(INDEX(Moldes!$K$5:$K$154,MATCH(A63,Moldes!$A$5:$A$154,0))),INDEX(Moldes!$K$5:$K$154,MATCH(A63,Moldes!$A$5:$A$154,0)),Precios!$Q$12),Precios!$Q$12))*(INDEX(Precios!$F$5:$F$124,MATCH(E63,Precios!$A$5:$A$124,0))+IF(F63="Sí",Precios!$Q$10,0)),"falta $ tela"))</f>
        <v/>
      </c>
      <c r="H63" s="32" t="str">
        <f aca="false">IF(A63="","",A63&amp;"|"&amp;COUNTIF($A$5:A63,A63))</f>
        <v>15 · FUTMUJV01PRO|1</v>
      </c>
    </row>
    <row r="64" customFormat="false" ht="15" hidden="false" customHeight="false" outlineLevel="0" collapsed="false">
      <c r="A64" s="28" t="s">
        <v>83</v>
      </c>
      <c r="B64" s="28" t="s">
        <v>178</v>
      </c>
      <c r="C64" s="28" t="n">
        <v>1</v>
      </c>
      <c r="D64" s="31"/>
      <c r="E64" s="10"/>
      <c r="F64" s="28" t="s">
        <v>177</v>
      </c>
      <c r="G64" s="11" t="str">
        <f aca="false">IF(OR(A64="",N(D64)=0),"",IFERROR(D64*(1+IFERROR(IF(ISNUMBER(INDEX(Moldes!$K$5:$K$154,MATCH(A64,Moldes!$A$5:$A$154,0))),INDEX(Moldes!$K$5:$K$154,MATCH(A64,Moldes!$A$5:$A$154,0)),Precios!$Q$12),Precios!$Q$12))*(INDEX(Precios!$F$5:$F$124,MATCH(E64,Precios!$A$5:$A$124,0))+IF(F64="Sí",Precios!$Q$10,0)),"falta $ tela"))</f>
        <v/>
      </c>
      <c r="H64" s="32" t="str">
        <f aca="false">IF(A64="","",A64&amp;"|"&amp;COUNTIF($A$5:A64,A64))</f>
        <v>15 · FUTMUJV01PRO|2</v>
      </c>
    </row>
    <row r="65" customFormat="false" ht="15" hidden="false" customHeight="false" outlineLevel="0" collapsed="false">
      <c r="A65" s="28" t="s">
        <v>83</v>
      </c>
      <c r="B65" s="28" t="s">
        <v>179</v>
      </c>
      <c r="C65" s="28" t="n">
        <v>2</v>
      </c>
      <c r="D65" s="31"/>
      <c r="E65" s="10"/>
      <c r="F65" s="28" t="s">
        <v>177</v>
      </c>
      <c r="G65" s="11" t="str">
        <f aca="false">IF(OR(A65="",N(D65)=0),"",IFERROR(D65*(1+IFERROR(IF(ISNUMBER(INDEX(Moldes!$K$5:$K$154,MATCH(A65,Moldes!$A$5:$A$154,0))),INDEX(Moldes!$K$5:$K$154,MATCH(A65,Moldes!$A$5:$A$154,0)),Precios!$Q$12),Precios!$Q$12))*(INDEX(Precios!$F$5:$F$124,MATCH(E65,Precios!$A$5:$A$124,0))+IF(F65="Sí",Precios!$Q$10,0)),"falta $ tela"))</f>
        <v/>
      </c>
      <c r="H65" s="32" t="str">
        <f aca="false">IF(A65="","",A65&amp;"|"&amp;COUNTIF($A$5:A65,A65))</f>
        <v>15 · FUTMUJV01PRO|3</v>
      </c>
    </row>
    <row r="66" customFormat="false" ht="15" hidden="false" customHeight="false" outlineLevel="0" collapsed="false">
      <c r="A66" s="28" t="s">
        <v>83</v>
      </c>
      <c r="B66" s="28" t="s">
        <v>180</v>
      </c>
      <c r="C66" s="28" t="n">
        <v>1</v>
      </c>
      <c r="D66" s="31"/>
      <c r="E66" s="10"/>
      <c r="F66" s="28" t="s">
        <v>177</v>
      </c>
      <c r="G66" s="11" t="str">
        <f aca="false">IF(OR(A66="",N(D66)=0),"",IFERROR(D66*(1+IFERROR(IF(ISNUMBER(INDEX(Moldes!$K$5:$K$154,MATCH(A66,Moldes!$A$5:$A$154,0))),INDEX(Moldes!$K$5:$K$154,MATCH(A66,Moldes!$A$5:$A$154,0)),Precios!$Q$12),Precios!$Q$12))*(INDEX(Precios!$F$5:$F$124,MATCH(E66,Precios!$A$5:$A$124,0))+IF(F66="Sí",Precios!$Q$10,0)),"falta $ tela"))</f>
        <v/>
      </c>
      <c r="H66" s="32" t="str">
        <f aca="false">IF(A66="","",A66&amp;"|"&amp;COUNTIF($A$5:A66,A66))</f>
        <v>15 · FUTMUJV01PRO|4</v>
      </c>
    </row>
    <row r="67" customFormat="false" ht="15" hidden="false" customHeight="false" outlineLevel="0" collapsed="false">
      <c r="A67" s="28" t="s">
        <v>83</v>
      </c>
      <c r="B67" s="28" t="s">
        <v>184</v>
      </c>
      <c r="C67" s="28" t="n">
        <v>2</v>
      </c>
      <c r="D67" s="31"/>
      <c r="E67" s="10"/>
      <c r="F67" s="28" t="s">
        <v>177</v>
      </c>
      <c r="G67" s="11" t="str">
        <f aca="false">IF(OR(A67="",N(D67)=0),"",IFERROR(D67*(1+IFERROR(IF(ISNUMBER(INDEX(Moldes!$K$5:$K$154,MATCH(A67,Moldes!$A$5:$A$154,0))),INDEX(Moldes!$K$5:$K$154,MATCH(A67,Moldes!$A$5:$A$154,0)),Precios!$Q$12),Precios!$Q$12))*(INDEX(Precios!$F$5:$F$124,MATCH(E67,Precios!$A$5:$A$124,0))+IF(F67="Sí",Precios!$Q$10,0)),"falta $ tela"))</f>
        <v/>
      </c>
      <c r="H67" s="32" t="str">
        <f aca="false">IF(A67="","",A67&amp;"|"&amp;COUNTIF($A$5:A67,A67))</f>
        <v>15 · FUTMUJV01PRO|5</v>
      </c>
    </row>
    <row r="68" customFormat="false" ht="15" hidden="false" customHeight="false" outlineLevel="0" collapsed="false">
      <c r="A68" s="28" t="s">
        <v>85</v>
      </c>
      <c r="B68" s="28" t="s">
        <v>176</v>
      </c>
      <c r="C68" s="28" t="n">
        <v>1</v>
      </c>
      <c r="D68" s="31"/>
      <c r="E68" s="10"/>
      <c r="F68" s="28" t="s">
        <v>177</v>
      </c>
      <c r="G68" s="11" t="str">
        <f aca="false">IF(OR(A68="",N(D68)=0),"",IFERROR(D68*(1+IFERROR(IF(ISNUMBER(INDEX(Moldes!$K$5:$K$154,MATCH(A68,Moldes!$A$5:$A$154,0))),INDEX(Moldes!$K$5:$K$154,MATCH(A68,Moldes!$A$5:$A$154,0)),Precios!$Q$12),Precios!$Q$12))*(INDEX(Precios!$F$5:$F$124,MATCH(E68,Precios!$A$5:$A$124,0))+IF(F68="Sí",Precios!$Q$10,0)),"falta $ tela"))</f>
        <v/>
      </c>
      <c r="H68" s="32" t="str">
        <f aca="false">IF(A68="","",A68&amp;"|"&amp;COUNTIF($A$5:A68,A68))</f>
        <v>16 · FUTHOMV01PRO|1</v>
      </c>
    </row>
    <row r="69" customFormat="false" ht="15" hidden="false" customHeight="false" outlineLevel="0" collapsed="false">
      <c r="A69" s="28" t="s">
        <v>85</v>
      </c>
      <c r="B69" s="28" t="s">
        <v>178</v>
      </c>
      <c r="C69" s="28" t="n">
        <v>1</v>
      </c>
      <c r="D69" s="31"/>
      <c r="E69" s="10"/>
      <c r="F69" s="28" t="s">
        <v>177</v>
      </c>
      <c r="G69" s="11" t="str">
        <f aca="false">IF(OR(A69="",N(D69)=0),"",IFERROR(D69*(1+IFERROR(IF(ISNUMBER(INDEX(Moldes!$K$5:$K$154,MATCH(A69,Moldes!$A$5:$A$154,0))),INDEX(Moldes!$K$5:$K$154,MATCH(A69,Moldes!$A$5:$A$154,0)),Precios!$Q$12),Precios!$Q$12))*(INDEX(Precios!$F$5:$F$124,MATCH(E69,Precios!$A$5:$A$124,0))+IF(F69="Sí",Precios!$Q$10,0)),"falta $ tela"))</f>
        <v/>
      </c>
      <c r="H69" s="32" t="str">
        <f aca="false">IF(A69="","",A69&amp;"|"&amp;COUNTIF($A$5:A69,A69))</f>
        <v>16 · FUTHOMV01PRO|2</v>
      </c>
    </row>
    <row r="70" customFormat="false" ht="15" hidden="false" customHeight="false" outlineLevel="0" collapsed="false">
      <c r="A70" s="28" t="s">
        <v>85</v>
      </c>
      <c r="B70" s="28" t="s">
        <v>179</v>
      </c>
      <c r="C70" s="28" t="n">
        <v>2</v>
      </c>
      <c r="D70" s="31"/>
      <c r="E70" s="10"/>
      <c r="F70" s="28" t="s">
        <v>177</v>
      </c>
      <c r="G70" s="11" t="str">
        <f aca="false">IF(OR(A70="",N(D70)=0),"",IFERROR(D70*(1+IFERROR(IF(ISNUMBER(INDEX(Moldes!$K$5:$K$154,MATCH(A70,Moldes!$A$5:$A$154,0))),INDEX(Moldes!$K$5:$K$154,MATCH(A70,Moldes!$A$5:$A$154,0)),Precios!$Q$12),Precios!$Q$12))*(INDEX(Precios!$F$5:$F$124,MATCH(E70,Precios!$A$5:$A$124,0))+IF(F70="Sí",Precios!$Q$10,0)),"falta $ tela"))</f>
        <v/>
      </c>
      <c r="H70" s="32" t="str">
        <f aca="false">IF(A70="","",A70&amp;"|"&amp;COUNTIF($A$5:A70,A70))</f>
        <v>16 · FUTHOMV01PRO|3</v>
      </c>
    </row>
    <row r="71" customFormat="false" ht="15" hidden="false" customHeight="false" outlineLevel="0" collapsed="false">
      <c r="A71" s="28" t="s">
        <v>85</v>
      </c>
      <c r="B71" s="28" t="s">
        <v>180</v>
      </c>
      <c r="C71" s="28" t="n">
        <v>1</v>
      </c>
      <c r="D71" s="31"/>
      <c r="E71" s="10"/>
      <c r="F71" s="28" t="s">
        <v>177</v>
      </c>
      <c r="G71" s="11" t="str">
        <f aca="false">IF(OR(A71="",N(D71)=0),"",IFERROR(D71*(1+IFERROR(IF(ISNUMBER(INDEX(Moldes!$K$5:$K$154,MATCH(A71,Moldes!$A$5:$A$154,0))),INDEX(Moldes!$K$5:$K$154,MATCH(A71,Moldes!$A$5:$A$154,0)),Precios!$Q$12),Precios!$Q$12))*(INDEX(Precios!$F$5:$F$124,MATCH(E71,Precios!$A$5:$A$124,0))+IF(F71="Sí",Precios!$Q$10,0)),"falta $ tela"))</f>
        <v/>
      </c>
      <c r="H71" s="32" t="str">
        <f aca="false">IF(A71="","",A71&amp;"|"&amp;COUNTIF($A$5:A71,A71))</f>
        <v>16 · FUTHOMV01PRO|4</v>
      </c>
    </row>
    <row r="72" customFormat="false" ht="15" hidden="false" customHeight="false" outlineLevel="0" collapsed="false">
      <c r="A72" s="28" t="s">
        <v>85</v>
      </c>
      <c r="B72" s="28" t="s">
        <v>184</v>
      </c>
      <c r="C72" s="28" t="n">
        <v>2</v>
      </c>
      <c r="D72" s="31"/>
      <c r="E72" s="10"/>
      <c r="F72" s="28" t="s">
        <v>177</v>
      </c>
      <c r="G72" s="11" t="str">
        <f aca="false">IF(OR(A72="",N(D72)=0),"",IFERROR(D72*(1+IFERROR(IF(ISNUMBER(INDEX(Moldes!$K$5:$K$154,MATCH(A72,Moldes!$A$5:$A$154,0))),INDEX(Moldes!$K$5:$K$154,MATCH(A72,Moldes!$A$5:$A$154,0)),Precios!$Q$12),Precios!$Q$12))*(INDEX(Precios!$F$5:$F$124,MATCH(E72,Precios!$A$5:$A$124,0))+IF(F72="Sí",Precios!$Q$10,0)),"falta $ tela"))</f>
        <v/>
      </c>
      <c r="H72" s="32" t="str">
        <f aca="false">IF(A72="","",A72&amp;"|"&amp;COUNTIF($A$5:A72,A72))</f>
        <v>16 · FUTHOMV01PRO|5</v>
      </c>
    </row>
    <row r="73" customFormat="false" ht="15" hidden="false" customHeight="false" outlineLevel="0" collapsed="false">
      <c r="A73" s="28" t="s">
        <v>86</v>
      </c>
      <c r="B73" s="28" t="s">
        <v>176</v>
      </c>
      <c r="C73" s="28" t="n">
        <v>1</v>
      </c>
      <c r="D73" s="31"/>
      <c r="E73" s="10"/>
      <c r="F73" s="28" t="s">
        <v>177</v>
      </c>
      <c r="G73" s="11" t="str">
        <f aca="false">IF(OR(A73="",N(D73)=0),"",IFERROR(D73*(1+IFERROR(IF(ISNUMBER(INDEX(Moldes!$K$5:$K$154,MATCH(A73,Moldes!$A$5:$A$154,0))),INDEX(Moldes!$K$5:$K$154,MATCH(A73,Moldes!$A$5:$A$154,0)),Precios!$Q$12),Precios!$Q$12))*(INDEX(Precios!$F$5:$F$124,MATCH(E73,Precios!$A$5:$A$124,0))+IF(F73="Sí",Precios!$Q$10,0)),"falta $ tela"))</f>
        <v/>
      </c>
      <c r="H73" s="32" t="str">
        <f aca="false">IF(A73="","",A73&amp;"|"&amp;COUNTIF($A$5:A73,A73))</f>
        <v>17 · FUTMUJU02|1</v>
      </c>
    </row>
    <row r="74" customFormat="false" ht="15" hidden="false" customHeight="false" outlineLevel="0" collapsed="false">
      <c r="A74" s="28" t="s">
        <v>86</v>
      </c>
      <c r="B74" s="28" t="s">
        <v>178</v>
      </c>
      <c r="C74" s="28" t="n">
        <v>1</v>
      </c>
      <c r="D74" s="31"/>
      <c r="E74" s="10"/>
      <c r="F74" s="28" t="s">
        <v>177</v>
      </c>
      <c r="G74" s="11" t="str">
        <f aca="false">IF(OR(A74="",N(D74)=0),"",IFERROR(D74*(1+IFERROR(IF(ISNUMBER(INDEX(Moldes!$K$5:$K$154,MATCH(A74,Moldes!$A$5:$A$154,0))),INDEX(Moldes!$K$5:$K$154,MATCH(A74,Moldes!$A$5:$A$154,0)),Precios!$Q$12),Precios!$Q$12))*(INDEX(Precios!$F$5:$F$124,MATCH(E74,Precios!$A$5:$A$124,0))+IF(F74="Sí",Precios!$Q$10,0)),"falta $ tela"))</f>
        <v/>
      </c>
      <c r="H74" s="32" t="str">
        <f aca="false">IF(A74="","",A74&amp;"|"&amp;COUNTIF($A$5:A74,A74))</f>
        <v>17 · FUTMUJU02|2</v>
      </c>
    </row>
    <row r="75" customFormat="false" ht="15" hidden="false" customHeight="false" outlineLevel="0" collapsed="false">
      <c r="A75" s="28" t="s">
        <v>86</v>
      </c>
      <c r="B75" s="28" t="s">
        <v>186</v>
      </c>
      <c r="C75" s="28" t="n">
        <v>2</v>
      </c>
      <c r="D75" s="31"/>
      <c r="E75" s="10"/>
      <c r="F75" s="28" t="s">
        <v>177</v>
      </c>
      <c r="G75" s="11" t="str">
        <f aca="false">IF(OR(A75="",N(D75)=0),"",IFERROR(D75*(1+IFERROR(IF(ISNUMBER(INDEX(Moldes!$K$5:$K$154,MATCH(A75,Moldes!$A$5:$A$154,0))),INDEX(Moldes!$K$5:$K$154,MATCH(A75,Moldes!$A$5:$A$154,0)),Precios!$Q$12),Precios!$Q$12))*(INDEX(Precios!$F$5:$F$124,MATCH(E75,Precios!$A$5:$A$124,0))+IF(F75="Sí",Precios!$Q$10,0)),"falta $ tela"))</f>
        <v/>
      </c>
      <c r="H75" s="32" t="str">
        <f aca="false">IF(A75="","",A75&amp;"|"&amp;COUNTIF($A$5:A75,A75))</f>
        <v>17 · FUTMUJU02|3</v>
      </c>
    </row>
    <row r="76" customFormat="false" ht="15" hidden="false" customHeight="false" outlineLevel="0" collapsed="false">
      <c r="A76" s="28" t="s">
        <v>86</v>
      </c>
      <c r="B76" s="28" t="s">
        <v>180</v>
      </c>
      <c r="C76" s="28" t="n">
        <v>1</v>
      </c>
      <c r="D76" s="31"/>
      <c r="E76" s="10"/>
      <c r="F76" s="28" t="s">
        <v>177</v>
      </c>
      <c r="G76" s="11" t="str">
        <f aca="false">IF(OR(A76="",N(D76)=0),"",IFERROR(D76*(1+IFERROR(IF(ISNUMBER(INDEX(Moldes!$K$5:$K$154,MATCH(A76,Moldes!$A$5:$A$154,0))),INDEX(Moldes!$K$5:$K$154,MATCH(A76,Moldes!$A$5:$A$154,0)),Precios!$Q$12),Precios!$Q$12))*(INDEX(Precios!$F$5:$F$124,MATCH(E76,Precios!$A$5:$A$124,0))+IF(F76="Sí",Precios!$Q$10,0)),"falta $ tela"))</f>
        <v/>
      </c>
      <c r="H76" s="32" t="str">
        <f aca="false">IF(A76="","",A76&amp;"|"&amp;COUNTIF($A$5:A76,A76))</f>
        <v>17 · FUTMUJU02|4</v>
      </c>
    </row>
    <row r="77" customFormat="false" ht="15" hidden="false" customHeight="false" outlineLevel="0" collapsed="false">
      <c r="A77" s="28" t="s">
        <v>89</v>
      </c>
      <c r="B77" s="28" t="s">
        <v>176</v>
      </c>
      <c r="C77" s="28" t="n">
        <v>1</v>
      </c>
      <c r="D77" s="31"/>
      <c r="E77" s="10"/>
      <c r="F77" s="28" t="s">
        <v>177</v>
      </c>
      <c r="G77" s="11" t="str">
        <f aca="false">IF(OR(A77="",N(D77)=0),"",IFERROR(D77*(1+IFERROR(IF(ISNUMBER(INDEX(Moldes!$K$5:$K$154,MATCH(A77,Moldes!$A$5:$A$154,0))),INDEX(Moldes!$K$5:$K$154,MATCH(A77,Moldes!$A$5:$A$154,0)),Precios!$Q$12),Precios!$Q$12))*(INDEX(Precios!$F$5:$F$124,MATCH(E77,Precios!$A$5:$A$124,0))+IF(F77="Sí",Precios!$Q$10,0)),"falta $ tela"))</f>
        <v/>
      </c>
      <c r="H77" s="32" t="str">
        <f aca="false">IF(A77="","",A77&amp;"|"&amp;COUNTIF($A$5:A77,A77))</f>
        <v>18 · FUTHOMU02|1</v>
      </c>
    </row>
    <row r="78" customFormat="false" ht="15" hidden="false" customHeight="false" outlineLevel="0" collapsed="false">
      <c r="A78" s="28" t="s">
        <v>89</v>
      </c>
      <c r="B78" s="28" t="s">
        <v>178</v>
      </c>
      <c r="C78" s="28" t="n">
        <v>1</v>
      </c>
      <c r="D78" s="31"/>
      <c r="E78" s="10"/>
      <c r="F78" s="28" t="s">
        <v>177</v>
      </c>
      <c r="G78" s="11" t="str">
        <f aca="false">IF(OR(A78="",N(D78)=0),"",IFERROR(D78*(1+IFERROR(IF(ISNUMBER(INDEX(Moldes!$K$5:$K$154,MATCH(A78,Moldes!$A$5:$A$154,0))),INDEX(Moldes!$K$5:$K$154,MATCH(A78,Moldes!$A$5:$A$154,0)),Precios!$Q$12),Precios!$Q$12))*(INDEX(Precios!$F$5:$F$124,MATCH(E78,Precios!$A$5:$A$124,0))+IF(F78="Sí",Precios!$Q$10,0)),"falta $ tela"))</f>
        <v/>
      </c>
      <c r="H78" s="32" t="str">
        <f aca="false">IF(A78="","",A78&amp;"|"&amp;COUNTIF($A$5:A78,A78))</f>
        <v>18 · FUTHOMU02|2</v>
      </c>
    </row>
    <row r="79" customFormat="false" ht="15" hidden="false" customHeight="false" outlineLevel="0" collapsed="false">
      <c r="A79" s="28" t="s">
        <v>89</v>
      </c>
      <c r="B79" s="28" t="s">
        <v>186</v>
      </c>
      <c r="C79" s="28" t="n">
        <v>2</v>
      </c>
      <c r="D79" s="31"/>
      <c r="E79" s="10"/>
      <c r="F79" s="28" t="s">
        <v>177</v>
      </c>
      <c r="G79" s="11" t="str">
        <f aca="false">IF(OR(A79="",N(D79)=0),"",IFERROR(D79*(1+IFERROR(IF(ISNUMBER(INDEX(Moldes!$K$5:$K$154,MATCH(A79,Moldes!$A$5:$A$154,0))),INDEX(Moldes!$K$5:$K$154,MATCH(A79,Moldes!$A$5:$A$154,0)),Precios!$Q$12),Precios!$Q$12))*(INDEX(Precios!$F$5:$F$124,MATCH(E79,Precios!$A$5:$A$124,0))+IF(F79="Sí",Precios!$Q$10,0)),"falta $ tela"))</f>
        <v/>
      </c>
      <c r="H79" s="32" t="str">
        <f aca="false">IF(A79="","",A79&amp;"|"&amp;COUNTIF($A$5:A79,A79))</f>
        <v>18 · FUTHOMU02|3</v>
      </c>
    </row>
    <row r="80" customFormat="false" ht="15" hidden="false" customHeight="false" outlineLevel="0" collapsed="false">
      <c r="A80" s="28" t="s">
        <v>89</v>
      </c>
      <c r="B80" s="28" t="s">
        <v>180</v>
      </c>
      <c r="C80" s="28" t="n">
        <v>1</v>
      </c>
      <c r="D80" s="31"/>
      <c r="E80" s="10"/>
      <c r="F80" s="28" t="s">
        <v>177</v>
      </c>
      <c r="G80" s="11" t="str">
        <f aca="false">IF(OR(A80="",N(D80)=0),"",IFERROR(D80*(1+IFERROR(IF(ISNUMBER(INDEX(Moldes!$K$5:$K$154,MATCH(A80,Moldes!$A$5:$A$154,0))),INDEX(Moldes!$K$5:$K$154,MATCH(A80,Moldes!$A$5:$A$154,0)),Precios!$Q$12),Precios!$Q$12))*(INDEX(Precios!$F$5:$F$124,MATCH(E80,Precios!$A$5:$A$124,0))+IF(F80="Sí",Precios!$Q$10,0)),"falta $ tela"))</f>
        <v/>
      </c>
      <c r="H80" s="32" t="str">
        <f aca="false">IF(A80="","",A80&amp;"|"&amp;COUNTIF($A$5:A80,A80))</f>
        <v>18 · FUTHOMU02|4</v>
      </c>
    </row>
    <row r="81" customFormat="false" ht="15" hidden="false" customHeight="false" outlineLevel="0" collapsed="false">
      <c r="A81" s="28" t="s">
        <v>90</v>
      </c>
      <c r="B81" s="28" t="s">
        <v>176</v>
      </c>
      <c r="C81" s="28" t="n">
        <v>1</v>
      </c>
      <c r="D81" s="31"/>
      <c r="E81" s="10"/>
      <c r="F81" s="28" t="s">
        <v>177</v>
      </c>
      <c r="G81" s="11" t="str">
        <f aca="false">IF(OR(A81="",N(D81)=0),"",IFERROR(D81*(1+IFERROR(IF(ISNUMBER(INDEX(Moldes!$K$5:$K$154,MATCH(A81,Moldes!$A$5:$A$154,0))),INDEX(Moldes!$K$5:$K$154,MATCH(A81,Moldes!$A$5:$A$154,0)),Precios!$Q$12),Precios!$Q$12))*(INDEX(Precios!$F$5:$F$124,MATCH(E81,Precios!$A$5:$A$124,0))+IF(F81="Sí",Precios!$Q$10,0)),"falta $ tela"))</f>
        <v/>
      </c>
      <c r="H81" s="32" t="str">
        <f aca="false">IF(A81="","",A81&amp;"|"&amp;COUNTIF($A$5:A81,A81))</f>
        <v>19 · FUTINMUJU02|1</v>
      </c>
    </row>
    <row r="82" customFormat="false" ht="15" hidden="false" customHeight="false" outlineLevel="0" collapsed="false">
      <c r="A82" s="28" t="s">
        <v>90</v>
      </c>
      <c r="B82" s="28" t="s">
        <v>178</v>
      </c>
      <c r="C82" s="28" t="n">
        <v>1</v>
      </c>
      <c r="D82" s="31"/>
      <c r="E82" s="10"/>
      <c r="F82" s="28" t="s">
        <v>177</v>
      </c>
      <c r="G82" s="11" t="str">
        <f aca="false">IF(OR(A82="",N(D82)=0),"",IFERROR(D82*(1+IFERROR(IF(ISNUMBER(INDEX(Moldes!$K$5:$K$154,MATCH(A82,Moldes!$A$5:$A$154,0))),INDEX(Moldes!$K$5:$K$154,MATCH(A82,Moldes!$A$5:$A$154,0)),Precios!$Q$12),Precios!$Q$12))*(INDEX(Precios!$F$5:$F$124,MATCH(E82,Precios!$A$5:$A$124,0))+IF(F82="Sí",Precios!$Q$10,0)),"falta $ tela"))</f>
        <v/>
      </c>
      <c r="H82" s="32" t="str">
        <f aca="false">IF(A82="","",A82&amp;"|"&amp;COUNTIF($A$5:A82,A82))</f>
        <v>19 · FUTINMUJU02|2</v>
      </c>
    </row>
    <row r="83" customFormat="false" ht="15" hidden="false" customHeight="false" outlineLevel="0" collapsed="false">
      <c r="A83" s="28" t="s">
        <v>90</v>
      </c>
      <c r="B83" s="28" t="s">
        <v>186</v>
      </c>
      <c r="C83" s="28" t="n">
        <v>2</v>
      </c>
      <c r="D83" s="31"/>
      <c r="E83" s="10"/>
      <c r="F83" s="28" t="s">
        <v>177</v>
      </c>
      <c r="G83" s="11" t="str">
        <f aca="false">IF(OR(A83="",N(D83)=0),"",IFERROR(D83*(1+IFERROR(IF(ISNUMBER(INDEX(Moldes!$K$5:$K$154,MATCH(A83,Moldes!$A$5:$A$154,0))),INDEX(Moldes!$K$5:$K$154,MATCH(A83,Moldes!$A$5:$A$154,0)),Precios!$Q$12),Precios!$Q$12))*(INDEX(Precios!$F$5:$F$124,MATCH(E83,Precios!$A$5:$A$124,0))+IF(F83="Sí",Precios!$Q$10,0)),"falta $ tela"))</f>
        <v/>
      </c>
      <c r="H83" s="32" t="str">
        <f aca="false">IF(A83="","",A83&amp;"|"&amp;COUNTIF($A$5:A83,A83))</f>
        <v>19 · FUTINMUJU02|3</v>
      </c>
    </row>
    <row r="84" customFormat="false" ht="15" hidden="false" customHeight="false" outlineLevel="0" collapsed="false">
      <c r="A84" s="28" t="s">
        <v>90</v>
      </c>
      <c r="B84" s="28" t="s">
        <v>180</v>
      </c>
      <c r="C84" s="28" t="n">
        <v>1</v>
      </c>
      <c r="D84" s="31"/>
      <c r="E84" s="10"/>
      <c r="F84" s="28" t="s">
        <v>177</v>
      </c>
      <c r="G84" s="11" t="str">
        <f aca="false">IF(OR(A84="",N(D84)=0),"",IFERROR(D84*(1+IFERROR(IF(ISNUMBER(INDEX(Moldes!$K$5:$K$154,MATCH(A84,Moldes!$A$5:$A$154,0))),INDEX(Moldes!$K$5:$K$154,MATCH(A84,Moldes!$A$5:$A$154,0)),Precios!$Q$12),Precios!$Q$12))*(INDEX(Precios!$F$5:$F$124,MATCH(E84,Precios!$A$5:$A$124,0))+IF(F84="Sí",Precios!$Q$10,0)),"falta $ tela"))</f>
        <v/>
      </c>
      <c r="H84" s="32" t="str">
        <f aca="false">IF(A84="","",A84&amp;"|"&amp;COUNTIF($A$5:A84,A84))</f>
        <v>19 · FUTINMUJU02|4</v>
      </c>
    </row>
    <row r="85" customFormat="false" ht="15" hidden="false" customHeight="false" outlineLevel="0" collapsed="false">
      <c r="A85" s="28" t="s">
        <v>92</v>
      </c>
      <c r="B85" s="28" t="s">
        <v>176</v>
      </c>
      <c r="C85" s="28" t="n">
        <v>1</v>
      </c>
      <c r="D85" s="31"/>
      <c r="E85" s="10"/>
      <c r="F85" s="28" t="s">
        <v>177</v>
      </c>
      <c r="G85" s="11" t="str">
        <f aca="false">IF(OR(A85="",N(D85)=0),"",IFERROR(D85*(1+IFERROR(IF(ISNUMBER(INDEX(Moldes!$K$5:$K$154,MATCH(A85,Moldes!$A$5:$A$154,0))),INDEX(Moldes!$K$5:$K$154,MATCH(A85,Moldes!$A$5:$A$154,0)),Precios!$Q$12),Precios!$Q$12))*(INDEX(Precios!$F$5:$F$124,MATCH(E85,Precios!$A$5:$A$124,0))+IF(F85="Sí",Precios!$Q$10,0)),"falta $ tela"))</f>
        <v/>
      </c>
      <c r="H85" s="32" t="str">
        <f aca="false">IF(A85="","",A85&amp;"|"&amp;COUNTIF($A$5:A85,A85))</f>
        <v>20 · FUTINHOMU02|1</v>
      </c>
    </row>
    <row r="86" customFormat="false" ht="15" hidden="false" customHeight="false" outlineLevel="0" collapsed="false">
      <c r="A86" s="28" t="s">
        <v>92</v>
      </c>
      <c r="B86" s="28" t="s">
        <v>178</v>
      </c>
      <c r="C86" s="28" t="n">
        <v>1</v>
      </c>
      <c r="D86" s="31"/>
      <c r="E86" s="10"/>
      <c r="F86" s="28" t="s">
        <v>177</v>
      </c>
      <c r="G86" s="11" t="str">
        <f aca="false">IF(OR(A86="",N(D86)=0),"",IFERROR(D86*(1+IFERROR(IF(ISNUMBER(INDEX(Moldes!$K$5:$K$154,MATCH(A86,Moldes!$A$5:$A$154,0))),INDEX(Moldes!$K$5:$K$154,MATCH(A86,Moldes!$A$5:$A$154,0)),Precios!$Q$12),Precios!$Q$12))*(INDEX(Precios!$F$5:$F$124,MATCH(E86,Precios!$A$5:$A$124,0))+IF(F86="Sí",Precios!$Q$10,0)),"falta $ tela"))</f>
        <v/>
      </c>
      <c r="H86" s="32" t="str">
        <f aca="false">IF(A86="","",A86&amp;"|"&amp;COUNTIF($A$5:A86,A86))</f>
        <v>20 · FUTINHOMU02|2</v>
      </c>
    </row>
    <row r="87" customFormat="false" ht="15" hidden="false" customHeight="false" outlineLevel="0" collapsed="false">
      <c r="A87" s="28" t="s">
        <v>92</v>
      </c>
      <c r="B87" s="28" t="s">
        <v>186</v>
      </c>
      <c r="C87" s="28" t="n">
        <v>2</v>
      </c>
      <c r="D87" s="31"/>
      <c r="E87" s="10"/>
      <c r="F87" s="28" t="s">
        <v>177</v>
      </c>
      <c r="G87" s="11" t="str">
        <f aca="false">IF(OR(A87="",N(D87)=0),"",IFERROR(D87*(1+IFERROR(IF(ISNUMBER(INDEX(Moldes!$K$5:$K$154,MATCH(A87,Moldes!$A$5:$A$154,0))),INDEX(Moldes!$K$5:$K$154,MATCH(A87,Moldes!$A$5:$A$154,0)),Precios!$Q$12),Precios!$Q$12))*(INDEX(Precios!$F$5:$F$124,MATCH(E87,Precios!$A$5:$A$124,0))+IF(F87="Sí",Precios!$Q$10,0)),"falta $ tela"))</f>
        <v/>
      </c>
      <c r="H87" s="32" t="str">
        <f aca="false">IF(A87="","",A87&amp;"|"&amp;COUNTIF($A$5:A87,A87))</f>
        <v>20 · FUTINHOMU02|3</v>
      </c>
    </row>
    <row r="88" customFormat="false" ht="15" hidden="false" customHeight="false" outlineLevel="0" collapsed="false">
      <c r="A88" s="28" t="s">
        <v>92</v>
      </c>
      <c r="B88" s="28" t="s">
        <v>180</v>
      </c>
      <c r="C88" s="28" t="n">
        <v>1</v>
      </c>
      <c r="D88" s="31"/>
      <c r="E88" s="10"/>
      <c r="F88" s="28" t="s">
        <v>177</v>
      </c>
      <c r="G88" s="11" t="str">
        <f aca="false">IF(OR(A88="",N(D88)=0),"",IFERROR(D88*(1+IFERROR(IF(ISNUMBER(INDEX(Moldes!$K$5:$K$154,MATCH(A88,Moldes!$A$5:$A$154,0))),INDEX(Moldes!$K$5:$K$154,MATCH(A88,Moldes!$A$5:$A$154,0)),Precios!$Q$12),Precios!$Q$12))*(INDEX(Precios!$F$5:$F$124,MATCH(E88,Precios!$A$5:$A$124,0))+IF(F88="Sí",Precios!$Q$10,0)),"falta $ tela"))</f>
        <v/>
      </c>
      <c r="H88" s="32" t="str">
        <f aca="false">IF(A88="","",A88&amp;"|"&amp;COUNTIF($A$5:A88,A88))</f>
        <v>20 · FUTINHOMU02|4</v>
      </c>
    </row>
    <row r="89" customFormat="false" ht="15" hidden="false" customHeight="false" outlineLevel="0" collapsed="false">
      <c r="A89" s="28" t="s">
        <v>93</v>
      </c>
      <c r="B89" s="28" t="s">
        <v>176</v>
      </c>
      <c r="C89" s="28" t="n">
        <v>1</v>
      </c>
      <c r="D89" s="31"/>
      <c r="E89" s="10"/>
      <c r="F89" s="28" t="s">
        <v>177</v>
      </c>
      <c r="G89" s="11" t="str">
        <f aca="false">IF(OR(A89="",N(D89)=0),"",IFERROR(D89*(1+IFERROR(IF(ISNUMBER(INDEX(Moldes!$K$5:$K$154,MATCH(A89,Moldes!$A$5:$A$154,0))),INDEX(Moldes!$K$5:$K$154,MATCH(A89,Moldes!$A$5:$A$154,0)),Precios!$Q$12),Precios!$Q$12))*(INDEX(Precios!$F$5:$F$124,MATCH(E89,Precios!$A$5:$A$124,0))+IF(F89="Sí",Precios!$Q$10,0)),"falta $ tela"))</f>
        <v/>
      </c>
      <c r="H89" s="32" t="str">
        <f aca="false">IF(A89="","",A89&amp;"|"&amp;COUNTIF($A$5:A89,A89))</f>
        <v>21 · FUTMUJV02|1</v>
      </c>
    </row>
    <row r="90" customFormat="false" ht="15" hidden="false" customHeight="false" outlineLevel="0" collapsed="false">
      <c r="A90" s="28" t="s">
        <v>93</v>
      </c>
      <c r="B90" s="28" t="s">
        <v>178</v>
      </c>
      <c r="C90" s="28" t="n">
        <v>1</v>
      </c>
      <c r="D90" s="31"/>
      <c r="E90" s="10"/>
      <c r="F90" s="28" t="s">
        <v>177</v>
      </c>
      <c r="G90" s="11" t="str">
        <f aca="false">IF(OR(A90="",N(D90)=0),"",IFERROR(D90*(1+IFERROR(IF(ISNUMBER(INDEX(Moldes!$K$5:$K$154,MATCH(A90,Moldes!$A$5:$A$154,0))),INDEX(Moldes!$K$5:$K$154,MATCH(A90,Moldes!$A$5:$A$154,0)),Precios!$Q$12),Precios!$Q$12))*(INDEX(Precios!$F$5:$F$124,MATCH(E90,Precios!$A$5:$A$124,0))+IF(F90="Sí",Precios!$Q$10,0)),"falta $ tela"))</f>
        <v/>
      </c>
      <c r="H90" s="32" t="str">
        <f aca="false">IF(A90="","",A90&amp;"|"&amp;COUNTIF($A$5:A90,A90))</f>
        <v>21 · FUTMUJV02|2</v>
      </c>
    </row>
    <row r="91" customFormat="false" ht="15" hidden="false" customHeight="false" outlineLevel="0" collapsed="false">
      <c r="A91" s="28" t="s">
        <v>93</v>
      </c>
      <c r="B91" s="28" t="s">
        <v>186</v>
      </c>
      <c r="C91" s="28" t="n">
        <v>2</v>
      </c>
      <c r="D91" s="31"/>
      <c r="E91" s="10"/>
      <c r="F91" s="28" t="s">
        <v>177</v>
      </c>
      <c r="G91" s="11" t="str">
        <f aca="false">IF(OR(A91="",N(D91)=0),"",IFERROR(D91*(1+IFERROR(IF(ISNUMBER(INDEX(Moldes!$K$5:$K$154,MATCH(A91,Moldes!$A$5:$A$154,0))),INDEX(Moldes!$K$5:$K$154,MATCH(A91,Moldes!$A$5:$A$154,0)),Precios!$Q$12),Precios!$Q$12))*(INDEX(Precios!$F$5:$F$124,MATCH(E91,Precios!$A$5:$A$124,0))+IF(F91="Sí",Precios!$Q$10,0)),"falta $ tela"))</f>
        <v/>
      </c>
      <c r="H91" s="32" t="str">
        <f aca="false">IF(A91="","",A91&amp;"|"&amp;COUNTIF($A$5:A91,A91))</f>
        <v>21 · FUTMUJV02|3</v>
      </c>
    </row>
    <row r="92" customFormat="false" ht="15" hidden="false" customHeight="false" outlineLevel="0" collapsed="false">
      <c r="A92" s="28" t="s">
        <v>93</v>
      </c>
      <c r="B92" s="28" t="s">
        <v>180</v>
      </c>
      <c r="C92" s="28" t="n">
        <v>1</v>
      </c>
      <c r="D92" s="31"/>
      <c r="E92" s="10"/>
      <c r="F92" s="28" t="s">
        <v>177</v>
      </c>
      <c r="G92" s="11" t="str">
        <f aca="false">IF(OR(A92="",N(D92)=0),"",IFERROR(D92*(1+IFERROR(IF(ISNUMBER(INDEX(Moldes!$K$5:$K$154,MATCH(A92,Moldes!$A$5:$A$154,0))),INDEX(Moldes!$K$5:$K$154,MATCH(A92,Moldes!$A$5:$A$154,0)),Precios!$Q$12),Precios!$Q$12))*(INDEX(Precios!$F$5:$F$124,MATCH(E92,Precios!$A$5:$A$124,0))+IF(F92="Sí",Precios!$Q$10,0)),"falta $ tela"))</f>
        <v/>
      </c>
      <c r="H92" s="32" t="str">
        <f aca="false">IF(A92="","",A92&amp;"|"&amp;COUNTIF($A$5:A92,A92))</f>
        <v>21 · FUTMUJV02|4</v>
      </c>
    </row>
    <row r="93" customFormat="false" ht="15" hidden="false" customHeight="false" outlineLevel="0" collapsed="false">
      <c r="A93" s="28" t="s">
        <v>95</v>
      </c>
      <c r="B93" s="28" t="s">
        <v>176</v>
      </c>
      <c r="C93" s="28" t="n">
        <v>1</v>
      </c>
      <c r="D93" s="31"/>
      <c r="E93" s="10"/>
      <c r="F93" s="28" t="s">
        <v>177</v>
      </c>
      <c r="G93" s="11" t="str">
        <f aca="false">IF(OR(A93="",N(D93)=0),"",IFERROR(D93*(1+IFERROR(IF(ISNUMBER(INDEX(Moldes!$K$5:$K$154,MATCH(A93,Moldes!$A$5:$A$154,0))),INDEX(Moldes!$K$5:$K$154,MATCH(A93,Moldes!$A$5:$A$154,0)),Precios!$Q$12),Precios!$Q$12))*(INDEX(Precios!$F$5:$F$124,MATCH(E93,Precios!$A$5:$A$124,0))+IF(F93="Sí",Precios!$Q$10,0)),"falta $ tela"))</f>
        <v/>
      </c>
      <c r="H93" s="32" t="str">
        <f aca="false">IF(A93="","",A93&amp;"|"&amp;COUNTIF($A$5:A93,A93))</f>
        <v>22 · FUTHOMV02|1</v>
      </c>
    </row>
    <row r="94" customFormat="false" ht="15" hidden="false" customHeight="false" outlineLevel="0" collapsed="false">
      <c r="A94" s="28" t="s">
        <v>95</v>
      </c>
      <c r="B94" s="28" t="s">
        <v>178</v>
      </c>
      <c r="C94" s="28" t="n">
        <v>1</v>
      </c>
      <c r="D94" s="31"/>
      <c r="E94" s="10"/>
      <c r="F94" s="28" t="s">
        <v>177</v>
      </c>
      <c r="G94" s="11" t="str">
        <f aca="false">IF(OR(A94="",N(D94)=0),"",IFERROR(D94*(1+IFERROR(IF(ISNUMBER(INDEX(Moldes!$K$5:$K$154,MATCH(A94,Moldes!$A$5:$A$154,0))),INDEX(Moldes!$K$5:$K$154,MATCH(A94,Moldes!$A$5:$A$154,0)),Precios!$Q$12),Precios!$Q$12))*(INDEX(Precios!$F$5:$F$124,MATCH(E94,Precios!$A$5:$A$124,0))+IF(F94="Sí",Precios!$Q$10,0)),"falta $ tela"))</f>
        <v/>
      </c>
      <c r="H94" s="32" t="str">
        <f aca="false">IF(A94="","",A94&amp;"|"&amp;COUNTIF($A$5:A94,A94))</f>
        <v>22 · FUTHOMV02|2</v>
      </c>
    </row>
    <row r="95" customFormat="false" ht="15" hidden="false" customHeight="false" outlineLevel="0" collapsed="false">
      <c r="A95" s="28" t="s">
        <v>95</v>
      </c>
      <c r="B95" s="28" t="s">
        <v>186</v>
      </c>
      <c r="C95" s="28" t="n">
        <v>2</v>
      </c>
      <c r="D95" s="31"/>
      <c r="E95" s="10"/>
      <c r="F95" s="28" t="s">
        <v>177</v>
      </c>
      <c r="G95" s="11" t="str">
        <f aca="false">IF(OR(A95="",N(D95)=0),"",IFERROR(D95*(1+IFERROR(IF(ISNUMBER(INDEX(Moldes!$K$5:$K$154,MATCH(A95,Moldes!$A$5:$A$154,0))),INDEX(Moldes!$K$5:$K$154,MATCH(A95,Moldes!$A$5:$A$154,0)),Precios!$Q$12),Precios!$Q$12))*(INDEX(Precios!$F$5:$F$124,MATCH(E95,Precios!$A$5:$A$124,0))+IF(F95="Sí",Precios!$Q$10,0)),"falta $ tela"))</f>
        <v/>
      </c>
      <c r="H95" s="32" t="str">
        <f aca="false">IF(A95="","",A95&amp;"|"&amp;COUNTIF($A$5:A95,A95))</f>
        <v>22 · FUTHOMV02|3</v>
      </c>
    </row>
    <row r="96" customFormat="false" ht="15" hidden="false" customHeight="false" outlineLevel="0" collapsed="false">
      <c r="A96" s="28" t="s">
        <v>95</v>
      </c>
      <c r="B96" s="28" t="s">
        <v>180</v>
      </c>
      <c r="C96" s="28" t="n">
        <v>1</v>
      </c>
      <c r="D96" s="31"/>
      <c r="E96" s="10"/>
      <c r="F96" s="28" t="s">
        <v>177</v>
      </c>
      <c r="G96" s="11" t="str">
        <f aca="false">IF(OR(A96="",N(D96)=0),"",IFERROR(D96*(1+IFERROR(IF(ISNUMBER(INDEX(Moldes!$K$5:$K$154,MATCH(A96,Moldes!$A$5:$A$154,0))),INDEX(Moldes!$K$5:$K$154,MATCH(A96,Moldes!$A$5:$A$154,0)),Precios!$Q$12),Precios!$Q$12))*(INDEX(Precios!$F$5:$F$124,MATCH(E96,Precios!$A$5:$A$124,0))+IF(F96="Sí",Precios!$Q$10,0)),"falta $ tela"))</f>
        <v/>
      </c>
      <c r="H96" s="32" t="str">
        <f aca="false">IF(A96="","",A96&amp;"|"&amp;COUNTIF($A$5:A96,A96))</f>
        <v>22 · FUTHOMV02|4</v>
      </c>
    </row>
    <row r="97" customFormat="false" ht="15" hidden="false" customHeight="false" outlineLevel="0" collapsed="false">
      <c r="A97" s="28" t="s">
        <v>96</v>
      </c>
      <c r="B97" s="28" t="s">
        <v>176</v>
      </c>
      <c r="C97" s="28" t="n">
        <v>1</v>
      </c>
      <c r="D97" s="31"/>
      <c r="E97" s="10"/>
      <c r="F97" s="28" t="s">
        <v>177</v>
      </c>
      <c r="G97" s="11" t="str">
        <f aca="false">IF(OR(A97="",N(D97)=0),"",IFERROR(D97*(1+IFERROR(IF(ISNUMBER(INDEX(Moldes!$K$5:$K$154,MATCH(A97,Moldes!$A$5:$A$154,0))),INDEX(Moldes!$K$5:$K$154,MATCH(A97,Moldes!$A$5:$A$154,0)),Precios!$Q$12),Precios!$Q$12))*(INDEX(Precios!$F$5:$F$124,MATCH(E97,Precios!$A$5:$A$124,0))+IF(F97="Sí",Precios!$Q$10,0)),"falta $ tela"))</f>
        <v/>
      </c>
      <c r="H97" s="32" t="str">
        <f aca="false">IF(A97="","",A97&amp;"|"&amp;COUNTIF($A$5:A97,A97))</f>
        <v>23 · FUTINMUJV02|1</v>
      </c>
    </row>
    <row r="98" customFormat="false" ht="15" hidden="false" customHeight="false" outlineLevel="0" collapsed="false">
      <c r="A98" s="28" t="s">
        <v>96</v>
      </c>
      <c r="B98" s="28" t="s">
        <v>178</v>
      </c>
      <c r="C98" s="28" t="n">
        <v>1</v>
      </c>
      <c r="D98" s="31"/>
      <c r="E98" s="10"/>
      <c r="F98" s="28" t="s">
        <v>177</v>
      </c>
      <c r="G98" s="11" t="str">
        <f aca="false">IF(OR(A98="",N(D98)=0),"",IFERROR(D98*(1+IFERROR(IF(ISNUMBER(INDEX(Moldes!$K$5:$K$154,MATCH(A98,Moldes!$A$5:$A$154,0))),INDEX(Moldes!$K$5:$K$154,MATCH(A98,Moldes!$A$5:$A$154,0)),Precios!$Q$12),Precios!$Q$12))*(INDEX(Precios!$F$5:$F$124,MATCH(E98,Precios!$A$5:$A$124,0))+IF(F98="Sí",Precios!$Q$10,0)),"falta $ tela"))</f>
        <v/>
      </c>
      <c r="H98" s="32" t="str">
        <f aca="false">IF(A98="","",A98&amp;"|"&amp;COUNTIF($A$5:A98,A98))</f>
        <v>23 · FUTINMUJV02|2</v>
      </c>
    </row>
    <row r="99" customFormat="false" ht="15" hidden="false" customHeight="false" outlineLevel="0" collapsed="false">
      <c r="A99" s="28" t="s">
        <v>96</v>
      </c>
      <c r="B99" s="28" t="s">
        <v>186</v>
      </c>
      <c r="C99" s="28" t="n">
        <v>2</v>
      </c>
      <c r="D99" s="31"/>
      <c r="E99" s="10"/>
      <c r="F99" s="28" t="s">
        <v>177</v>
      </c>
      <c r="G99" s="11" t="str">
        <f aca="false">IF(OR(A99="",N(D99)=0),"",IFERROR(D99*(1+IFERROR(IF(ISNUMBER(INDEX(Moldes!$K$5:$K$154,MATCH(A99,Moldes!$A$5:$A$154,0))),INDEX(Moldes!$K$5:$K$154,MATCH(A99,Moldes!$A$5:$A$154,0)),Precios!$Q$12),Precios!$Q$12))*(INDEX(Precios!$F$5:$F$124,MATCH(E99,Precios!$A$5:$A$124,0))+IF(F99="Sí",Precios!$Q$10,0)),"falta $ tela"))</f>
        <v/>
      </c>
      <c r="H99" s="32" t="str">
        <f aca="false">IF(A99="","",A99&amp;"|"&amp;COUNTIF($A$5:A99,A99))</f>
        <v>23 · FUTINMUJV02|3</v>
      </c>
    </row>
    <row r="100" customFormat="false" ht="15" hidden="false" customHeight="false" outlineLevel="0" collapsed="false">
      <c r="A100" s="28" t="s">
        <v>96</v>
      </c>
      <c r="B100" s="28" t="s">
        <v>180</v>
      </c>
      <c r="C100" s="28" t="n">
        <v>1</v>
      </c>
      <c r="D100" s="31"/>
      <c r="E100" s="10"/>
      <c r="F100" s="28" t="s">
        <v>177</v>
      </c>
      <c r="G100" s="11" t="str">
        <f aca="false">IF(OR(A100="",N(D100)=0),"",IFERROR(D100*(1+IFERROR(IF(ISNUMBER(INDEX(Moldes!$K$5:$K$154,MATCH(A100,Moldes!$A$5:$A$154,0))),INDEX(Moldes!$K$5:$K$154,MATCH(A100,Moldes!$A$5:$A$154,0)),Precios!$Q$12),Precios!$Q$12))*(INDEX(Precios!$F$5:$F$124,MATCH(E100,Precios!$A$5:$A$124,0))+IF(F100="Sí",Precios!$Q$10,0)),"falta $ tela"))</f>
        <v/>
      </c>
      <c r="H100" s="32" t="str">
        <f aca="false">IF(A100="","",A100&amp;"|"&amp;COUNTIF($A$5:A100,A100))</f>
        <v>23 · FUTINMUJV02|4</v>
      </c>
    </row>
    <row r="101" customFormat="false" ht="15" hidden="false" customHeight="false" outlineLevel="0" collapsed="false">
      <c r="A101" s="28" t="s">
        <v>98</v>
      </c>
      <c r="B101" s="28" t="s">
        <v>176</v>
      </c>
      <c r="C101" s="28" t="n">
        <v>1</v>
      </c>
      <c r="D101" s="31"/>
      <c r="E101" s="10"/>
      <c r="F101" s="28" t="s">
        <v>177</v>
      </c>
      <c r="G101" s="11" t="str">
        <f aca="false">IF(OR(A101="",N(D101)=0),"",IFERROR(D101*(1+IFERROR(IF(ISNUMBER(INDEX(Moldes!$K$5:$K$154,MATCH(A101,Moldes!$A$5:$A$154,0))),INDEX(Moldes!$K$5:$K$154,MATCH(A101,Moldes!$A$5:$A$154,0)),Precios!$Q$12),Precios!$Q$12))*(INDEX(Precios!$F$5:$F$124,MATCH(E101,Precios!$A$5:$A$124,0))+IF(F101="Sí",Precios!$Q$10,0)),"falta $ tela"))</f>
        <v/>
      </c>
      <c r="H101" s="32" t="str">
        <f aca="false">IF(A101="","",A101&amp;"|"&amp;COUNTIF($A$5:A101,A101))</f>
        <v>24 · FUTINHOMV02|1</v>
      </c>
    </row>
    <row r="102" customFormat="false" ht="15" hidden="false" customHeight="false" outlineLevel="0" collapsed="false">
      <c r="A102" s="28" t="s">
        <v>98</v>
      </c>
      <c r="B102" s="28" t="s">
        <v>178</v>
      </c>
      <c r="C102" s="28" t="n">
        <v>1</v>
      </c>
      <c r="D102" s="31"/>
      <c r="E102" s="10"/>
      <c r="F102" s="28" t="s">
        <v>177</v>
      </c>
      <c r="G102" s="11" t="str">
        <f aca="false">IF(OR(A102="",N(D102)=0),"",IFERROR(D102*(1+IFERROR(IF(ISNUMBER(INDEX(Moldes!$K$5:$K$154,MATCH(A102,Moldes!$A$5:$A$154,0))),INDEX(Moldes!$K$5:$K$154,MATCH(A102,Moldes!$A$5:$A$154,0)),Precios!$Q$12),Precios!$Q$12))*(INDEX(Precios!$F$5:$F$124,MATCH(E102,Precios!$A$5:$A$124,0))+IF(F102="Sí",Precios!$Q$10,0)),"falta $ tela"))</f>
        <v/>
      </c>
      <c r="H102" s="32" t="str">
        <f aca="false">IF(A102="","",A102&amp;"|"&amp;COUNTIF($A$5:A102,A102))</f>
        <v>24 · FUTINHOMV02|2</v>
      </c>
    </row>
    <row r="103" customFormat="false" ht="15" hidden="false" customHeight="false" outlineLevel="0" collapsed="false">
      <c r="A103" s="28" t="s">
        <v>98</v>
      </c>
      <c r="B103" s="28" t="s">
        <v>186</v>
      </c>
      <c r="C103" s="28" t="n">
        <v>2</v>
      </c>
      <c r="D103" s="31"/>
      <c r="E103" s="10"/>
      <c r="F103" s="28" t="s">
        <v>177</v>
      </c>
      <c r="G103" s="11" t="str">
        <f aca="false">IF(OR(A103="",N(D103)=0),"",IFERROR(D103*(1+IFERROR(IF(ISNUMBER(INDEX(Moldes!$K$5:$K$154,MATCH(A103,Moldes!$A$5:$A$154,0))),INDEX(Moldes!$K$5:$K$154,MATCH(A103,Moldes!$A$5:$A$154,0)),Precios!$Q$12),Precios!$Q$12))*(INDEX(Precios!$F$5:$F$124,MATCH(E103,Precios!$A$5:$A$124,0))+IF(F103="Sí",Precios!$Q$10,0)),"falta $ tela"))</f>
        <v/>
      </c>
      <c r="H103" s="32" t="str">
        <f aca="false">IF(A103="","",A103&amp;"|"&amp;COUNTIF($A$5:A103,A103))</f>
        <v>24 · FUTINHOMV02|3</v>
      </c>
    </row>
    <row r="104" customFormat="false" ht="15" hidden="false" customHeight="false" outlineLevel="0" collapsed="false">
      <c r="A104" s="28" t="s">
        <v>98</v>
      </c>
      <c r="B104" s="28" t="s">
        <v>180</v>
      </c>
      <c r="C104" s="28" t="n">
        <v>1</v>
      </c>
      <c r="D104" s="31"/>
      <c r="E104" s="10"/>
      <c r="F104" s="28" t="s">
        <v>177</v>
      </c>
      <c r="G104" s="11" t="str">
        <f aca="false">IF(OR(A104="",N(D104)=0),"",IFERROR(D104*(1+IFERROR(IF(ISNUMBER(INDEX(Moldes!$K$5:$K$154,MATCH(A104,Moldes!$A$5:$A$154,0))),INDEX(Moldes!$K$5:$K$154,MATCH(A104,Moldes!$A$5:$A$154,0)),Precios!$Q$12),Precios!$Q$12))*(INDEX(Precios!$F$5:$F$124,MATCH(E104,Precios!$A$5:$A$124,0))+IF(F104="Sí",Precios!$Q$10,0)),"falta $ tela"))</f>
        <v/>
      </c>
      <c r="H104" s="32" t="str">
        <f aca="false">IF(A104="","",A104&amp;"|"&amp;COUNTIF($A$5:A104,A104))</f>
        <v>24 · FUTINHOMV02|4</v>
      </c>
    </row>
    <row r="105" customFormat="false" ht="15" hidden="false" customHeight="false" outlineLevel="0" collapsed="false">
      <c r="A105" s="28" t="s">
        <v>99</v>
      </c>
      <c r="B105" s="28" t="s">
        <v>176</v>
      </c>
      <c r="C105" s="28" t="n">
        <v>1</v>
      </c>
      <c r="D105" s="31"/>
      <c r="E105" s="10"/>
      <c r="F105" s="28" t="s">
        <v>177</v>
      </c>
      <c r="G105" s="11" t="str">
        <f aca="false">IF(OR(A105="",N(D105)=0),"",IFERROR(D105*(1+IFERROR(IF(ISNUMBER(INDEX(Moldes!$K$5:$K$154,MATCH(A105,Moldes!$A$5:$A$154,0))),INDEX(Moldes!$K$5:$K$154,MATCH(A105,Moldes!$A$5:$A$154,0)),Precios!$Q$12),Precios!$Q$12))*(INDEX(Precios!$F$5:$F$124,MATCH(E105,Precios!$A$5:$A$124,0))+IF(F105="Sí",Precios!$Q$10,0)),"falta $ tela"))</f>
        <v/>
      </c>
      <c r="H105" s="32" t="str">
        <f aca="false">IF(A105="","",A105&amp;"|"&amp;COUNTIF($A$5:A105,A105))</f>
        <v>25 · FUTMUJU02PRO|1</v>
      </c>
    </row>
    <row r="106" customFormat="false" ht="15" hidden="false" customHeight="false" outlineLevel="0" collapsed="false">
      <c r="A106" s="28" t="s">
        <v>99</v>
      </c>
      <c r="B106" s="28" t="s">
        <v>178</v>
      </c>
      <c r="C106" s="28" t="n">
        <v>1</v>
      </c>
      <c r="D106" s="31"/>
      <c r="E106" s="10"/>
      <c r="F106" s="28" t="s">
        <v>177</v>
      </c>
      <c r="G106" s="11" t="str">
        <f aca="false">IF(OR(A106="",N(D106)=0),"",IFERROR(D106*(1+IFERROR(IF(ISNUMBER(INDEX(Moldes!$K$5:$K$154,MATCH(A106,Moldes!$A$5:$A$154,0))),INDEX(Moldes!$K$5:$K$154,MATCH(A106,Moldes!$A$5:$A$154,0)),Precios!$Q$12),Precios!$Q$12))*(INDEX(Precios!$F$5:$F$124,MATCH(E106,Precios!$A$5:$A$124,0))+IF(F106="Sí",Precios!$Q$10,0)),"falta $ tela"))</f>
        <v/>
      </c>
      <c r="H106" s="32" t="str">
        <f aca="false">IF(A106="","",A106&amp;"|"&amp;COUNTIF($A$5:A106,A106))</f>
        <v>25 · FUTMUJU02PRO|2</v>
      </c>
    </row>
    <row r="107" customFormat="false" ht="15" hidden="false" customHeight="false" outlineLevel="0" collapsed="false">
      <c r="A107" s="28" t="s">
        <v>99</v>
      </c>
      <c r="B107" s="28" t="s">
        <v>186</v>
      </c>
      <c r="C107" s="28" t="n">
        <v>2</v>
      </c>
      <c r="D107" s="31"/>
      <c r="E107" s="10"/>
      <c r="F107" s="28" t="s">
        <v>177</v>
      </c>
      <c r="G107" s="11" t="str">
        <f aca="false">IF(OR(A107="",N(D107)=0),"",IFERROR(D107*(1+IFERROR(IF(ISNUMBER(INDEX(Moldes!$K$5:$K$154,MATCH(A107,Moldes!$A$5:$A$154,0))),INDEX(Moldes!$K$5:$K$154,MATCH(A107,Moldes!$A$5:$A$154,0)),Precios!$Q$12),Precios!$Q$12))*(INDEX(Precios!$F$5:$F$124,MATCH(E107,Precios!$A$5:$A$124,0))+IF(F107="Sí",Precios!$Q$10,0)),"falta $ tela"))</f>
        <v/>
      </c>
      <c r="H107" s="32" t="str">
        <f aca="false">IF(A107="","",A107&amp;"|"&amp;COUNTIF($A$5:A107,A107))</f>
        <v>25 · FUTMUJU02PRO|3</v>
      </c>
    </row>
    <row r="108" customFormat="false" ht="15" hidden="false" customHeight="false" outlineLevel="0" collapsed="false">
      <c r="A108" s="28" t="s">
        <v>99</v>
      </c>
      <c r="B108" s="28" t="s">
        <v>180</v>
      </c>
      <c r="C108" s="28" t="n">
        <v>1</v>
      </c>
      <c r="D108" s="31"/>
      <c r="E108" s="10"/>
      <c r="F108" s="28" t="s">
        <v>177</v>
      </c>
      <c r="G108" s="11" t="str">
        <f aca="false">IF(OR(A108="",N(D108)=0),"",IFERROR(D108*(1+IFERROR(IF(ISNUMBER(INDEX(Moldes!$K$5:$K$154,MATCH(A108,Moldes!$A$5:$A$154,0))),INDEX(Moldes!$K$5:$K$154,MATCH(A108,Moldes!$A$5:$A$154,0)),Precios!$Q$12),Precios!$Q$12))*(INDEX(Precios!$F$5:$F$124,MATCH(E108,Precios!$A$5:$A$124,0))+IF(F108="Sí",Precios!$Q$10,0)),"falta $ tela"))</f>
        <v/>
      </c>
      <c r="H108" s="32" t="str">
        <f aca="false">IF(A108="","",A108&amp;"|"&amp;COUNTIF($A$5:A108,A108))</f>
        <v>25 · FUTMUJU02PRO|4</v>
      </c>
    </row>
    <row r="109" customFormat="false" ht="15" hidden="false" customHeight="false" outlineLevel="0" collapsed="false">
      <c r="A109" s="28" t="s">
        <v>99</v>
      </c>
      <c r="B109" s="28" t="s">
        <v>184</v>
      </c>
      <c r="C109" s="28" t="n">
        <v>2</v>
      </c>
      <c r="D109" s="31"/>
      <c r="E109" s="10"/>
      <c r="F109" s="28" t="s">
        <v>177</v>
      </c>
      <c r="G109" s="11" t="str">
        <f aca="false">IF(OR(A109="",N(D109)=0),"",IFERROR(D109*(1+IFERROR(IF(ISNUMBER(INDEX(Moldes!$K$5:$K$154,MATCH(A109,Moldes!$A$5:$A$154,0))),INDEX(Moldes!$K$5:$K$154,MATCH(A109,Moldes!$A$5:$A$154,0)),Precios!$Q$12),Precios!$Q$12))*(INDEX(Precios!$F$5:$F$124,MATCH(E109,Precios!$A$5:$A$124,0))+IF(F109="Sí",Precios!$Q$10,0)),"falta $ tela"))</f>
        <v/>
      </c>
      <c r="H109" s="32" t="str">
        <f aca="false">IF(A109="","",A109&amp;"|"&amp;COUNTIF($A$5:A109,A109))</f>
        <v>25 · FUTMUJU02PRO|5</v>
      </c>
    </row>
    <row r="110" customFormat="false" ht="15" hidden="false" customHeight="false" outlineLevel="0" collapsed="false">
      <c r="A110" s="28" t="s">
        <v>101</v>
      </c>
      <c r="B110" s="28" t="s">
        <v>176</v>
      </c>
      <c r="C110" s="28" t="n">
        <v>1</v>
      </c>
      <c r="D110" s="31"/>
      <c r="E110" s="10"/>
      <c r="F110" s="28" t="s">
        <v>177</v>
      </c>
      <c r="G110" s="11" t="str">
        <f aca="false">IF(OR(A110="",N(D110)=0),"",IFERROR(D110*(1+IFERROR(IF(ISNUMBER(INDEX(Moldes!$K$5:$K$154,MATCH(A110,Moldes!$A$5:$A$154,0))),INDEX(Moldes!$K$5:$K$154,MATCH(A110,Moldes!$A$5:$A$154,0)),Precios!$Q$12),Precios!$Q$12))*(INDEX(Precios!$F$5:$F$124,MATCH(E110,Precios!$A$5:$A$124,0))+IF(F110="Sí",Precios!$Q$10,0)),"falta $ tela"))</f>
        <v/>
      </c>
      <c r="H110" s="32" t="str">
        <f aca="false">IF(A110="","",A110&amp;"|"&amp;COUNTIF($A$5:A110,A110))</f>
        <v>26 · FUTHOMU02PRO|1</v>
      </c>
    </row>
    <row r="111" customFormat="false" ht="15" hidden="false" customHeight="false" outlineLevel="0" collapsed="false">
      <c r="A111" s="28" t="s">
        <v>101</v>
      </c>
      <c r="B111" s="28" t="s">
        <v>178</v>
      </c>
      <c r="C111" s="28" t="n">
        <v>1</v>
      </c>
      <c r="D111" s="31"/>
      <c r="E111" s="10"/>
      <c r="F111" s="28" t="s">
        <v>177</v>
      </c>
      <c r="G111" s="11" t="str">
        <f aca="false">IF(OR(A111="",N(D111)=0),"",IFERROR(D111*(1+IFERROR(IF(ISNUMBER(INDEX(Moldes!$K$5:$K$154,MATCH(A111,Moldes!$A$5:$A$154,0))),INDEX(Moldes!$K$5:$K$154,MATCH(A111,Moldes!$A$5:$A$154,0)),Precios!$Q$12),Precios!$Q$12))*(INDEX(Precios!$F$5:$F$124,MATCH(E111,Precios!$A$5:$A$124,0))+IF(F111="Sí",Precios!$Q$10,0)),"falta $ tela"))</f>
        <v/>
      </c>
      <c r="H111" s="32" t="str">
        <f aca="false">IF(A111="","",A111&amp;"|"&amp;COUNTIF($A$5:A111,A111))</f>
        <v>26 · FUTHOMU02PRO|2</v>
      </c>
    </row>
    <row r="112" customFormat="false" ht="15" hidden="false" customHeight="false" outlineLevel="0" collapsed="false">
      <c r="A112" s="28" t="s">
        <v>101</v>
      </c>
      <c r="B112" s="28" t="s">
        <v>186</v>
      </c>
      <c r="C112" s="28" t="n">
        <v>2</v>
      </c>
      <c r="D112" s="31"/>
      <c r="E112" s="10"/>
      <c r="F112" s="28" t="s">
        <v>177</v>
      </c>
      <c r="G112" s="11" t="str">
        <f aca="false">IF(OR(A112="",N(D112)=0),"",IFERROR(D112*(1+IFERROR(IF(ISNUMBER(INDEX(Moldes!$K$5:$K$154,MATCH(A112,Moldes!$A$5:$A$154,0))),INDEX(Moldes!$K$5:$K$154,MATCH(A112,Moldes!$A$5:$A$154,0)),Precios!$Q$12),Precios!$Q$12))*(INDEX(Precios!$F$5:$F$124,MATCH(E112,Precios!$A$5:$A$124,0))+IF(F112="Sí",Precios!$Q$10,0)),"falta $ tela"))</f>
        <v/>
      </c>
      <c r="H112" s="32" t="str">
        <f aca="false">IF(A112="","",A112&amp;"|"&amp;COUNTIF($A$5:A112,A112))</f>
        <v>26 · FUTHOMU02PRO|3</v>
      </c>
    </row>
    <row r="113" customFormat="false" ht="15" hidden="false" customHeight="false" outlineLevel="0" collapsed="false">
      <c r="A113" s="28" t="s">
        <v>101</v>
      </c>
      <c r="B113" s="28" t="s">
        <v>180</v>
      </c>
      <c r="C113" s="28" t="n">
        <v>1</v>
      </c>
      <c r="D113" s="31"/>
      <c r="E113" s="10"/>
      <c r="F113" s="28" t="s">
        <v>177</v>
      </c>
      <c r="G113" s="11" t="str">
        <f aca="false">IF(OR(A113="",N(D113)=0),"",IFERROR(D113*(1+IFERROR(IF(ISNUMBER(INDEX(Moldes!$K$5:$K$154,MATCH(A113,Moldes!$A$5:$A$154,0))),INDEX(Moldes!$K$5:$K$154,MATCH(A113,Moldes!$A$5:$A$154,0)),Precios!$Q$12),Precios!$Q$12))*(INDEX(Precios!$F$5:$F$124,MATCH(E113,Precios!$A$5:$A$124,0))+IF(F113="Sí",Precios!$Q$10,0)),"falta $ tela"))</f>
        <v/>
      </c>
      <c r="H113" s="32" t="str">
        <f aca="false">IF(A113="","",A113&amp;"|"&amp;COUNTIF($A$5:A113,A113))</f>
        <v>26 · FUTHOMU02PRO|4</v>
      </c>
    </row>
    <row r="114" customFormat="false" ht="15" hidden="false" customHeight="false" outlineLevel="0" collapsed="false">
      <c r="A114" s="28" t="s">
        <v>101</v>
      </c>
      <c r="B114" s="28" t="s">
        <v>184</v>
      </c>
      <c r="C114" s="28" t="n">
        <v>2</v>
      </c>
      <c r="D114" s="31"/>
      <c r="E114" s="10"/>
      <c r="F114" s="28" t="s">
        <v>177</v>
      </c>
      <c r="G114" s="11" t="str">
        <f aca="false">IF(OR(A114="",N(D114)=0),"",IFERROR(D114*(1+IFERROR(IF(ISNUMBER(INDEX(Moldes!$K$5:$K$154,MATCH(A114,Moldes!$A$5:$A$154,0))),INDEX(Moldes!$K$5:$K$154,MATCH(A114,Moldes!$A$5:$A$154,0)),Precios!$Q$12),Precios!$Q$12))*(INDEX(Precios!$F$5:$F$124,MATCH(E114,Precios!$A$5:$A$124,0))+IF(F114="Sí",Precios!$Q$10,0)),"falta $ tela"))</f>
        <v/>
      </c>
      <c r="H114" s="32" t="str">
        <f aca="false">IF(A114="","",A114&amp;"|"&amp;COUNTIF($A$5:A114,A114))</f>
        <v>26 · FUTHOMU02PRO|5</v>
      </c>
    </row>
    <row r="115" customFormat="false" ht="15" hidden="false" customHeight="false" outlineLevel="0" collapsed="false">
      <c r="A115" s="28" t="s">
        <v>102</v>
      </c>
      <c r="B115" s="28" t="s">
        <v>176</v>
      </c>
      <c r="C115" s="28" t="n">
        <v>1</v>
      </c>
      <c r="D115" s="31"/>
      <c r="E115" s="10"/>
      <c r="F115" s="28" t="s">
        <v>177</v>
      </c>
      <c r="G115" s="11" t="str">
        <f aca="false">IF(OR(A115="",N(D115)=0),"",IFERROR(D115*(1+IFERROR(IF(ISNUMBER(INDEX(Moldes!$K$5:$K$154,MATCH(A115,Moldes!$A$5:$A$154,0))),INDEX(Moldes!$K$5:$K$154,MATCH(A115,Moldes!$A$5:$A$154,0)),Precios!$Q$12),Precios!$Q$12))*(INDEX(Precios!$F$5:$F$124,MATCH(E115,Precios!$A$5:$A$124,0))+IF(F115="Sí",Precios!$Q$10,0)),"falta $ tela"))</f>
        <v/>
      </c>
      <c r="H115" s="32" t="str">
        <f aca="false">IF(A115="","",A115&amp;"|"&amp;COUNTIF($A$5:A115,A115))</f>
        <v>27 · FUTMUJV02PRO|1</v>
      </c>
    </row>
    <row r="116" customFormat="false" ht="15" hidden="false" customHeight="false" outlineLevel="0" collapsed="false">
      <c r="A116" s="28" t="s">
        <v>102</v>
      </c>
      <c r="B116" s="28" t="s">
        <v>178</v>
      </c>
      <c r="C116" s="28" t="n">
        <v>1</v>
      </c>
      <c r="D116" s="31"/>
      <c r="E116" s="10"/>
      <c r="F116" s="28" t="s">
        <v>177</v>
      </c>
      <c r="G116" s="11" t="str">
        <f aca="false">IF(OR(A116="",N(D116)=0),"",IFERROR(D116*(1+IFERROR(IF(ISNUMBER(INDEX(Moldes!$K$5:$K$154,MATCH(A116,Moldes!$A$5:$A$154,0))),INDEX(Moldes!$K$5:$K$154,MATCH(A116,Moldes!$A$5:$A$154,0)),Precios!$Q$12),Precios!$Q$12))*(INDEX(Precios!$F$5:$F$124,MATCH(E116,Precios!$A$5:$A$124,0))+IF(F116="Sí",Precios!$Q$10,0)),"falta $ tela"))</f>
        <v/>
      </c>
      <c r="H116" s="32" t="str">
        <f aca="false">IF(A116="","",A116&amp;"|"&amp;COUNTIF($A$5:A116,A116))</f>
        <v>27 · FUTMUJV02PRO|2</v>
      </c>
    </row>
    <row r="117" customFormat="false" ht="15" hidden="false" customHeight="false" outlineLevel="0" collapsed="false">
      <c r="A117" s="28" t="s">
        <v>102</v>
      </c>
      <c r="B117" s="28" t="s">
        <v>186</v>
      </c>
      <c r="C117" s="28" t="n">
        <v>2</v>
      </c>
      <c r="D117" s="31"/>
      <c r="E117" s="10"/>
      <c r="F117" s="28" t="s">
        <v>177</v>
      </c>
      <c r="G117" s="11" t="str">
        <f aca="false">IF(OR(A117="",N(D117)=0),"",IFERROR(D117*(1+IFERROR(IF(ISNUMBER(INDEX(Moldes!$K$5:$K$154,MATCH(A117,Moldes!$A$5:$A$154,0))),INDEX(Moldes!$K$5:$K$154,MATCH(A117,Moldes!$A$5:$A$154,0)),Precios!$Q$12),Precios!$Q$12))*(INDEX(Precios!$F$5:$F$124,MATCH(E117,Precios!$A$5:$A$124,0))+IF(F117="Sí",Precios!$Q$10,0)),"falta $ tela"))</f>
        <v/>
      </c>
      <c r="H117" s="32" t="str">
        <f aca="false">IF(A117="","",A117&amp;"|"&amp;COUNTIF($A$5:A117,A117))</f>
        <v>27 · FUTMUJV02PRO|3</v>
      </c>
    </row>
    <row r="118" customFormat="false" ht="15" hidden="false" customHeight="false" outlineLevel="0" collapsed="false">
      <c r="A118" s="28" t="s">
        <v>102</v>
      </c>
      <c r="B118" s="28" t="s">
        <v>180</v>
      </c>
      <c r="C118" s="28" t="n">
        <v>1</v>
      </c>
      <c r="D118" s="31"/>
      <c r="E118" s="10"/>
      <c r="F118" s="28" t="s">
        <v>177</v>
      </c>
      <c r="G118" s="11" t="str">
        <f aca="false">IF(OR(A118="",N(D118)=0),"",IFERROR(D118*(1+IFERROR(IF(ISNUMBER(INDEX(Moldes!$K$5:$K$154,MATCH(A118,Moldes!$A$5:$A$154,0))),INDEX(Moldes!$K$5:$K$154,MATCH(A118,Moldes!$A$5:$A$154,0)),Precios!$Q$12),Precios!$Q$12))*(INDEX(Precios!$F$5:$F$124,MATCH(E118,Precios!$A$5:$A$124,0))+IF(F118="Sí",Precios!$Q$10,0)),"falta $ tela"))</f>
        <v/>
      </c>
      <c r="H118" s="32" t="str">
        <f aca="false">IF(A118="","",A118&amp;"|"&amp;COUNTIF($A$5:A118,A118))</f>
        <v>27 · FUTMUJV02PRO|4</v>
      </c>
    </row>
    <row r="119" customFormat="false" ht="15" hidden="false" customHeight="false" outlineLevel="0" collapsed="false">
      <c r="A119" s="28" t="s">
        <v>102</v>
      </c>
      <c r="B119" s="28" t="s">
        <v>184</v>
      </c>
      <c r="C119" s="28" t="n">
        <v>2</v>
      </c>
      <c r="D119" s="31"/>
      <c r="E119" s="10"/>
      <c r="F119" s="28" t="s">
        <v>177</v>
      </c>
      <c r="G119" s="11" t="str">
        <f aca="false">IF(OR(A119="",N(D119)=0),"",IFERROR(D119*(1+IFERROR(IF(ISNUMBER(INDEX(Moldes!$K$5:$K$154,MATCH(A119,Moldes!$A$5:$A$154,0))),INDEX(Moldes!$K$5:$K$154,MATCH(A119,Moldes!$A$5:$A$154,0)),Precios!$Q$12),Precios!$Q$12))*(INDEX(Precios!$F$5:$F$124,MATCH(E119,Precios!$A$5:$A$124,0))+IF(F119="Sí",Precios!$Q$10,0)),"falta $ tela"))</f>
        <v/>
      </c>
      <c r="H119" s="32" t="str">
        <f aca="false">IF(A119="","",A119&amp;"|"&amp;COUNTIF($A$5:A119,A119))</f>
        <v>27 · FUTMUJV02PRO|5</v>
      </c>
    </row>
    <row r="120" customFormat="false" ht="15" hidden="false" customHeight="false" outlineLevel="0" collapsed="false">
      <c r="A120" s="28" t="s">
        <v>104</v>
      </c>
      <c r="B120" s="28" t="s">
        <v>176</v>
      </c>
      <c r="C120" s="28" t="n">
        <v>1</v>
      </c>
      <c r="D120" s="31"/>
      <c r="E120" s="10"/>
      <c r="F120" s="28" t="s">
        <v>177</v>
      </c>
      <c r="G120" s="11" t="str">
        <f aca="false">IF(OR(A120="",N(D120)=0),"",IFERROR(D120*(1+IFERROR(IF(ISNUMBER(INDEX(Moldes!$K$5:$K$154,MATCH(A120,Moldes!$A$5:$A$154,0))),INDEX(Moldes!$K$5:$K$154,MATCH(A120,Moldes!$A$5:$A$154,0)),Precios!$Q$12),Precios!$Q$12))*(INDEX(Precios!$F$5:$F$124,MATCH(E120,Precios!$A$5:$A$124,0))+IF(F120="Sí",Precios!$Q$10,0)),"falta $ tela"))</f>
        <v/>
      </c>
      <c r="H120" s="32" t="str">
        <f aca="false">IF(A120="","",A120&amp;"|"&amp;COUNTIF($A$5:A120,A120))</f>
        <v>28 · FUTHOMV02PRO|1</v>
      </c>
    </row>
    <row r="121" customFormat="false" ht="15" hidden="false" customHeight="false" outlineLevel="0" collapsed="false">
      <c r="A121" s="28" t="s">
        <v>104</v>
      </c>
      <c r="B121" s="28" t="s">
        <v>178</v>
      </c>
      <c r="C121" s="28" t="n">
        <v>1</v>
      </c>
      <c r="D121" s="31"/>
      <c r="E121" s="10"/>
      <c r="F121" s="28" t="s">
        <v>177</v>
      </c>
      <c r="G121" s="11" t="str">
        <f aca="false">IF(OR(A121="",N(D121)=0),"",IFERROR(D121*(1+IFERROR(IF(ISNUMBER(INDEX(Moldes!$K$5:$K$154,MATCH(A121,Moldes!$A$5:$A$154,0))),INDEX(Moldes!$K$5:$K$154,MATCH(A121,Moldes!$A$5:$A$154,0)),Precios!$Q$12),Precios!$Q$12))*(INDEX(Precios!$F$5:$F$124,MATCH(E121,Precios!$A$5:$A$124,0))+IF(F121="Sí",Precios!$Q$10,0)),"falta $ tela"))</f>
        <v/>
      </c>
      <c r="H121" s="32" t="str">
        <f aca="false">IF(A121="","",A121&amp;"|"&amp;COUNTIF($A$5:A121,A121))</f>
        <v>28 · FUTHOMV02PRO|2</v>
      </c>
    </row>
    <row r="122" customFormat="false" ht="15" hidden="false" customHeight="false" outlineLevel="0" collapsed="false">
      <c r="A122" s="28" t="s">
        <v>104</v>
      </c>
      <c r="B122" s="28" t="s">
        <v>186</v>
      </c>
      <c r="C122" s="28" t="n">
        <v>2</v>
      </c>
      <c r="D122" s="31"/>
      <c r="E122" s="10"/>
      <c r="F122" s="28" t="s">
        <v>177</v>
      </c>
      <c r="G122" s="11" t="str">
        <f aca="false">IF(OR(A122="",N(D122)=0),"",IFERROR(D122*(1+IFERROR(IF(ISNUMBER(INDEX(Moldes!$K$5:$K$154,MATCH(A122,Moldes!$A$5:$A$154,0))),INDEX(Moldes!$K$5:$K$154,MATCH(A122,Moldes!$A$5:$A$154,0)),Precios!$Q$12),Precios!$Q$12))*(INDEX(Precios!$F$5:$F$124,MATCH(E122,Precios!$A$5:$A$124,0))+IF(F122="Sí",Precios!$Q$10,0)),"falta $ tela"))</f>
        <v/>
      </c>
      <c r="H122" s="32" t="str">
        <f aca="false">IF(A122="","",A122&amp;"|"&amp;COUNTIF($A$5:A122,A122))</f>
        <v>28 · FUTHOMV02PRO|3</v>
      </c>
    </row>
    <row r="123" customFormat="false" ht="15" hidden="false" customHeight="false" outlineLevel="0" collapsed="false">
      <c r="A123" s="28" t="s">
        <v>104</v>
      </c>
      <c r="B123" s="28" t="s">
        <v>180</v>
      </c>
      <c r="C123" s="28" t="n">
        <v>1</v>
      </c>
      <c r="D123" s="31"/>
      <c r="E123" s="10"/>
      <c r="F123" s="28" t="s">
        <v>177</v>
      </c>
      <c r="G123" s="11" t="str">
        <f aca="false">IF(OR(A123="",N(D123)=0),"",IFERROR(D123*(1+IFERROR(IF(ISNUMBER(INDEX(Moldes!$K$5:$K$154,MATCH(A123,Moldes!$A$5:$A$154,0))),INDEX(Moldes!$K$5:$K$154,MATCH(A123,Moldes!$A$5:$A$154,0)),Precios!$Q$12),Precios!$Q$12))*(INDEX(Precios!$F$5:$F$124,MATCH(E123,Precios!$A$5:$A$124,0))+IF(F123="Sí",Precios!$Q$10,0)),"falta $ tela"))</f>
        <v/>
      </c>
      <c r="H123" s="32" t="str">
        <f aca="false">IF(A123="","",A123&amp;"|"&amp;COUNTIF($A$5:A123,A123))</f>
        <v>28 · FUTHOMV02PRO|4</v>
      </c>
    </row>
    <row r="124" customFormat="false" ht="15" hidden="false" customHeight="false" outlineLevel="0" collapsed="false">
      <c r="A124" s="28" t="s">
        <v>104</v>
      </c>
      <c r="B124" s="28" t="s">
        <v>184</v>
      </c>
      <c r="C124" s="28" t="n">
        <v>2</v>
      </c>
      <c r="D124" s="31"/>
      <c r="E124" s="10"/>
      <c r="F124" s="28" t="s">
        <v>177</v>
      </c>
      <c r="G124" s="11" t="str">
        <f aca="false">IF(OR(A124="",N(D124)=0),"",IFERROR(D124*(1+IFERROR(IF(ISNUMBER(INDEX(Moldes!$K$5:$K$154,MATCH(A124,Moldes!$A$5:$A$154,0))),INDEX(Moldes!$K$5:$K$154,MATCH(A124,Moldes!$A$5:$A$154,0)),Precios!$Q$12),Precios!$Q$12))*(INDEX(Precios!$F$5:$F$124,MATCH(E124,Precios!$A$5:$A$124,0))+IF(F124="Sí",Precios!$Q$10,0)),"falta $ tela"))</f>
        <v/>
      </c>
      <c r="H124" s="32" t="str">
        <f aca="false">IF(A124="","",A124&amp;"|"&amp;COUNTIF($A$5:A124,A124))</f>
        <v>28 · FUTHOMV02PRO|5</v>
      </c>
    </row>
    <row r="125" customFormat="false" ht="15" hidden="false" customHeight="false" outlineLevel="0" collapsed="false">
      <c r="A125" s="28" t="s">
        <v>105</v>
      </c>
      <c r="B125" s="28" t="s">
        <v>176</v>
      </c>
      <c r="C125" s="28" t="n">
        <v>1</v>
      </c>
      <c r="D125" s="31"/>
      <c r="E125" s="10"/>
      <c r="F125" s="28" t="s">
        <v>177</v>
      </c>
      <c r="G125" s="11" t="str">
        <f aca="false">IF(OR(A125="",N(D125)=0),"",IFERROR(D125*(1+IFERROR(IF(ISNUMBER(INDEX(Moldes!$K$5:$K$154,MATCH(A125,Moldes!$A$5:$A$154,0))),INDEX(Moldes!$K$5:$K$154,MATCH(A125,Moldes!$A$5:$A$154,0)),Precios!$Q$12),Precios!$Q$12))*(INDEX(Precios!$F$5:$F$124,MATCH(E125,Precios!$A$5:$A$124,0))+IF(F125="Sí",Precios!$Q$10,0)),"falta $ tela"))</f>
        <v/>
      </c>
      <c r="H125" s="32" t="str">
        <f aca="false">IF(A125="","",A125&amp;"|"&amp;COUNTIF($A$5:A125,A125))</f>
        <v>29 · BKMUJU03|1</v>
      </c>
    </row>
    <row r="126" customFormat="false" ht="15" hidden="false" customHeight="false" outlineLevel="0" collapsed="false">
      <c r="A126" s="28" t="s">
        <v>105</v>
      </c>
      <c r="B126" s="28" t="s">
        <v>178</v>
      </c>
      <c r="C126" s="28" t="n">
        <v>1</v>
      </c>
      <c r="D126" s="31"/>
      <c r="E126" s="10"/>
      <c r="F126" s="28" t="s">
        <v>177</v>
      </c>
      <c r="G126" s="11" t="str">
        <f aca="false">IF(OR(A126="",N(D126)=0),"",IFERROR(D126*(1+IFERROR(IF(ISNUMBER(INDEX(Moldes!$K$5:$K$154,MATCH(A126,Moldes!$A$5:$A$154,0))),INDEX(Moldes!$K$5:$K$154,MATCH(A126,Moldes!$A$5:$A$154,0)),Precios!$Q$12),Precios!$Q$12))*(INDEX(Precios!$F$5:$F$124,MATCH(E126,Precios!$A$5:$A$124,0))+IF(F126="Sí",Precios!$Q$10,0)),"falta $ tela"))</f>
        <v/>
      </c>
      <c r="H126" s="32" t="str">
        <f aca="false">IF(A126="","",A126&amp;"|"&amp;COUNTIF($A$5:A126,A126))</f>
        <v>29 · BKMUJU03|2</v>
      </c>
    </row>
    <row r="127" customFormat="false" ht="15" hidden="false" customHeight="false" outlineLevel="0" collapsed="false">
      <c r="A127" s="28" t="s">
        <v>105</v>
      </c>
      <c r="B127" s="28" t="s">
        <v>187</v>
      </c>
      <c r="C127" s="28" t="n">
        <v>1</v>
      </c>
      <c r="D127" s="31"/>
      <c r="E127" s="10"/>
      <c r="F127" s="28" t="s">
        <v>177</v>
      </c>
      <c r="G127" s="11" t="str">
        <f aca="false">IF(OR(A127="",N(D127)=0),"",IFERROR(D127*(1+IFERROR(IF(ISNUMBER(INDEX(Moldes!$K$5:$K$154,MATCH(A127,Moldes!$A$5:$A$154,0))),INDEX(Moldes!$K$5:$K$154,MATCH(A127,Moldes!$A$5:$A$154,0)),Precios!$Q$12),Precios!$Q$12))*(INDEX(Precios!$F$5:$F$124,MATCH(E127,Precios!$A$5:$A$124,0))+IF(F127="Sí",Precios!$Q$10,0)),"falta $ tela"))</f>
        <v/>
      </c>
      <c r="H127" s="32" t="str">
        <f aca="false">IF(A127="","",A127&amp;"|"&amp;COUNTIF($A$5:A127,A127))</f>
        <v>29 · BKMUJU03|3</v>
      </c>
    </row>
    <row r="128" customFormat="false" ht="15" hidden="false" customHeight="false" outlineLevel="0" collapsed="false">
      <c r="A128" s="28" t="s">
        <v>108</v>
      </c>
      <c r="B128" s="28" t="s">
        <v>176</v>
      </c>
      <c r="C128" s="28" t="n">
        <v>1</v>
      </c>
      <c r="D128" s="31"/>
      <c r="E128" s="10" t="s">
        <v>188</v>
      </c>
      <c r="F128" s="28" t="s">
        <v>177</v>
      </c>
      <c r="G128" s="11" t="str">
        <f aca="false">IF(OR(A128="",N(D128)=0),"",IFERROR(D128*(1+IFERROR(IF(ISNUMBER(INDEX(Moldes!$K$5:$K$154,MATCH(A128,Moldes!$A$5:$A$154,0))),INDEX(Moldes!$K$5:$K$154,MATCH(A128,Moldes!$A$5:$A$154,0)),Precios!$Q$12),Precios!$Q$12))*(INDEX(Precios!$F$5:$F$124,MATCH(E128,Precios!$A$5:$A$124,0))+IF(F128="Sí",Precios!$Q$10,0)),"falta $ tela"))</f>
        <v/>
      </c>
      <c r="H128" s="32" t="str">
        <f aca="false">IF(A128="","",A128&amp;"|"&amp;COUNTIF($A$5:A128,A128))</f>
        <v>30 · BKHOMU03|1</v>
      </c>
    </row>
    <row r="129" customFormat="false" ht="15" hidden="false" customHeight="false" outlineLevel="0" collapsed="false">
      <c r="A129" s="28" t="s">
        <v>108</v>
      </c>
      <c r="B129" s="28" t="s">
        <v>178</v>
      </c>
      <c r="C129" s="28" t="n">
        <v>1</v>
      </c>
      <c r="D129" s="31"/>
      <c r="E129" s="10" t="s">
        <v>188</v>
      </c>
      <c r="F129" s="28" t="s">
        <v>177</v>
      </c>
      <c r="G129" s="11" t="str">
        <f aca="false">IF(OR(A129="",N(D129)=0),"",IFERROR(D129*(1+IFERROR(IF(ISNUMBER(INDEX(Moldes!$K$5:$K$154,MATCH(A129,Moldes!$A$5:$A$154,0))),INDEX(Moldes!$K$5:$K$154,MATCH(A129,Moldes!$A$5:$A$154,0)),Precios!$Q$12),Precios!$Q$12))*(INDEX(Precios!$F$5:$F$124,MATCH(E129,Precios!$A$5:$A$124,0))+IF(F129="Sí",Precios!$Q$10,0)),"falta $ tela"))</f>
        <v/>
      </c>
      <c r="H129" s="32" t="str">
        <f aca="false">IF(A129="","",A129&amp;"|"&amp;COUNTIF($A$5:A129,A129))</f>
        <v>30 · BKHOMU03|2</v>
      </c>
    </row>
    <row r="130" customFormat="false" ht="15" hidden="false" customHeight="false" outlineLevel="0" collapsed="false">
      <c r="A130" s="28" t="s">
        <v>108</v>
      </c>
      <c r="B130" s="28" t="s">
        <v>187</v>
      </c>
      <c r="C130" s="28" t="n">
        <v>1</v>
      </c>
      <c r="D130" s="31"/>
      <c r="E130" s="10" t="s">
        <v>188</v>
      </c>
      <c r="F130" s="28" t="s">
        <v>177</v>
      </c>
      <c r="G130" s="11" t="str">
        <f aca="false">IF(OR(A130="",N(D130)=0),"",IFERROR(D130*(1+IFERROR(IF(ISNUMBER(INDEX(Moldes!$K$5:$K$154,MATCH(A130,Moldes!$A$5:$A$154,0))),INDEX(Moldes!$K$5:$K$154,MATCH(A130,Moldes!$A$5:$A$154,0)),Precios!$Q$12),Precios!$Q$12))*(INDEX(Precios!$F$5:$F$124,MATCH(E130,Precios!$A$5:$A$124,0))+IF(F130="Sí",Precios!$Q$10,0)),"falta $ tela"))</f>
        <v/>
      </c>
      <c r="H130" s="32" t="str">
        <f aca="false">IF(A130="","",A130&amp;"|"&amp;COUNTIF($A$5:A130,A130))</f>
        <v>30 · BKHOMU03|3</v>
      </c>
    </row>
    <row r="131" customFormat="false" ht="15" hidden="false" customHeight="false" outlineLevel="0" collapsed="false">
      <c r="A131" s="28" t="s">
        <v>110</v>
      </c>
      <c r="B131" s="28" t="s">
        <v>176</v>
      </c>
      <c r="C131" s="28" t="n">
        <v>1</v>
      </c>
      <c r="D131" s="31"/>
      <c r="E131" s="10"/>
      <c r="F131" s="28" t="s">
        <v>177</v>
      </c>
      <c r="G131" s="11" t="str">
        <f aca="false">IF(OR(A131="",N(D131)=0),"",IFERROR(D131*(1+IFERROR(IF(ISNUMBER(INDEX(Moldes!$K$5:$K$154,MATCH(A131,Moldes!$A$5:$A$154,0))),INDEX(Moldes!$K$5:$K$154,MATCH(A131,Moldes!$A$5:$A$154,0)),Precios!$Q$12),Precios!$Q$12))*(INDEX(Precios!$F$5:$F$124,MATCH(E131,Precios!$A$5:$A$124,0))+IF(F131="Sí",Precios!$Q$10,0)),"falta $ tela"))</f>
        <v/>
      </c>
      <c r="H131" s="32" t="str">
        <f aca="false">IF(A131="","",A131&amp;"|"&amp;COUNTIF($A$5:A131,A131))</f>
        <v>31 · BKINMUJU03|1</v>
      </c>
    </row>
    <row r="132" customFormat="false" ht="15" hidden="false" customHeight="false" outlineLevel="0" collapsed="false">
      <c r="A132" s="28" t="s">
        <v>110</v>
      </c>
      <c r="B132" s="28" t="s">
        <v>178</v>
      </c>
      <c r="C132" s="28" t="n">
        <v>1</v>
      </c>
      <c r="D132" s="31"/>
      <c r="E132" s="10"/>
      <c r="F132" s="28" t="s">
        <v>177</v>
      </c>
      <c r="G132" s="11" t="str">
        <f aca="false">IF(OR(A132="",N(D132)=0),"",IFERROR(D132*(1+IFERROR(IF(ISNUMBER(INDEX(Moldes!$K$5:$K$154,MATCH(A132,Moldes!$A$5:$A$154,0))),INDEX(Moldes!$K$5:$K$154,MATCH(A132,Moldes!$A$5:$A$154,0)),Precios!$Q$12),Precios!$Q$12))*(INDEX(Precios!$F$5:$F$124,MATCH(E132,Precios!$A$5:$A$124,0))+IF(F132="Sí",Precios!$Q$10,0)),"falta $ tela"))</f>
        <v/>
      </c>
      <c r="H132" s="32" t="str">
        <f aca="false">IF(A132="","",A132&amp;"|"&amp;COUNTIF($A$5:A132,A132))</f>
        <v>31 · BKINMUJU03|2</v>
      </c>
    </row>
    <row r="133" customFormat="false" ht="15" hidden="false" customHeight="false" outlineLevel="0" collapsed="false">
      <c r="A133" s="28" t="s">
        <v>110</v>
      </c>
      <c r="B133" s="28" t="s">
        <v>187</v>
      </c>
      <c r="C133" s="28" t="n">
        <v>1</v>
      </c>
      <c r="D133" s="31"/>
      <c r="E133" s="10"/>
      <c r="F133" s="28" t="s">
        <v>177</v>
      </c>
      <c r="G133" s="11" t="str">
        <f aca="false">IF(OR(A133="",N(D133)=0),"",IFERROR(D133*(1+IFERROR(IF(ISNUMBER(INDEX(Moldes!$K$5:$K$154,MATCH(A133,Moldes!$A$5:$A$154,0))),INDEX(Moldes!$K$5:$K$154,MATCH(A133,Moldes!$A$5:$A$154,0)),Precios!$Q$12),Precios!$Q$12))*(INDEX(Precios!$F$5:$F$124,MATCH(E133,Precios!$A$5:$A$124,0))+IF(F133="Sí",Precios!$Q$10,0)),"falta $ tela"))</f>
        <v/>
      </c>
      <c r="H133" s="32" t="str">
        <f aca="false">IF(A133="","",A133&amp;"|"&amp;COUNTIF($A$5:A133,A133))</f>
        <v>31 · BKINMUJU03|3</v>
      </c>
    </row>
    <row r="134" customFormat="false" ht="15" hidden="false" customHeight="false" outlineLevel="0" collapsed="false">
      <c r="A134" s="28" t="s">
        <v>112</v>
      </c>
      <c r="B134" s="28" t="s">
        <v>176</v>
      </c>
      <c r="C134" s="28" t="n">
        <v>1</v>
      </c>
      <c r="D134" s="31"/>
      <c r="E134" s="10"/>
      <c r="F134" s="28" t="s">
        <v>177</v>
      </c>
      <c r="G134" s="11" t="str">
        <f aca="false">IF(OR(A134="",N(D134)=0),"",IFERROR(D134*(1+IFERROR(IF(ISNUMBER(INDEX(Moldes!$K$5:$K$154,MATCH(A134,Moldes!$A$5:$A$154,0))),INDEX(Moldes!$K$5:$K$154,MATCH(A134,Moldes!$A$5:$A$154,0)),Precios!$Q$12),Precios!$Q$12))*(INDEX(Precios!$F$5:$F$124,MATCH(E134,Precios!$A$5:$A$124,0))+IF(F134="Sí",Precios!$Q$10,0)),"falta $ tela"))</f>
        <v/>
      </c>
      <c r="H134" s="32" t="str">
        <f aca="false">IF(A134="","",A134&amp;"|"&amp;COUNTIF($A$5:A134,A134))</f>
        <v>32 · BKINHOMU03|1</v>
      </c>
    </row>
    <row r="135" customFormat="false" ht="15" hidden="false" customHeight="false" outlineLevel="0" collapsed="false">
      <c r="A135" s="28" t="s">
        <v>112</v>
      </c>
      <c r="B135" s="28" t="s">
        <v>178</v>
      </c>
      <c r="C135" s="28" t="n">
        <v>1</v>
      </c>
      <c r="D135" s="31"/>
      <c r="E135" s="10"/>
      <c r="F135" s="28" t="s">
        <v>177</v>
      </c>
      <c r="G135" s="11" t="str">
        <f aca="false">IF(OR(A135="",N(D135)=0),"",IFERROR(D135*(1+IFERROR(IF(ISNUMBER(INDEX(Moldes!$K$5:$K$154,MATCH(A135,Moldes!$A$5:$A$154,0))),INDEX(Moldes!$K$5:$K$154,MATCH(A135,Moldes!$A$5:$A$154,0)),Precios!$Q$12),Precios!$Q$12))*(INDEX(Precios!$F$5:$F$124,MATCH(E135,Precios!$A$5:$A$124,0))+IF(F135="Sí",Precios!$Q$10,0)),"falta $ tela"))</f>
        <v/>
      </c>
      <c r="H135" s="32" t="str">
        <f aca="false">IF(A135="","",A135&amp;"|"&amp;COUNTIF($A$5:A135,A135))</f>
        <v>32 · BKINHOMU03|2</v>
      </c>
    </row>
    <row r="136" customFormat="false" ht="15" hidden="false" customHeight="false" outlineLevel="0" collapsed="false">
      <c r="A136" s="28" t="s">
        <v>112</v>
      </c>
      <c r="B136" s="28" t="s">
        <v>187</v>
      </c>
      <c r="C136" s="28" t="n">
        <v>1</v>
      </c>
      <c r="D136" s="31"/>
      <c r="E136" s="10"/>
      <c r="F136" s="28" t="s">
        <v>177</v>
      </c>
      <c r="G136" s="11" t="str">
        <f aca="false">IF(OR(A136="",N(D136)=0),"",IFERROR(D136*(1+IFERROR(IF(ISNUMBER(INDEX(Moldes!$K$5:$K$154,MATCH(A136,Moldes!$A$5:$A$154,0))),INDEX(Moldes!$K$5:$K$154,MATCH(A136,Moldes!$A$5:$A$154,0)),Precios!$Q$12),Precios!$Q$12))*(INDEX(Precios!$F$5:$F$124,MATCH(E136,Precios!$A$5:$A$124,0))+IF(F136="Sí",Precios!$Q$10,0)),"falta $ tela"))</f>
        <v/>
      </c>
      <c r="H136" s="32" t="str">
        <f aca="false">IF(A136="","",A136&amp;"|"&amp;COUNTIF($A$5:A136,A136))</f>
        <v>32 · BKINHOMU03|3</v>
      </c>
    </row>
    <row r="137" customFormat="false" ht="15" hidden="false" customHeight="false" outlineLevel="0" collapsed="false">
      <c r="A137" s="28" t="s">
        <v>113</v>
      </c>
      <c r="B137" s="28" t="s">
        <v>176</v>
      </c>
      <c r="C137" s="28" t="n">
        <v>1</v>
      </c>
      <c r="D137" s="31"/>
      <c r="E137" s="10"/>
      <c r="F137" s="28" t="s">
        <v>177</v>
      </c>
      <c r="G137" s="11" t="str">
        <f aca="false">IF(OR(A137="",N(D137)=0),"",IFERROR(D137*(1+IFERROR(IF(ISNUMBER(INDEX(Moldes!$K$5:$K$154,MATCH(A137,Moldes!$A$5:$A$154,0))),INDEX(Moldes!$K$5:$K$154,MATCH(A137,Moldes!$A$5:$A$154,0)),Precios!$Q$12),Precios!$Q$12))*(INDEX(Precios!$F$5:$F$124,MATCH(E137,Precios!$A$5:$A$124,0))+IF(F137="Sí",Precios!$Q$10,0)),"falta $ tela"))</f>
        <v/>
      </c>
      <c r="H137" s="32" t="str">
        <f aca="false">IF(A137="","",A137&amp;"|"&amp;COUNTIF($A$5:A137,A137))</f>
        <v>33 · BKMUJV03|1</v>
      </c>
    </row>
    <row r="138" customFormat="false" ht="15" hidden="false" customHeight="false" outlineLevel="0" collapsed="false">
      <c r="A138" s="28" t="s">
        <v>113</v>
      </c>
      <c r="B138" s="28" t="s">
        <v>178</v>
      </c>
      <c r="C138" s="28" t="n">
        <v>1</v>
      </c>
      <c r="D138" s="31"/>
      <c r="E138" s="10"/>
      <c r="F138" s="28" t="s">
        <v>177</v>
      </c>
      <c r="G138" s="11" t="str">
        <f aca="false">IF(OR(A138="",N(D138)=0),"",IFERROR(D138*(1+IFERROR(IF(ISNUMBER(INDEX(Moldes!$K$5:$K$154,MATCH(A138,Moldes!$A$5:$A$154,0))),INDEX(Moldes!$K$5:$K$154,MATCH(A138,Moldes!$A$5:$A$154,0)),Precios!$Q$12),Precios!$Q$12))*(INDEX(Precios!$F$5:$F$124,MATCH(E138,Precios!$A$5:$A$124,0))+IF(F138="Sí",Precios!$Q$10,0)),"falta $ tela"))</f>
        <v/>
      </c>
      <c r="H138" s="32" t="str">
        <f aca="false">IF(A138="","",A138&amp;"|"&amp;COUNTIF($A$5:A138,A138))</f>
        <v>33 · BKMUJV03|2</v>
      </c>
    </row>
    <row r="139" customFormat="false" ht="15" hidden="false" customHeight="false" outlineLevel="0" collapsed="false">
      <c r="A139" s="28" t="s">
        <v>113</v>
      </c>
      <c r="B139" s="28" t="s">
        <v>187</v>
      </c>
      <c r="C139" s="28" t="n">
        <v>1</v>
      </c>
      <c r="D139" s="31"/>
      <c r="E139" s="10"/>
      <c r="F139" s="28" t="s">
        <v>177</v>
      </c>
      <c r="G139" s="11" t="str">
        <f aca="false">IF(OR(A139="",N(D139)=0),"",IFERROR(D139*(1+IFERROR(IF(ISNUMBER(INDEX(Moldes!$K$5:$K$154,MATCH(A139,Moldes!$A$5:$A$154,0))),INDEX(Moldes!$K$5:$K$154,MATCH(A139,Moldes!$A$5:$A$154,0)),Precios!$Q$12),Precios!$Q$12))*(INDEX(Precios!$F$5:$F$124,MATCH(E139,Precios!$A$5:$A$124,0))+IF(F139="Sí",Precios!$Q$10,0)),"falta $ tela"))</f>
        <v/>
      </c>
      <c r="H139" s="32" t="str">
        <f aca="false">IF(A139="","",A139&amp;"|"&amp;COUNTIF($A$5:A139,A139))</f>
        <v>33 · BKMUJV03|3</v>
      </c>
    </row>
    <row r="140" customFormat="false" ht="15" hidden="false" customHeight="false" outlineLevel="0" collapsed="false">
      <c r="A140" s="28" t="s">
        <v>115</v>
      </c>
      <c r="B140" s="28" t="s">
        <v>176</v>
      </c>
      <c r="C140" s="28" t="n">
        <v>1</v>
      </c>
      <c r="D140" s="31"/>
      <c r="E140" s="10"/>
      <c r="F140" s="28" t="s">
        <v>177</v>
      </c>
      <c r="G140" s="11" t="str">
        <f aca="false">IF(OR(A140="",N(D140)=0),"",IFERROR(D140*(1+IFERROR(IF(ISNUMBER(INDEX(Moldes!$K$5:$K$154,MATCH(A140,Moldes!$A$5:$A$154,0))),INDEX(Moldes!$K$5:$K$154,MATCH(A140,Moldes!$A$5:$A$154,0)),Precios!$Q$12),Precios!$Q$12))*(INDEX(Precios!$F$5:$F$124,MATCH(E140,Precios!$A$5:$A$124,0))+IF(F140="Sí",Precios!$Q$10,0)),"falta $ tela"))</f>
        <v/>
      </c>
      <c r="H140" s="32" t="str">
        <f aca="false">IF(A140="","",A140&amp;"|"&amp;COUNTIF($A$5:A140,A140))</f>
        <v>34 · BKHOMV03|1</v>
      </c>
    </row>
    <row r="141" customFormat="false" ht="15" hidden="false" customHeight="false" outlineLevel="0" collapsed="false">
      <c r="A141" s="28" t="s">
        <v>115</v>
      </c>
      <c r="B141" s="28" t="s">
        <v>178</v>
      </c>
      <c r="C141" s="28" t="n">
        <v>1</v>
      </c>
      <c r="D141" s="31"/>
      <c r="E141" s="10"/>
      <c r="F141" s="28" t="s">
        <v>177</v>
      </c>
      <c r="G141" s="11" t="str">
        <f aca="false">IF(OR(A141="",N(D141)=0),"",IFERROR(D141*(1+IFERROR(IF(ISNUMBER(INDEX(Moldes!$K$5:$K$154,MATCH(A141,Moldes!$A$5:$A$154,0))),INDEX(Moldes!$K$5:$K$154,MATCH(A141,Moldes!$A$5:$A$154,0)),Precios!$Q$12),Precios!$Q$12))*(INDEX(Precios!$F$5:$F$124,MATCH(E141,Precios!$A$5:$A$124,0))+IF(F141="Sí",Precios!$Q$10,0)),"falta $ tela"))</f>
        <v/>
      </c>
      <c r="H141" s="32" t="str">
        <f aca="false">IF(A141="","",A141&amp;"|"&amp;COUNTIF($A$5:A141,A141))</f>
        <v>34 · BKHOMV03|2</v>
      </c>
    </row>
    <row r="142" customFormat="false" ht="15" hidden="false" customHeight="false" outlineLevel="0" collapsed="false">
      <c r="A142" s="28" t="s">
        <v>115</v>
      </c>
      <c r="B142" s="28" t="s">
        <v>187</v>
      </c>
      <c r="C142" s="28" t="n">
        <v>1</v>
      </c>
      <c r="D142" s="31"/>
      <c r="E142" s="10"/>
      <c r="F142" s="28" t="s">
        <v>177</v>
      </c>
      <c r="G142" s="11" t="str">
        <f aca="false">IF(OR(A142="",N(D142)=0),"",IFERROR(D142*(1+IFERROR(IF(ISNUMBER(INDEX(Moldes!$K$5:$K$154,MATCH(A142,Moldes!$A$5:$A$154,0))),INDEX(Moldes!$K$5:$K$154,MATCH(A142,Moldes!$A$5:$A$154,0)),Precios!$Q$12),Precios!$Q$12))*(INDEX(Precios!$F$5:$F$124,MATCH(E142,Precios!$A$5:$A$124,0))+IF(F142="Sí",Precios!$Q$10,0)),"falta $ tela"))</f>
        <v/>
      </c>
      <c r="H142" s="32" t="str">
        <f aca="false">IF(A142="","",A142&amp;"|"&amp;COUNTIF($A$5:A142,A142))</f>
        <v>34 · BKHOMV03|3</v>
      </c>
    </row>
    <row r="143" customFormat="false" ht="15" hidden="false" customHeight="false" outlineLevel="0" collapsed="false">
      <c r="A143" s="28" t="s">
        <v>116</v>
      </c>
      <c r="B143" s="28" t="s">
        <v>176</v>
      </c>
      <c r="C143" s="28" t="n">
        <v>1</v>
      </c>
      <c r="D143" s="31"/>
      <c r="E143" s="10"/>
      <c r="F143" s="28" t="s">
        <v>177</v>
      </c>
      <c r="G143" s="11" t="str">
        <f aca="false">IF(OR(A143="",N(D143)=0),"",IFERROR(D143*(1+IFERROR(IF(ISNUMBER(INDEX(Moldes!$K$5:$K$154,MATCH(A143,Moldes!$A$5:$A$154,0))),INDEX(Moldes!$K$5:$K$154,MATCH(A143,Moldes!$A$5:$A$154,0)),Precios!$Q$12),Precios!$Q$12))*(INDEX(Precios!$F$5:$F$124,MATCH(E143,Precios!$A$5:$A$124,0))+IF(F143="Sí",Precios!$Q$10,0)),"falta $ tela"))</f>
        <v/>
      </c>
      <c r="H143" s="32" t="str">
        <f aca="false">IF(A143="","",A143&amp;"|"&amp;COUNTIF($A$5:A143,A143))</f>
        <v>35 · BKINMUJV03|1</v>
      </c>
    </row>
    <row r="144" customFormat="false" ht="15" hidden="false" customHeight="false" outlineLevel="0" collapsed="false">
      <c r="A144" s="28" t="s">
        <v>116</v>
      </c>
      <c r="B144" s="28" t="s">
        <v>178</v>
      </c>
      <c r="C144" s="28" t="n">
        <v>1</v>
      </c>
      <c r="D144" s="31"/>
      <c r="E144" s="10"/>
      <c r="F144" s="28" t="s">
        <v>177</v>
      </c>
      <c r="G144" s="11" t="str">
        <f aca="false">IF(OR(A144="",N(D144)=0),"",IFERROR(D144*(1+IFERROR(IF(ISNUMBER(INDEX(Moldes!$K$5:$K$154,MATCH(A144,Moldes!$A$5:$A$154,0))),INDEX(Moldes!$K$5:$K$154,MATCH(A144,Moldes!$A$5:$A$154,0)),Precios!$Q$12),Precios!$Q$12))*(INDEX(Precios!$F$5:$F$124,MATCH(E144,Precios!$A$5:$A$124,0))+IF(F144="Sí",Precios!$Q$10,0)),"falta $ tela"))</f>
        <v/>
      </c>
      <c r="H144" s="32" t="str">
        <f aca="false">IF(A144="","",A144&amp;"|"&amp;COUNTIF($A$5:A144,A144))</f>
        <v>35 · BKINMUJV03|2</v>
      </c>
    </row>
    <row r="145" customFormat="false" ht="15" hidden="false" customHeight="false" outlineLevel="0" collapsed="false">
      <c r="A145" s="28" t="s">
        <v>116</v>
      </c>
      <c r="B145" s="28" t="s">
        <v>187</v>
      </c>
      <c r="C145" s="28" t="n">
        <v>1</v>
      </c>
      <c r="D145" s="31"/>
      <c r="E145" s="10"/>
      <c r="F145" s="28" t="s">
        <v>177</v>
      </c>
      <c r="G145" s="11" t="str">
        <f aca="false">IF(OR(A145="",N(D145)=0),"",IFERROR(D145*(1+IFERROR(IF(ISNUMBER(INDEX(Moldes!$K$5:$K$154,MATCH(A145,Moldes!$A$5:$A$154,0))),INDEX(Moldes!$K$5:$K$154,MATCH(A145,Moldes!$A$5:$A$154,0)),Precios!$Q$12),Precios!$Q$12))*(INDEX(Precios!$F$5:$F$124,MATCH(E145,Precios!$A$5:$A$124,0))+IF(F145="Sí",Precios!$Q$10,0)),"falta $ tela"))</f>
        <v/>
      </c>
      <c r="H145" s="32" t="str">
        <f aca="false">IF(A145="","",A145&amp;"|"&amp;COUNTIF($A$5:A145,A145))</f>
        <v>35 · BKINMUJV03|3</v>
      </c>
    </row>
    <row r="146" customFormat="false" ht="15" hidden="false" customHeight="false" outlineLevel="0" collapsed="false">
      <c r="A146" s="28" t="s">
        <v>118</v>
      </c>
      <c r="B146" s="28" t="s">
        <v>176</v>
      </c>
      <c r="C146" s="28" t="n">
        <v>1</v>
      </c>
      <c r="D146" s="31"/>
      <c r="E146" s="10"/>
      <c r="F146" s="28" t="s">
        <v>177</v>
      </c>
      <c r="G146" s="11" t="str">
        <f aca="false">IF(OR(A146="",N(D146)=0),"",IFERROR(D146*(1+IFERROR(IF(ISNUMBER(INDEX(Moldes!$K$5:$K$154,MATCH(A146,Moldes!$A$5:$A$154,0))),INDEX(Moldes!$K$5:$K$154,MATCH(A146,Moldes!$A$5:$A$154,0)),Precios!$Q$12),Precios!$Q$12))*(INDEX(Precios!$F$5:$F$124,MATCH(E146,Precios!$A$5:$A$124,0))+IF(F146="Sí",Precios!$Q$10,0)),"falta $ tela"))</f>
        <v/>
      </c>
      <c r="H146" s="32" t="str">
        <f aca="false">IF(A146="","",A146&amp;"|"&amp;COUNTIF($A$5:A146,A146))</f>
        <v>36 · BKINHOMV03|1</v>
      </c>
    </row>
    <row r="147" customFormat="false" ht="15" hidden="false" customHeight="false" outlineLevel="0" collapsed="false">
      <c r="A147" s="28" t="s">
        <v>118</v>
      </c>
      <c r="B147" s="28" t="s">
        <v>178</v>
      </c>
      <c r="C147" s="28" t="n">
        <v>1</v>
      </c>
      <c r="D147" s="31"/>
      <c r="E147" s="10"/>
      <c r="F147" s="28" t="s">
        <v>177</v>
      </c>
      <c r="G147" s="11" t="str">
        <f aca="false">IF(OR(A147="",N(D147)=0),"",IFERROR(D147*(1+IFERROR(IF(ISNUMBER(INDEX(Moldes!$K$5:$K$154,MATCH(A147,Moldes!$A$5:$A$154,0))),INDEX(Moldes!$K$5:$K$154,MATCH(A147,Moldes!$A$5:$A$154,0)),Precios!$Q$12),Precios!$Q$12))*(INDEX(Precios!$F$5:$F$124,MATCH(E147,Precios!$A$5:$A$124,0))+IF(F147="Sí",Precios!$Q$10,0)),"falta $ tela"))</f>
        <v/>
      </c>
      <c r="H147" s="32" t="str">
        <f aca="false">IF(A147="","",A147&amp;"|"&amp;COUNTIF($A$5:A147,A147))</f>
        <v>36 · BKINHOMV03|2</v>
      </c>
    </row>
    <row r="148" customFormat="false" ht="15" hidden="false" customHeight="false" outlineLevel="0" collapsed="false">
      <c r="A148" s="28" t="s">
        <v>118</v>
      </c>
      <c r="B148" s="28" t="s">
        <v>187</v>
      </c>
      <c r="C148" s="28" t="n">
        <v>1</v>
      </c>
      <c r="D148" s="31"/>
      <c r="E148" s="10"/>
      <c r="F148" s="28" t="s">
        <v>177</v>
      </c>
      <c r="G148" s="11" t="str">
        <f aca="false">IF(OR(A148="",N(D148)=0),"",IFERROR(D148*(1+IFERROR(IF(ISNUMBER(INDEX(Moldes!$K$5:$K$154,MATCH(A148,Moldes!$A$5:$A$154,0))),INDEX(Moldes!$K$5:$K$154,MATCH(A148,Moldes!$A$5:$A$154,0)),Precios!$Q$12),Precios!$Q$12))*(INDEX(Precios!$F$5:$F$124,MATCH(E148,Precios!$A$5:$A$124,0))+IF(F148="Sí",Precios!$Q$10,0)),"falta $ tela"))</f>
        <v/>
      </c>
      <c r="H148" s="32" t="str">
        <f aca="false">IF(A148="","",A148&amp;"|"&amp;COUNTIF($A$5:A148,A148))</f>
        <v>36 · BKINHOMV03|3</v>
      </c>
    </row>
    <row r="149" customFormat="false" ht="15" hidden="false" customHeight="false" outlineLevel="0" collapsed="false">
      <c r="A149" s="28" t="s">
        <v>119</v>
      </c>
      <c r="B149" s="28" t="s">
        <v>189</v>
      </c>
      <c r="C149" s="28" t="n">
        <v>1</v>
      </c>
      <c r="D149" s="31"/>
      <c r="E149" s="10"/>
      <c r="F149" s="28" t="s">
        <v>177</v>
      </c>
      <c r="G149" s="11" t="str">
        <f aca="false">IF(OR(A149="",N(D149)=0),"",IFERROR(D149*(1+IFERROR(IF(ISNUMBER(INDEX(Moldes!$K$5:$K$154,MATCH(A149,Moldes!$A$5:$A$154,0))),INDEX(Moldes!$K$5:$K$154,MATCH(A149,Moldes!$A$5:$A$154,0)),Precios!$Q$12),Precios!$Q$12))*(INDEX(Precios!$F$5:$F$124,MATCH(E149,Precios!$A$5:$A$124,0))+IF(F149="Sí",Precios!$Q$10,0)),"falta $ tela"))</f>
        <v/>
      </c>
      <c r="H149" s="32" t="str">
        <f aca="false">IF(A149="","",A149&amp;"|"&amp;COUNTIF($A$5:A149,A149))</f>
        <v>37 · BKMUJU03RE|1</v>
      </c>
    </row>
    <row r="150" customFormat="false" ht="15" hidden="false" customHeight="false" outlineLevel="0" collapsed="false">
      <c r="A150" s="28" t="s">
        <v>119</v>
      </c>
      <c r="B150" s="28" t="s">
        <v>190</v>
      </c>
      <c r="C150" s="28" t="n">
        <v>1</v>
      </c>
      <c r="D150" s="31"/>
      <c r="E150" s="10"/>
      <c r="F150" s="28" t="s">
        <v>177</v>
      </c>
      <c r="G150" s="11" t="str">
        <f aca="false">IF(OR(A150="",N(D150)=0),"",IFERROR(D150*(1+IFERROR(IF(ISNUMBER(INDEX(Moldes!$K$5:$K$154,MATCH(A150,Moldes!$A$5:$A$154,0))),INDEX(Moldes!$K$5:$K$154,MATCH(A150,Moldes!$A$5:$A$154,0)),Precios!$Q$12),Precios!$Q$12))*(INDEX(Precios!$F$5:$F$124,MATCH(E150,Precios!$A$5:$A$124,0))+IF(F150="Sí",Precios!$Q$10,0)),"falta $ tela"))</f>
        <v/>
      </c>
      <c r="H150" s="32" t="str">
        <f aca="false">IF(A150="","",A150&amp;"|"&amp;COUNTIF($A$5:A150,A150))</f>
        <v>37 · BKMUJU03RE|2</v>
      </c>
    </row>
    <row r="151" customFormat="false" ht="15" hidden="false" customHeight="false" outlineLevel="0" collapsed="false">
      <c r="A151" s="28" t="s">
        <v>119</v>
      </c>
      <c r="B151" s="28" t="s">
        <v>191</v>
      </c>
      <c r="C151" s="28" t="n">
        <v>1</v>
      </c>
      <c r="D151" s="31"/>
      <c r="E151" s="10"/>
      <c r="F151" s="28" t="s">
        <v>177</v>
      </c>
      <c r="G151" s="11" t="str">
        <f aca="false">IF(OR(A151="",N(D151)=0),"",IFERROR(D151*(1+IFERROR(IF(ISNUMBER(INDEX(Moldes!$K$5:$K$154,MATCH(A151,Moldes!$A$5:$A$154,0))),INDEX(Moldes!$K$5:$K$154,MATCH(A151,Moldes!$A$5:$A$154,0)),Precios!$Q$12),Precios!$Q$12))*(INDEX(Precios!$F$5:$F$124,MATCH(E151,Precios!$A$5:$A$124,0))+IF(F151="Sí",Precios!$Q$10,0)),"falta $ tela"))</f>
        <v/>
      </c>
      <c r="H151" s="32" t="str">
        <f aca="false">IF(A151="","",A151&amp;"|"&amp;COUNTIF($A$5:A151,A151))</f>
        <v>37 · BKMUJU03RE|3</v>
      </c>
    </row>
    <row r="152" customFormat="false" ht="15" hidden="false" customHeight="false" outlineLevel="0" collapsed="false">
      <c r="A152" s="28" t="s">
        <v>119</v>
      </c>
      <c r="B152" s="28" t="s">
        <v>192</v>
      </c>
      <c r="C152" s="28" t="n">
        <v>1</v>
      </c>
      <c r="D152" s="31"/>
      <c r="E152" s="10"/>
      <c r="F152" s="28" t="s">
        <v>177</v>
      </c>
      <c r="G152" s="11" t="str">
        <f aca="false">IF(OR(A152="",N(D152)=0),"",IFERROR(D152*(1+IFERROR(IF(ISNUMBER(INDEX(Moldes!$K$5:$K$154,MATCH(A152,Moldes!$A$5:$A$154,0))),INDEX(Moldes!$K$5:$K$154,MATCH(A152,Moldes!$A$5:$A$154,0)),Precios!$Q$12),Precios!$Q$12))*(INDEX(Precios!$F$5:$F$124,MATCH(E152,Precios!$A$5:$A$124,0))+IF(F152="Sí",Precios!$Q$10,0)),"falta $ tela"))</f>
        <v/>
      </c>
      <c r="H152" s="32" t="str">
        <f aca="false">IF(A152="","",A152&amp;"|"&amp;COUNTIF($A$5:A152,A152))</f>
        <v>37 · BKMUJU03RE|4</v>
      </c>
    </row>
    <row r="153" customFormat="false" ht="15" hidden="false" customHeight="false" outlineLevel="0" collapsed="false">
      <c r="A153" s="28" t="s">
        <v>119</v>
      </c>
      <c r="B153" s="28" t="s">
        <v>187</v>
      </c>
      <c r="C153" s="28" t="n">
        <v>1</v>
      </c>
      <c r="D153" s="31"/>
      <c r="E153" s="10"/>
      <c r="F153" s="28" t="s">
        <v>177</v>
      </c>
      <c r="G153" s="11" t="str">
        <f aca="false">IF(OR(A153="",N(D153)=0),"",IFERROR(D153*(1+IFERROR(IF(ISNUMBER(INDEX(Moldes!$K$5:$K$154,MATCH(A153,Moldes!$A$5:$A$154,0))),INDEX(Moldes!$K$5:$K$154,MATCH(A153,Moldes!$A$5:$A$154,0)),Precios!$Q$12),Precios!$Q$12))*(INDEX(Precios!$F$5:$F$124,MATCH(E153,Precios!$A$5:$A$124,0))+IF(F153="Sí",Precios!$Q$10,0)),"falta $ tela"))</f>
        <v/>
      </c>
      <c r="H153" s="32" t="str">
        <f aca="false">IF(A153="","",A153&amp;"|"&amp;COUNTIF($A$5:A153,A153))</f>
        <v>37 · BKMUJU03RE|5</v>
      </c>
    </row>
    <row r="154" customFormat="false" ht="15" hidden="false" customHeight="false" outlineLevel="0" collapsed="false">
      <c r="A154" s="28" t="s">
        <v>122</v>
      </c>
      <c r="B154" s="28" t="s">
        <v>189</v>
      </c>
      <c r="C154" s="28" t="n">
        <v>1</v>
      </c>
      <c r="D154" s="31"/>
      <c r="E154" s="10"/>
      <c r="F154" s="28" t="s">
        <v>177</v>
      </c>
      <c r="G154" s="11" t="str">
        <f aca="false">IF(OR(A154="",N(D154)=0),"",IFERROR(D154*(1+IFERROR(IF(ISNUMBER(INDEX(Moldes!$K$5:$K$154,MATCH(A154,Moldes!$A$5:$A$154,0))),INDEX(Moldes!$K$5:$K$154,MATCH(A154,Moldes!$A$5:$A$154,0)),Precios!$Q$12),Precios!$Q$12))*(INDEX(Precios!$F$5:$F$124,MATCH(E154,Precios!$A$5:$A$124,0))+IF(F154="Sí",Precios!$Q$10,0)),"falta $ tela"))</f>
        <v/>
      </c>
      <c r="H154" s="32" t="str">
        <f aca="false">IF(A154="","",A154&amp;"|"&amp;COUNTIF($A$5:A154,A154))</f>
        <v>38 · BKHOMU03RE|1</v>
      </c>
    </row>
    <row r="155" customFormat="false" ht="15" hidden="false" customHeight="false" outlineLevel="0" collapsed="false">
      <c r="A155" s="28" t="s">
        <v>122</v>
      </c>
      <c r="B155" s="28" t="s">
        <v>190</v>
      </c>
      <c r="C155" s="28" t="n">
        <v>1</v>
      </c>
      <c r="D155" s="31"/>
      <c r="E155" s="10"/>
      <c r="F155" s="28" t="s">
        <v>177</v>
      </c>
      <c r="G155" s="11" t="str">
        <f aca="false">IF(OR(A155="",N(D155)=0),"",IFERROR(D155*(1+IFERROR(IF(ISNUMBER(INDEX(Moldes!$K$5:$K$154,MATCH(A155,Moldes!$A$5:$A$154,0))),INDEX(Moldes!$K$5:$K$154,MATCH(A155,Moldes!$A$5:$A$154,0)),Precios!$Q$12),Precios!$Q$12))*(INDEX(Precios!$F$5:$F$124,MATCH(E155,Precios!$A$5:$A$124,0))+IF(F155="Sí",Precios!$Q$10,0)),"falta $ tela"))</f>
        <v/>
      </c>
      <c r="H155" s="32" t="str">
        <f aca="false">IF(A155="","",A155&amp;"|"&amp;COUNTIF($A$5:A155,A155))</f>
        <v>38 · BKHOMU03RE|2</v>
      </c>
    </row>
    <row r="156" customFormat="false" ht="15" hidden="false" customHeight="false" outlineLevel="0" collapsed="false">
      <c r="A156" s="28" t="s">
        <v>122</v>
      </c>
      <c r="B156" s="28" t="s">
        <v>191</v>
      </c>
      <c r="C156" s="28" t="n">
        <v>1</v>
      </c>
      <c r="D156" s="31"/>
      <c r="E156" s="10"/>
      <c r="F156" s="28" t="s">
        <v>177</v>
      </c>
      <c r="G156" s="11" t="str">
        <f aca="false">IF(OR(A156="",N(D156)=0),"",IFERROR(D156*(1+IFERROR(IF(ISNUMBER(INDEX(Moldes!$K$5:$K$154,MATCH(A156,Moldes!$A$5:$A$154,0))),INDEX(Moldes!$K$5:$K$154,MATCH(A156,Moldes!$A$5:$A$154,0)),Precios!$Q$12),Precios!$Q$12))*(INDEX(Precios!$F$5:$F$124,MATCH(E156,Precios!$A$5:$A$124,0))+IF(F156="Sí",Precios!$Q$10,0)),"falta $ tela"))</f>
        <v/>
      </c>
      <c r="H156" s="32" t="str">
        <f aca="false">IF(A156="","",A156&amp;"|"&amp;COUNTIF($A$5:A156,A156))</f>
        <v>38 · BKHOMU03RE|3</v>
      </c>
    </row>
    <row r="157" customFormat="false" ht="15" hidden="false" customHeight="false" outlineLevel="0" collapsed="false">
      <c r="A157" s="28" t="s">
        <v>122</v>
      </c>
      <c r="B157" s="28" t="s">
        <v>192</v>
      </c>
      <c r="C157" s="28" t="n">
        <v>1</v>
      </c>
      <c r="D157" s="31"/>
      <c r="E157" s="10"/>
      <c r="F157" s="28" t="s">
        <v>177</v>
      </c>
      <c r="G157" s="11" t="str">
        <f aca="false">IF(OR(A157="",N(D157)=0),"",IFERROR(D157*(1+IFERROR(IF(ISNUMBER(INDEX(Moldes!$K$5:$K$154,MATCH(A157,Moldes!$A$5:$A$154,0))),INDEX(Moldes!$K$5:$K$154,MATCH(A157,Moldes!$A$5:$A$154,0)),Precios!$Q$12),Precios!$Q$12))*(INDEX(Precios!$F$5:$F$124,MATCH(E157,Precios!$A$5:$A$124,0))+IF(F157="Sí",Precios!$Q$10,0)),"falta $ tela"))</f>
        <v/>
      </c>
      <c r="H157" s="32" t="str">
        <f aca="false">IF(A157="","",A157&amp;"|"&amp;COUNTIF($A$5:A157,A157))</f>
        <v>38 · BKHOMU03RE|4</v>
      </c>
    </row>
    <row r="158" customFormat="false" ht="15" hidden="false" customHeight="false" outlineLevel="0" collapsed="false">
      <c r="A158" s="28" t="s">
        <v>122</v>
      </c>
      <c r="B158" s="28" t="s">
        <v>187</v>
      </c>
      <c r="C158" s="28" t="n">
        <v>1</v>
      </c>
      <c r="D158" s="31"/>
      <c r="E158" s="10"/>
      <c r="F158" s="28" t="s">
        <v>177</v>
      </c>
      <c r="G158" s="11" t="str">
        <f aca="false">IF(OR(A158="",N(D158)=0),"",IFERROR(D158*(1+IFERROR(IF(ISNUMBER(INDEX(Moldes!$K$5:$K$154,MATCH(A158,Moldes!$A$5:$A$154,0))),INDEX(Moldes!$K$5:$K$154,MATCH(A158,Moldes!$A$5:$A$154,0)),Precios!$Q$12),Precios!$Q$12))*(INDEX(Precios!$F$5:$F$124,MATCH(E158,Precios!$A$5:$A$124,0))+IF(F158="Sí",Precios!$Q$10,0)),"falta $ tela"))</f>
        <v/>
      </c>
      <c r="H158" s="32" t="str">
        <f aca="false">IF(A158="","",A158&amp;"|"&amp;COUNTIF($A$5:A158,A158))</f>
        <v>38 · BKHOMU03RE|5</v>
      </c>
    </row>
    <row r="159" customFormat="false" ht="15" hidden="false" customHeight="false" outlineLevel="0" collapsed="false">
      <c r="A159" s="28" t="s">
        <v>123</v>
      </c>
      <c r="B159" s="28" t="s">
        <v>189</v>
      </c>
      <c r="C159" s="28" t="n">
        <v>1</v>
      </c>
      <c r="D159" s="31"/>
      <c r="E159" s="10"/>
      <c r="F159" s="28" t="s">
        <v>177</v>
      </c>
      <c r="G159" s="11" t="str">
        <f aca="false">IF(OR(A159="",N(D159)=0),"",IFERROR(D159*(1+IFERROR(IF(ISNUMBER(INDEX(Moldes!$K$5:$K$154,MATCH(A159,Moldes!$A$5:$A$154,0))),INDEX(Moldes!$K$5:$K$154,MATCH(A159,Moldes!$A$5:$A$154,0)),Precios!$Q$12),Precios!$Q$12))*(INDEX(Precios!$F$5:$F$124,MATCH(E159,Precios!$A$5:$A$124,0))+IF(F159="Sí",Precios!$Q$10,0)),"falta $ tela"))</f>
        <v/>
      </c>
      <c r="H159" s="32" t="str">
        <f aca="false">IF(A159="","",A159&amp;"|"&amp;COUNTIF($A$5:A159,A159))</f>
        <v>39 · BKINMUJU03|1</v>
      </c>
    </row>
    <row r="160" customFormat="false" ht="15" hidden="false" customHeight="false" outlineLevel="0" collapsed="false">
      <c r="A160" s="28" t="s">
        <v>123</v>
      </c>
      <c r="B160" s="28" t="s">
        <v>190</v>
      </c>
      <c r="C160" s="28" t="n">
        <v>1</v>
      </c>
      <c r="D160" s="31"/>
      <c r="E160" s="10"/>
      <c r="F160" s="28" t="s">
        <v>177</v>
      </c>
      <c r="G160" s="11" t="str">
        <f aca="false">IF(OR(A160="",N(D160)=0),"",IFERROR(D160*(1+IFERROR(IF(ISNUMBER(INDEX(Moldes!$K$5:$K$154,MATCH(A160,Moldes!$A$5:$A$154,0))),INDEX(Moldes!$K$5:$K$154,MATCH(A160,Moldes!$A$5:$A$154,0)),Precios!$Q$12),Precios!$Q$12))*(INDEX(Precios!$F$5:$F$124,MATCH(E160,Precios!$A$5:$A$124,0))+IF(F160="Sí",Precios!$Q$10,0)),"falta $ tela"))</f>
        <v/>
      </c>
      <c r="H160" s="32" t="str">
        <f aca="false">IF(A160="","",A160&amp;"|"&amp;COUNTIF($A$5:A160,A160))</f>
        <v>39 · BKINMUJU03|2</v>
      </c>
    </row>
    <row r="161" customFormat="false" ht="15" hidden="false" customHeight="false" outlineLevel="0" collapsed="false">
      <c r="A161" s="28" t="s">
        <v>123</v>
      </c>
      <c r="B161" s="28" t="s">
        <v>191</v>
      </c>
      <c r="C161" s="28" t="n">
        <v>1</v>
      </c>
      <c r="D161" s="31"/>
      <c r="E161" s="10"/>
      <c r="F161" s="28" t="s">
        <v>177</v>
      </c>
      <c r="G161" s="11" t="str">
        <f aca="false">IF(OR(A161="",N(D161)=0),"",IFERROR(D161*(1+IFERROR(IF(ISNUMBER(INDEX(Moldes!$K$5:$K$154,MATCH(A161,Moldes!$A$5:$A$154,0))),INDEX(Moldes!$K$5:$K$154,MATCH(A161,Moldes!$A$5:$A$154,0)),Precios!$Q$12),Precios!$Q$12))*(INDEX(Precios!$F$5:$F$124,MATCH(E161,Precios!$A$5:$A$124,0))+IF(F161="Sí",Precios!$Q$10,0)),"falta $ tela"))</f>
        <v/>
      </c>
      <c r="H161" s="32" t="str">
        <f aca="false">IF(A161="","",A161&amp;"|"&amp;COUNTIF($A$5:A161,A161))</f>
        <v>39 · BKINMUJU03|3</v>
      </c>
    </row>
    <row r="162" customFormat="false" ht="15" hidden="false" customHeight="false" outlineLevel="0" collapsed="false">
      <c r="A162" s="28" t="s">
        <v>123</v>
      </c>
      <c r="B162" s="28" t="s">
        <v>192</v>
      </c>
      <c r="C162" s="28" t="n">
        <v>1</v>
      </c>
      <c r="D162" s="31"/>
      <c r="E162" s="10"/>
      <c r="F162" s="28" t="s">
        <v>177</v>
      </c>
      <c r="G162" s="11" t="str">
        <f aca="false">IF(OR(A162="",N(D162)=0),"",IFERROR(D162*(1+IFERROR(IF(ISNUMBER(INDEX(Moldes!$K$5:$K$154,MATCH(A162,Moldes!$A$5:$A$154,0))),INDEX(Moldes!$K$5:$K$154,MATCH(A162,Moldes!$A$5:$A$154,0)),Precios!$Q$12),Precios!$Q$12))*(INDEX(Precios!$F$5:$F$124,MATCH(E162,Precios!$A$5:$A$124,0))+IF(F162="Sí",Precios!$Q$10,0)),"falta $ tela"))</f>
        <v/>
      </c>
      <c r="H162" s="32" t="str">
        <f aca="false">IF(A162="","",A162&amp;"|"&amp;COUNTIF($A$5:A162,A162))</f>
        <v>39 · BKINMUJU03|4</v>
      </c>
    </row>
    <row r="163" customFormat="false" ht="15" hidden="false" customHeight="false" outlineLevel="0" collapsed="false">
      <c r="A163" s="28" t="s">
        <v>123</v>
      </c>
      <c r="B163" s="28" t="s">
        <v>187</v>
      </c>
      <c r="C163" s="28" t="n">
        <v>1</v>
      </c>
      <c r="D163" s="31"/>
      <c r="E163" s="10"/>
      <c r="F163" s="28" t="s">
        <v>177</v>
      </c>
      <c r="G163" s="11" t="str">
        <f aca="false">IF(OR(A163="",N(D163)=0),"",IFERROR(D163*(1+IFERROR(IF(ISNUMBER(INDEX(Moldes!$K$5:$K$154,MATCH(A163,Moldes!$A$5:$A$154,0))),INDEX(Moldes!$K$5:$K$154,MATCH(A163,Moldes!$A$5:$A$154,0)),Precios!$Q$12),Precios!$Q$12))*(INDEX(Precios!$F$5:$F$124,MATCH(E163,Precios!$A$5:$A$124,0))+IF(F163="Sí",Precios!$Q$10,0)),"falta $ tela"))</f>
        <v/>
      </c>
      <c r="H163" s="32" t="str">
        <f aca="false">IF(A163="","",A163&amp;"|"&amp;COUNTIF($A$5:A163,A163))</f>
        <v>39 · BKINMUJU03|5</v>
      </c>
    </row>
    <row r="164" customFormat="false" ht="15" hidden="false" customHeight="false" outlineLevel="0" collapsed="false">
      <c r="A164" s="28" t="s">
        <v>125</v>
      </c>
      <c r="B164" s="28" t="s">
        <v>189</v>
      </c>
      <c r="C164" s="28" t="n">
        <v>1</v>
      </c>
      <c r="D164" s="31"/>
      <c r="E164" s="10"/>
      <c r="F164" s="28" t="s">
        <v>177</v>
      </c>
      <c r="G164" s="11" t="str">
        <f aca="false">IF(OR(A164="",N(D164)=0),"",IFERROR(D164*(1+IFERROR(IF(ISNUMBER(INDEX(Moldes!$K$5:$K$154,MATCH(A164,Moldes!$A$5:$A$154,0))),INDEX(Moldes!$K$5:$K$154,MATCH(A164,Moldes!$A$5:$A$154,0)),Precios!$Q$12),Precios!$Q$12))*(INDEX(Precios!$F$5:$F$124,MATCH(E164,Precios!$A$5:$A$124,0))+IF(F164="Sí",Precios!$Q$10,0)),"falta $ tela"))</f>
        <v/>
      </c>
      <c r="H164" s="32" t="str">
        <f aca="false">IF(A164="","",A164&amp;"|"&amp;COUNTIF($A$5:A164,A164))</f>
        <v>40 · BKINHOMU03RE|1</v>
      </c>
    </row>
    <row r="165" customFormat="false" ht="15" hidden="false" customHeight="false" outlineLevel="0" collapsed="false">
      <c r="A165" s="28" t="s">
        <v>125</v>
      </c>
      <c r="B165" s="28" t="s">
        <v>190</v>
      </c>
      <c r="C165" s="28" t="n">
        <v>1</v>
      </c>
      <c r="D165" s="31"/>
      <c r="E165" s="10"/>
      <c r="F165" s="28" t="s">
        <v>177</v>
      </c>
      <c r="G165" s="11" t="str">
        <f aca="false">IF(OR(A165="",N(D165)=0),"",IFERROR(D165*(1+IFERROR(IF(ISNUMBER(INDEX(Moldes!$K$5:$K$154,MATCH(A165,Moldes!$A$5:$A$154,0))),INDEX(Moldes!$K$5:$K$154,MATCH(A165,Moldes!$A$5:$A$154,0)),Precios!$Q$12),Precios!$Q$12))*(INDEX(Precios!$F$5:$F$124,MATCH(E165,Precios!$A$5:$A$124,0))+IF(F165="Sí",Precios!$Q$10,0)),"falta $ tela"))</f>
        <v/>
      </c>
      <c r="H165" s="32" t="str">
        <f aca="false">IF(A165="","",A165&amp;"|"&amp;COUNTIF($A$5:A165,A165))</f>
        <v>40 · BKINHOMU03RE|2</v>
      </c>
    </row>
    <row r="166" customFormat="false" ht="15" hidden="false" customHeight="false" outlineLevel="0" collapsed="false">
      <c r="A166" s="28" t="s">
        <v>125</v>
      </c>
      <c r="B166" s="28" t="s">
        <v>191</v>
      </c>
      <c r="C166" s="28" t="n">
        <v>1</v>
      </c>
      <c r="D166" s="31"/>
      <c r="E166" s="10"/>
      <c r="F166" s="28" t="s">
        <v>177</v>
      </c>
      <c r="G166" s="11" t="str">
        <f aca="false">IF(OR(A166="",N(D166)=0),"",IFERROR(D166*(1+IFERROR(IF(ISNUMBER(INDEX(Moldes!$K$5:$K$154,MATCH(A166,Moldes!$A$5:$A$154,0))),INDEX(Moldes!$K$5:$K$154,MATCH(A166,Moldes!$A$5:$A$154,0)),Precios!$Q$12),Precios!$Q$12))*(INDEX(Precios!$F$5:$F$124,MATCH(E166,Precios!$A$5:$A$124,0))+IF(F166="Sí",Precios!$Q$10,0)),"falta $ tela"))</f>
        <v/>
      </c>
      <c r="H166" s="32" t="str">
        <f aca="false">IF(A166="","",A166&amp;"|"&amp;COUNTIF($A$5:A166,A166))</f>
        <v>40 · BKINHOMU03RE|3</v>
      </c>
    </row>
    <row r="167" customFormat="false" ht="15" hidden="false" customHeight="false" outlineLevel="0" collapsed="false">
      <c r="A167" s="28" t="s">
        <v>125</v>
      </c>
      <c r="B167" s="28" t="s">
        <v>192</v>
      </c>
      <c r="C167" s="28" t="n">
        <v>1</v>
      </c>
      <c r="D167" s="31"/>
      <c r="E167" s="10"/>
      <c r="F167" s="28" t="s">
        <v>177</v>
      </c>
      <c r="G167" s="11" t="str">
        <f aca="false">IF(OR(A167="",N(D167)=0),"",IFERROR(D167*(1+IFERROR(IF(ISNUMBER(INDEX(Moldes!$K$5:$K$154,MATCH(A167,Moldes!$A$5:$A$154,0))),INDEX(Moldes!$K$5:$K$154,MATCH(A167,Moldes!$A$5:$A$154,0)),Precios!$Q$12),Precios!$Q$12))*(INDEX(Precios!$F$5:$F$124,MATCH(E167,Precios!$A$5:$A$124,0))+IF(F167="Sí",Precios!$Q$10,0)),"falta $ tela"))</f>
        <v/>
      </c>
      <c r="H167" s="32" t="str">
        <f aca="false">IF(A167="","",A167&amp;"|"&amp;COUNTIF($A$5:A167,A167))</f>
        <v>40 · BKINHOMU03RE|4</v>
      </c>
    </row>
    <row r="168" customFormat="false" ht="15" hidden="false" customHeight="false" outlineLevel="0" collapsed="false">
      <c r="A168" s="28" t="s">
        <v>125</v>
      </c>
      <c r="B168" s="28" t="s">
        <v>187</v>
      </c>
      <c r="C168" s="28" t="n">
        <v>1</v>
      </c>
      <c r="D168" s="31"/>
      <c r="E168" s="10"/>
      <c r="F168" s="28" t="s">
        <v>177</v>
      </c>
      <c r="G168" s="11" t="str">
        <f aca="false">IF(OR(A168="",N(D168)=0),"",IFERROR(D168*(1+IFERROR(IF(ISNUMBER(INDEX(Moldes!$K$5:$K$154,MATCH(A168,Moldes!$A$5:$A$154,0))),INDEX(Moldes!$K$5:$K$154,MATCH(A168,Moldes!$A$5:$A$154,0)),Precios!$Q$12),Precios!$Q$12))*(INDEX(Precios!$F$5:$F$124,MATCH(E168,Precios!$A$5:$A$124,0))+IF(F168="Sí",Precios!$Q$10,0)),"falta $ tela"))</f>
        <v/>
      </c>
      <c r="H168" s="32" t="str">
        <f aca="false">IF(A168="","",A168&amp;"|"&amp;COUNTIF($A$5:A168,A168))</f>
        <v>40 · BKINHOMU03RE|5</v>
      </c>
    </row>
    <row r="169" customFormat="false" ht="15" hidden="false" customHeight="false" outlineLevel="0" collapsed="false">
      <c r="A169" s="28" t="s">
        <v>126</v>
      </c>
      <c r="B169" s="28" t="s">
        <v>176</v>
      </c>
      <c r="C169" s="28" t="n">
        <v>1</v>
      </c>
      <c r="D169" s="31"/>
      <c r="E169" s="10"/>
      <c r="F169" s="28" t="s">
        <v>177</v>
      </c>
      <c r="G169" s="11" t="str">
        <f aca="false">IF(OR(A169="",N(D169)=0),"",IFERROR(D169*(1+IFERROR(IF(ISNUMBER(INDEX(Moldes!$K$5:$K$154,MATCH(A169,Moldes!$A$5:$A$154,0))),INDEX(Moldes!$K$5:$K$154,MATCH(A169,Moldes!$A$5:$A$154,0)),Precios!$Q$12),Precios!$Q$12))*(INDEX(Precios!$F$5:$F$124,MATCH(E169,Precios!$A$5:$A$124,0))+IF(F169="Sí",Precios!$Q$10,0)),"falta $ tela"))</f>
        <v/>
      </c>
      <c r="H169" s="32" t="str">
        <f aca="false">IF(A169="","",A169&amp;"|"&amp;COUNTIF($A$5:A169,A169))</f>
        <v>41 · BKMUJU03PRO|1</v>
      </c>
    </row>
    <row r="170" customFormat="false" ht="15" hidden="false" customHeight="false" outlineLevel="0" collapsed="false">
      <c r="A170" s="28" t="s">
        <v>126</v>
      </c>
      <c r="B170" s="28" t="s">
        <v>178</v>
      </c>
      <c r="C170" s="28" t="n">
        <v>1</v>
      </c>
      <c r="D170" s="31"/>
      <c r="E170" s="10"/>
      <c r="F170" s="28" t="s">
        <v>177</v>
      </c>
      <c r="G170" s="11" t="str">
        <f aca="false">IF(OR(A170="",N(D170)=0),"",IFERROR(D170*(1+IFERROR(IF(ISNUMBER(INDEX(Moldes!$K$5:$K$154,MATCH(A170,Moldes!$A$5:$A$154,0))),INDEX(Moldes!$K$5:$K$154,MATCH(A170,Moldes!$A$5:$A$154,0)),Precios!$Q$12),Precios!$Q$12))*(INDEX(Precios!$F$5:$F$124,MATCH(E170,Precios!$A$5:$A$124,0))+IF(F170="Sí",Precios!$Q$10,0)),"falta $ tela"))</f>
        <v/>
      </c>
      <c r="H170" s="32" t="str">
        <f aca="false">IF(A170="","",A170&amp;"|"&amp;COUNTIF($A$5:A170,A170))</f>
        <v>41 · BKMUJU03PRO|2</v>
      </c>
    </row>
    <row r="171" customFormat="false" ht="15" hidden="false" customHeight="false" outlineLevel="0" collapsed="false">
      <c r="A171" s="28" t="s">
        <v>126</v>
      </c>
      <c r="B171" s="28" t="s">
        <v>187</v>
      </c>
      <c r="C171" s="28" t="n">
        <v>1</v>
      </c>
      <c r="D171" s="31"/>
      <c r="E171" s="10"/>
      <c r="F171" s="28" t="s">
        <v>177</v>
      </c>
      <c r="G171" s="11" t="str">
        <f aca="false">IF(OR(A171="",N(D171)=0),"",IFERROR(D171*(1+IFERROR(IF(ISNUMBER(INDEX(Moldes!$K$5:$K$154,MATCH(A171,Moldes!$A$5:$A$154,0))),INDEX(Moldes!$K$5:$K$154,MATCH(A171,Moldes!$A$5:$A$154,0)),Precios!$Q$12),Precios!$Q$12))*(INDEX(Precios!$F$5:$F$124,MATCH(E171,Precios!$A$5:$A$124,0))+IF(F171="Sí",Precios!$Q$10,0)),"falta $ tela"))</f>
        <v/>
      </c>
      <c r="H171" s="32" t="str">
        <f aca="false">IF(A171="","",A171&amp;"|"&amp;COUNTIF($A$5:A171,A171))</f>
        <v>41 · BKMUJU03PRO|3</v>
      </c>
    </row>
    <row r="172" customFormat="false" ht="15" hidden="false" customHeight="false" outlineLevel="0" collapsed="false">
      <c r="A172" s="28" t="s">
        <v>126</v>
      </c>
      <c r="B172" s="28" t="s">
        <v>184</v>
      </c>
      <c r="C172" s="28" t="n">
        <v>2</v>
      </c>
      <c r="D172" s="31"/>
      <c r="E172" s="10"/>
      <c r="F172" s="28" t="s">
        <v>177</v>
      </c>
      <c r="G172" s="11" t="str">
        <f aca="false">IF(OR(A172="",N(D172)=0),"",IFERROR(D172*(1+IFERROR(IF(ISNUMBER(INDEX(Moldes!$K$5:$K$154,MATCH(A172,Moldes!$A$5:$A$154,0))),INDEX(Moldes!$K$5:$K$154,MATCH(A172,Moldes!$A$5:$A$154,0)),Precios!$Q$12),Precios!$Q$12))*(INDEX(Precios!$F$5:$F$124,MATCH(E172,Precios!$A$5:$A$124,0))+IF(F172="Sí",Precios!$Q$10,0)),"falta $ tela"))</f>
        <v/>
      </c>
      <c r="H172" s="32" t="str">
        <f aca="false">IF(A172="","",A172&amp;"|"&amp;COUNTIF($A$5:A172,A172))</f>
        <v>41 · BKMUJU03PRO|4</v>
      </c>
    </row>
    <row r="173" customFormat="false" ht="15" hidden="false" customHeight="false" outlineLevel="0" collapsed="false">
      <c r="A173" s="28" t="s">
        <v>129</v>
      </c>
      <c r="B173" s="28" t="s">
        <v>176</v>
      </c>
      <c r="C173" s="28" t="n">
        <v>1</v>
      </c>
      <c r="D173" s="31"/>
      <c r="E173" s="10"/>
      <c r="F173" s="28" t="s">
        <v>177</v>
      </c>
      <c r="G173" s="11" t="str">
        <f aca="false">IF(OR(A173="",N(D173)=0),"",IFERROR(D173*(1+IFERROR(IF(ISNUMBER(INDEX(Moldes!$K$5:$K$154,MATCH(A173,Moldes!$A$5:$A$154,0))),INDEX(Moldes!$K$5:$K$154,MATCH(A173,Moldes!$A$5:$A$154,0)),Precios!$Q$12),Precios!$Q$12))*(INDEX(Precios!$F$5:$F$124,MATCH(E173,Precios!$A$5:$A$124,0))+IF(F173="Sí",Precios!$Q$10,0)),"falta $ tela"))</f>
        <v/>
      </c>
      <c r="H173" s="32" t="str">
        <f aca="false">IF(A173="","",A173&amp;"|"&amp;COUNTIF($A$5:A173,A173))</f>
        <v>42 · BKHOMU03PRO|1</v>
      </c>
    </row>
    <row r="174" customFormat="false" ht="15" hidden="false" customHeight="false" outlineLevel="0" collapsed="false">
      <c r="A174" s="28" t="s">
        <v>129</v>
      </c>
      <c r="B174" s="28" t="s">
        <v>178</v>
      </c>
      <c r="C174" s="28" t="n">
        <v>1</v>
      </c>
      <c r="D174" s="31"/>
      <c r="E174" s="10"/>
      <c r="F174" s="28" t="s">
        <v>177</v>
      </c>
      <c r="G174" s="11" t="str">
        <f aca="false">IF(OR(A174="",N(D174)=0),"",IFERROR(D174*(1+IFERROR(IF(ISNUMBER(INDEX(Moldes!$K$5:$K$154,MATCH(A174,Moldes!$A$5:$A$154,0))),INDEX(Moldes!$K$5:$K$154,MATCH(A174,Moldes!$A$5:$A$154,0)),Precios!$Q$12),Precios!$Q$12))*(INDEX(Precios!$F$5:$F$124,MATCH(E174,Precios!$A$5:$A$124,0))+IF(F174="Sí",Precios!$Q$10,0)),"falta $ tela"))</f>
        <v/>
      </c>
      <c r="H174" s="32" t="str">
        <f aca="false">IF(A174="","",A174&amp;"|"&amp;COUNTIF($A$5:A174,A174))</f>
        <v>42 · BKHOMU03PRO|2</v>
      </c>
    </row>
    <row r="175" customFormat="false" ht="15" hidden="false" customHeight="false" outlineLevel="0" collapsed="false">
      <c r="A175" s="28" t="s">
        <v>129</v>
      </c>
      <c r="B175" s="28" t="s">
        <v>187</v>
      </c>
      <c r="C175" s="28" t="n">
        <v>1</v>
      </c>
      <c r="D175" s="31"/>
      <c r="E175" s="10"/>
      <c r="F175" s="28" t="s">
        <v>177</v>
      </c>
      <c r="G175" s="11" t="str">
        <f aca="false">IF(OR(A175="",N(D175)=0),"",IFERROR(D175*(1+IFERROR(IF(ISNUMBER(INDEX(Moldes!$K$5:$K$154,MATCH(A175,Moldes!$A$5:$A$154,0))),INDEX(Moldes!$K$5:$K$154,MATCH(A175,Moldes!$A$5:$A$154,0)),Precios!$Q$12),Precios!$Q$12))*(INDEX(Precios!$F$5:$F$124,MATCH(E175,Precios!$A$5:$A$124,0))+IF(F175="Sí",Precios!$Q$10,0)),"falta $ tela"))</f>
        <v/>
      </c>
      <c r="H175" s="32" t="str">
        <f aca="false">IF(A175="","",A175&amp;"|"&amp;COUNTIF($A$5:A175,A175))</f>
        <v>42 · BKHOMU03PRO|3</v>
      </c>
    </row>
    <row r="176" customFormat="false" ht="15" hidden="false" customHeight="false" outlineLevel="0" collapsed="false">
      <c r="A176" s="28" t="s">
        <v>129</v>
      </c>
      <c r="B176" s="28" t="s">
        <v>184</v>
      </c>
      <c r="C176" s="28" t="n">
        <v>2</v>
      </c>
      <c r="D176" s="31"/>
      <c r="E176" s="10"/>
      <c r="F176" s="28" t="s">
        <v>177</v>
      </c>
      <c r="G176" s="11" t="str">
        <f aca="false">IF(OR(A176="",N(D176)=0),"",IFERROR(D176*(1+IFERROR(IF(ISNUMBER(INDEX(Moldes!$K$5:$K$154,MATCH(A176,Moldes!$A$5:$A$154,0))),INDEX(Moldes!$K$5:$K$154,MATCH(A176,Moldes!$A$5:$A$154,0)),Precios!$Q$12),Precios!$Q$12))*(INDEX(Precios!$F$5:$F$124,MATCH(E176,Precios!$A$5:$A$124,0))+IF(F176="Sí",Precios!$Q$10,0)),"falta $ tela"))</f>
        <v/>
      </c>
      <c r="H176" s="32" t="str">
        <f aca="false">IF(A176="","",A176&amp;"|"&amp;COUNTIF($A$5:A176,A176))</f>
        <v>42 · BKHOMU03PRO|4</v>
      </c>
    </row>
    <row r="177" customFormat="false" ht="15" hidden="false" customHeight="false" outlineLevel="0" collapsed="false">
      <c r="A177" s="28" t="s">
        <v>130</v>
      </c>
      <c r="B177" s="28" t="s">
        <v>176</v>
      </c>
      <c r="C177" s="28" t="n">
        <v>1</v>
      </c>
      <c r="D177" s="31"/>
      <c r="E177" s="10"/>
      <c r="F177" s="28" t="s">
        <v>177</v>
      </c>
      <c r="G177" s="11" t="str">
        <f aca="false">IF(OR(A177="",N(D177)=0),"",IFERROR(D177*(1+IFERROR(IF(ISNUMBER(INDEX(Moldes!$K$5:$K$154,MATCH(A177,Moldes!$A$5:$A$154,0))),INDEX(Moldes!$K$5:$K$154,MATCH(A177,Moldes!$A$5:$A$154,0)),Precios!$Q$12),Precios!$Q$12))*(INDEX(Precios!$F$5:$F$124,MATCH(E177,Precios!$A$5:$A$124,0))+IF(F177="Sí",Precios!$Q$10,0)),"falta $ tela"))</f>
        <v/>
      </c>
      <c r="H177" s="32" t="str">
        <f aca="false">IF(A177="","",A177&amp;"|"&amp;COUNTIF($A$5:A177,A177))</f>
        <v>43 · BKMUJV03PRO|1</v>
      </c>
    </row>
    <row r="178" customFormat="false" ht="15" hidden="false" customHeight="false" outlineLevel="0" collapsed="false">
      <c r="A178" s="28" t="s">
        <v>130</v>
      </c>
      <c r="B178" s="28" t="s">
        <v>178</v>
      </c>
      <c r="C178" s="28" t="n">
        <v>1</v>
      </c>
      <c r="D178" s="31"/>
      <c r="E178" s="10"/>
      <c r="F178" s="28" t="s">
        <v>177</v>
      </c>
      <c r="G178" s="11" t="str">
        <f aca="false">IF(OR(A178="",N(D178)=0),"",IFERROR(D178*(1+IFERROR(IF(ISNUMBER(INDEX(Moldes!$K$5:$K$154,MATCH(A178,Moldes!$A$5:$A$154,0))),INDEX(Moldes!$K$5:$K$154,MATCH(A178,Moldes!$A$5:$A$154,0)),Precios!$Q$12),Precios!$Q$12))*(INDEX(Precios!$F$5:$F$124,MATCH(E178,Precios!$A$5:$A$124,0))+IF(F178="Sí",Precios!$Q$10,0)),"falta $ tela"))</f>
        <v/>
      </c>
      <c r="H178" s="32" t="str">
        <f aca="false">IF(A178="","",A178&amp;"|"&amp;COUNTIF($A$5:A178,A178))</f>
        <v>43 · BKMUJV03PRO|2</v>
      </c>
    </row>
    <row r="179" customFormat="false" ht="15" hidden="false" customHeight="false" outlineLevel="0" collapsed="false">
      <c r="A179" s="28" t="s">
        <v>130</v>
      </c>
      <c r="B179" s="28" t="s">
        <v>187</v>
      </c>
      <c r="C179" s="28" t="n">
        <v>1</v>
      </c>
      <c r="D179" s="31"/>
      <c r="E179" s="10"/>
      <c r="F179" s="28" t="s">
        <v>177</v>
      </c>
      <c r="G179" s="11" t="str">
        <f aca="false">IF(OR(A179="",N(D179)=0),"",IFERROR(D179*(1+IFERROR(IF(ISNUMBER(INDEX(Moldes!$K$5:$K$154,MATCH(A179,Moldes!$A$5:$A$154,0))),INDEX(Moldes!$K$5:$K$154,MATCH(A179,Moldes!$A$5:$A$154,0)),Precios!$Q$12),Precios!$Q$12))*(INDEX(Precios!$F$5:$F$124,MATCH(E179,Precios!$A$5:$A$124,0))+IF(F179="Sí",Precios!$Q$10,0)),"falta $ tela"))</f>
        <v/>
      </c>
      <c r="H179" s="32" t="str">
        <f aca="false">IF(A179="","",A179&amp;"|"&amp;COUNTIF($A$5:A179,A179))</f>
        <v>43 · BKMUJV03PRO|3</v>
      </c>
    </row>
    <row r="180" customFormat="false" ht="15" hidden="false" customHeight="false" outlineLevel="0" collapsed="false">
      <c r="A180" s="28" t="s">
        <v>130</v>
      </c>
      <c r="B180" s="28" t="s">
        <v>184</v>
      </c>
      <c r="C180" s="28" t="n">
        <v>2</v>
      </c>
      <c r="D180" s="31"/>
      <c r="E180" s="10"/>
      <c r="F180" s="28" t="s">
        <v>177</v>
      </c>
      <c r="G180" s="11" t="str">
        <f aca="false">IF(OR(A180="",N(D180)=0),"",IFERROR(D180*(1+IFERROR(IF(ISNUMBER(INDEX(Moldes!$K$5:$K$154,MATCH(A180,Moldes!$A$5:$A$154,0))),INDEX(Moldes!$K$5:$K$154,MATCH(A180,Moldes!$A$5:$A$154,0)),Precios!$Q$12),Precios!$Q$12))*(INDEX(Precios!$F$5:$F$124,MATCH(E180,Precios!$A$5:$A$124,0))+IF(F180="Sí",Precios!$Q$10,0)),"falta $ tela"))</f>
        <v/>
      </c>
      <c r="H180" s="32" t="str">
        <f aca="false">IF(A180="","",A180&amp;"|"&amp;COUNTIF($A$5:A180,A180))</f>
        <v>43 · BKMUJV03PRO|4</v>
      </c>
    </row>
    <row r="181" customFormat="false" ht="15" hidden="false" customHeight="false" outlineLevel="0" collapsed="false">
      <c r="A181" s="28" t="s">
        <v>132</v>
      </c>
      <c r="B181" s="28" t="s">
        <v>176</v>
      </c>
      <c r="C181" s="28" t="n">
        <v>1</v>
      </c>
      <c r="D181" s="31"/>
      <c r="E181" s="10"/>
      <c r="F181" s="28" t="s">
        <v>177</v>
      </c>
      <c r="G181" s="11" t="str">
        <f aca="false">IF(OR(A181="",N(D181)=0),"",IFERROR(D181*(1+IFERROR(IF(ISNUMBER(INDEX(Moldes!$K$5:$K$154,MATCH(A181,Moldes!$A$5:$A$154,0))),INDEX(Moldes!$K$5:$K$154,MATCH(A181,Moldes!$A$5:$A$154,0)),Precios!$Q$12),Precios!$Q$12))*(INDEX(Precios!$F$5:$F$124,MATCH(E181,Precios!$A$5:$A$124,0))+IF(F181="Sí",Precios!$Q$10,0)),"falta $ tela"))</f>
        <v/>
      </c>
      <c r="H181" s="32" t="str">
        <f aca="false">IF(A181="","",A181&amp;"|"&amp;COUNTIF($A$5:A181,A181))</f>
        <v>44 · BKHOMV03PRO|1</v>
      </c>
    </row>
    <row r="182" customFormat="false" ht="15" hidden="false" customHeight="false" outlineLevel="0" collapsed="false">
      <c r="A182" s="28" t="s">
        <v>132</v>
      </c>
      <c r="B182" s="28" t="s">
        <v>178</v>
      </c>
      <c r="C182" s="28" t="n">
        <v>1</v>
      </c>
      <c r="D182" s="31"/>
      <c r="E182" s="10"/>
      <c r="F182" s="28" t="s">
        <v>177</v>
      </c>
      <c r="G182" s="11" t="str">
        <f aca="false">IF(OR(A182="",N(D182)=0),"",IFERROR(D182*(1+IFERROR(IF(ISNUMBER(INDEX(Moldes!$K$5:$K$154,MATCH(A182,Moldes!$A$5:$A$154,0))),INDEX(Moldes!$K$5:$K$154,MATCH(A182,Moldes!$A$5:$A$154,0)),Precios!$Q$12),Precios!$Q$12))*(INDEX(Precios!$F$5:$F$124,MATCH(E182,Precios!$A$5:$A$124,0))+IF(F182="Sí",Precios!$Q$10,0)),"falta $ tela"))</f>
        <v/>
      </c>
      <c r="H182" s="32" t="str">
        <f aca="false">IF(A182="","",A182&amp;"|"&amp;COUNTIF($A$5:A182,A182))</f>
        <v>44 · BKHOMV03PRO|2</v>
      </c>
    </row>
    <row r="183" customFormat="false" ht="15" hidden="false" customHeight="false" outlineLevel="0" collapsed="false">
      <c r="A183" s="28" t="s">
        <v>132</v>
      </c>
      <c r="B183" s="28" t="s">
        <v>187</v>
      </c>
      <c r="C183" s="28" t="n">
        <v>1</v>
      </c>
      <c r="D183" s="31"/>
      <c r="E183" s="10"/>
      <c r="F183" s="28" t="s">
        <v>177</v>
      </c>
      <c r="G183" s="11" t="str">
        <f aca="false">IF(OR(A183="",N(D183)=0),"",IFERROR(D183*(1+IFERROR(IF(ISNUMBER(INDEX(Moldes!$K$5:$K$154,MATCH(A183,Moldes!$A$5:$A$154,0))),INDEX(Moldes!$K$5:$K$154,MATCH(A183,Moldes!$A$5:$A$154,0)),Precios!$Q$12),Precios!$Q$12))*(INDEX(Precios!$F$5:$F$124,MATCH(E183,Precios!$A$5:$A$124,0))+IF(F183="Sí",Precios!$Q$10,0)),"falta $ tela"))</f>
        <v/>
      </c>
      <c r="H183" s="32" t="str">
        <f aca="false">IF(A183="","",A183&amp;"|"&amp;COUNTIF($A$5:A183,A183))</f>
        <v>44 · BKHOMV03PRO|3</v>
      </c>
    </row>
    <row r="184" customFormat="false" ht="15" hidden="false" customHeight="false" outlineLevel="0" collapsed="false">
      <c r="A184" s="28" t="s">
        <v>132</v>
      </c>
      <c r="B184" s="28" t="s">
        <v>184</v>
      </c>
      <c r="C184" s="28" t="n">
        <v>2</v>
      </c>
      <c r="D184" s="31"/>
      <c r="E184" s="10"/>
      <c r="F184" s="28" t="s">
        <v>177</v>
      </c>
      <c r="G184" s="11" t="str">
        <f aca="false">IF(OR(A184="",N(D184)=0),"",IFERROR(D184*(1+IFERROR(IF(ISNUMBER(INDEX(Moldes!$K$5:$K$154,MATCH(A184,Moldes!$A$5:$A$154,0))),INDEX(Moldes!$K$5:$K$154,MATCH(A184,Moldes!$A$5:$A$154,0)),Precios!$Q$12),Precios!$Q$12))*(INDEX(Precios!$F$5:$F$124,MATCH(E184,Precios!$A$5:$A$124,0))+IF(F184="Sí",Precios!$Q$10,0)),"falta $ tela"))</f>
        <v/>
      </c>
      <c r="H184" s="32" t="str">
        <f aca="false">IF(A184="","",A184&amp;"|"&amp;COUNTIF($A$5:A184,A184))</f>
        <v>44 · BKHOMV03PRO|4</v>
      </c>
    </row>
    <row r="185" customFormat="false" ht="15" hidden="false" customHeight="false" outlineLevel="0" collapsed="false">
      <c r="A185" s="28" t="s">
        <v>133</v>
      </c>
      <c r="B185" s="28" t="s">
        <v>176</v>
      </c>
      <c r="C185" s="28" t="n">
        <v>2</v>
      </c>
      <c r="D185" s="31"/>
      <c r="E185" s="10"/>
      <c r="F185" s="28" t="s">
        <v>177</v>
      </c>
      <c r="G185" s="11" t="str">
        <f aca="false">IF(OR(A185="",N(D185)=0),"",IFERROR(D185*(1+IFERROR(IF(ISNUMBER(INDEX(Moldes!$K$5:$K$154,MATCH(A185,Moldes!$A$5:$A$154,0))),INDEX(Moldes!$K$5:$K$154,MATCH(A185,Moldes!$A$5:$A$154,0)),Precios!$Q$12),Precios!$Q$12))*(INDEX(Precios!$F$5:$F$124,MATCH(E185,Precios!$A$5:$A$124,0))+IF(F185="Sí",Precios!$Q$10,0)),"falta $ tela"))</f>
        <v/>
      </c>
      <c r="H185" s="32" t="str">
        <f aca="false">IF(A185="","",A185&amp;"|"&amp;COUNTIF($A$5:A185,A185))</f>
        <v>45 · BKSHMUJ|1</v>
      </c>
    </row>
    <row r="186" customFormat="false" ht="15" hidden="false" customHeight="false" outlineLevel="0" collapsed="false">
      <c r="A186" s="28" t="s">
        <v>133</v>
      </c>
      <c r="B186" s="28" t="s">
        <v>193</v>
      </c>
      <c r="C186" s="28" t="n">
        <v>2</v>
      </c>
      <c r="D186" s="31"/>
      <c r="E186" s="10"/>
      <c r="F186" s="28" t="s">
        <v>177</v>
      </c>
      <c r="G186" s="11" t="str">
        <f aca="false">IF(OR(A186="",N(D186)=0),"",IFERROR(D186*(1+IFERROR(IF(ISNUMBER(INDEX(Moldes!$K$5:$K$154,MATCH(A186,Moldes!$A$5:$A$154,0))),INDEX(Moldes!$K$5:$K$154,MATCH(A186,Moldes!$A$5:$A$154,0)),Precios!$Q$12),Precios!$Q$12))*(INDEX(Precios!$F$5:$F$124,MATCH(E186,Precios!$A$5:$A$124,0))+IF(F186="Sí",Precios!$Q$10,0)),"falta $ tela"))</f>
        <v/>
      </c>
      <c r="H186" s="32" t="str">
        <f aca="false">IF(A186="","",A186&amp;"|"&amp;COUNTIF($A$5:A186,A186))</f>
        <v>45 · BKSHMUJ|2</v>
      </c>
    </row>
    <row r="187" customFormat="false" ht="15" hidden="false" customHeight="false" outlineLevel="0" collapsed="false">
      <c r="A187" s="28" t="s">
        <v>133</v>
      </c>
      <c r="B187" s="28" t="s">
        <v>194</v>
      </c>
      <c r="C187" s="28" t="n">
        <v>1</v>
      </c>
      <c r="D187" s="31"/>
      <c r="E187" s="10"/>
      <c r="F187" s="28" t="s">
        <v>177</v>
      </c>
      <c r="G187" s="11" t="str">
        <f aca="false">IF(OR(A187="",N(D187)=0),"",IFERROR(D187*(1+IFERROR(IF(ISNUMBER(INDEX(Moldes!$K$5:$K$154,MATCH(A187,Moldes!$A$5:$A$154,0))),INDEX(Moldes!$K$5:$K$154,MATCH(A187,Moldes!$A$5:$A$154,0)),Precios!$Q$12),Precios!$Q$12))*(INDEX(Precios!$F$5:$F$124,MATCH(E187,Precios!$A$5:$A$124,0))+IF(F187="Sí",Precios!$Q$10,0)),"falta $ tela"))</f>
        <v/>
      </c>
      <c r="H187" s="32" t="str">
        <f aca="false">IF(A187="","",A187&amp;"|"&amp;COUNTIF($A$5:A187,A187))</f>
        <v>45 · BKSHMUJ|3</v>
      </c>
    </row>
    <row r="188" customFormat="false" ht="15" hidden="false" customHeight="false" outlineLevel="0" collapsed="false">
      <c r="A188" s="28" t="s">
        <v>137</v>
      </c>
      <c r="B188" s="28" t="s">
        <v>176</v>
      </c>
      <c r="C188" s="28" t="n">
        <v>2</v>
      </c>
      <c r="D188" s="31"/>
      <c r="E188" s="10" t="s">
        <v>188</v>
      </c>
      <c r="F188" s="28" t="s">
        <v>177</v>
      </c>
      <c r="G188" s="11" t="str">
        <f aca="false">IF(OR(A188="",N(D188)=0),"",IFERROR(D188*(1+IFERROR(IF(ISNUMBER(INDEX(Moldes!$K$5:$K$154,MATCH(A188,Moldes!$A$5:$A$154,0))),INDEX(Moldes!$K$5:$K$154,MATCH(A188,Moldes!$A$5:$A$154,0)),Precios!$Q$12),Precios!$Q$12))*(INDEX(Precios!$F$5:$F$124,MATCH(E188,Precios!$A$5:$A$124,0))+IF(F188="Sí",Precios!$Q$10,0)),"falta $ tela"))</f>
        <v/>
      </c>
      <c r="H188" s="32" t="str">
        <f aca="false">IF(A188="","",A188&amp;"|"&amp;COUNTIF($A$5:A188,A188))</f>
        <v>46 · BK-SH|1</v>
      </c>
    </row>
    <row r="189" customFormat="false" ht="15" hidden="false" customHeight="false" outlineLevel="0" collapsed="false">
      <c r="A189" s="28" t="s">
        <v>137</v>
      </c>
      <c r="B189" s="28" t="s">
        <v>193</v>
      </c>
      <c r="C189" s="28" t="n">
        <v>2</v>
      </c>
      <c r="D189" s="31"/>
      <c r="E189" s="10" t="s">
        <v>188</v>
      </c>
      <c r="F189" s="28" t="s">
        <v>177</v>
      </c>
      <c r="G189" s="11" t="str">
        <f aca="false">IF(OR(A189="",N(D189)=0),"",IFERROR(D189*(1+IFERROR(IF(ISNUMBER(INDEX(Moldes!$K$5:$K$154,MATCH(A189,Moldes!$A$5:$A$154,0))),INDEX(Moldes!$K$5:$K$154,MATCH(A189,Moldes!$A$5:$A$154,0)),Precios!$Q$12),Precios!$Q$12))*(INDEX(Precios!$F$5:$F$124,MATCH(E189,Precios!$A$5:$A$124,0))+IF(F189="Sí",Precios!$Q$10,0)),"falta $ tela"))</f>
        <v/>
      </c>
      <c r="H189" s="32" t="str">
        <f aca="false">IF(A189="","",A189&amp;"|"&amp;COUNTIF($A$5:A189,A189))</f>
        <v>46 · BK-SH|2</v>
      </c>
    </row>
    <row r="190" customFormat="false" ht="15" hidden="false" customHeight="false" outlineLevel="0" collapsed="false">
      <c r="A190" s="28" t="s">
        <v>137</v>
      </c>
      <c r="B190" s="28" t="s">
        <v>194</v>
      </c>
      <c r="C190" s="28" t="n">
        <v>1</v>
      </c>
      <c r="D190" s="31"/>
      <c r="E190" s="10" t="s">
        <v>188</v>
      </c>
      <c r="F190" s="28" t="s">
        <v>177</v>
      </c>
      <c r="G190" s="11" t="str">
        <f aca="false">IF(OR(A190="",N(D190)=0),"",IFERROR(D190*(1+IFERROR(IF(ISNUMBER(INDEX(Moldes!$K$5:$K$154,MATCH(A190,Moldes!$A$5:$A$154,0))),INDEX(Moldes!$K$5:$K$154,MATCH(A190,Moldes!$A$5:$A$154,0)),Precios!$Q$12),Precios!$Q$12))*(INDEX(Precios!$F$5:$F$124,MATCH(E190,Precios!$A$5:$A$124,0))+IF(F190="Sí",Precios!$Q$10,0)),"falta $ tela"))</f>
        <v/>
      </c>
      <c r="H190" s="32" t="str">
        <f aca="false">IF(A190="","",A190&amp;"|"&amp;COUNTIF($A$5:A190,A190))</f>
        <v>46 · BK-SH|3</v>
      </c>
    </row>
    <row r="191" customFormat="false" ht="15" hidden="false" customHeight="false" outlineLevel="0" collapsed="false">
      <c r="A191" s="28" t="s">
        <v>139</v>
      </c>
      <c r="B191" s="28" t="s">
        <v>176</v>
      </c>
      <c r="C191" s="28" t="n">
        <v>2</v>
      </c>
      <c r="D191" s="31"/>
      <c r="E191" s="10"/>
      <c r="F191" s="28" t="s">
        <v>177</v>
      </c>
      <c r="G191" s="11" t="str">
        <f aca="false">IF(OR(A191="",N(D191)=0),"",IFERROR(D191*(1+IFERROR(IF(ISNUMBER(INDEX(Moldes!$K$5:$K$154,MATCH(A191,Moldes!$A$5:$A$154,0))),INDEX(Moldes!$K$5:$K$154,MATCH(A191,Moldes!$A$5:$A$154,0)),Precios!$Q$12),Precios!$Q$12))*(INDEX(Precios!$F$5:$F$124,MATCH(E191,Precios!$A$5:$A$124,0))+IF(F191="Sí",Precios!$Q$10,0)),"falta $ tela"))</f>
        <v/>
      </c>
      <c r="H191" s="32" t="str">
        <f aca="false">IF(A191="","",A191&amp;"|"&amp;COUNTIF($A$5:A191,A191))</f>
        <v>47 · BKINSHMUJ|1</v>
      </c>
    </row>
    <row r="192" customFormat="false" ht="15" hidden="false" customHeight="false" outlineLevel="0" collapsed="false">
      <c r="A192" s="28" t="s">
        <v>139</v>
      </c>
      <c r="B192" s="28" t="s">
        <v>193</v>
      </c>
      <c r="C192" s="28" t="n">
        <v>2</v>
      </c>
      <c r="D192" s="31"/>
      <c r="E192" s="10"/>
      <c r="F192" s="28" t="s">
        <v>177</v>
      </c>
      <c r="G192" s="11" t="str">
        <f aca="false">IF(OR(A192="",N(D192)=0),"",IFERROR(D192*(1+IFERROR(IF(ISNUMBER(INDEX(Moldes!$K$5:$K$154,MATCH(A192,Moldes!$A$5:$A$154,0))),INDEX(Moldes!$K$5:$K$154,MATCH(A192,Moldes!$A$5:$A$154,0)),Precios!$Q$12),Precios!$Q$12))*(INDEX(Precios!$F$5:$F$124,MATCH(E192,Precios!$A$5:$A$124,0))+IF(F192="Sí",Precios!$Q$10,0)),"falta $ tela"))</f>
        <v/>
      </c>
      <c r="H192" s="32" t="str">
        <f aca="false">IF(A192="","",A192&amp;"|"&amp;COUNTIF($A$5:A192,A192))</f>
        <v>47 · BKINSHMUJ|2</v>
      </c>
    </row>
    <row r="193" customFormat="false" ht="15" hidden="false" customHeight="false" outlineLevel="0" collapsed="false">
      <c r="A193" s="28" t="s">
        <v>139</v>
      </c>
      <c r="B193" s="28" t="s">
        <v>194</v>
      </c>
      <c r="C193" s="28" t="n">
        <v>1</v>
      </c>
      <c r="D193" s="31"/>
      <c r="E193" s="10"/>
      <c r="F193" s="28" t="s">
        <v>177</v>
      </c>
      <c r="G193" s="11" t="str">
        <f aca="false">IF(OR(A193="",N(D193)=0),"",IFERROR(D193*(1+IFERROR(IF(ISNUMBER(INDEX(Moldes!$K$5:$K$154,MATCH(A193,Moldes!$A$5:$A$154,0))),INDEX(Moldes!$K$5:$K$154,MATCH(A193,Moldes!$A$5:$A$154,0)),Precios!$Q$12),Precios!$Q$12))*(INDEX(Precios!$F$5:$F$124,MATCH(E193,Precios!$A$5:$A$124,0))+IF(F193="Sí",Precios!$Q$10,0)),"falta $ tela"))</f>
        <v/>
      </c>
      <c r="H193" s="32" t="str">
        <f aca="false">IF(A193="","",A193&amp;"|"&amp;COUNTIF($A$5:A193,A193))</f>
        <v>47 · BKINSHMUJ|3</v>
      </c>
    </row>
    <row r="194" customFormat="false" ht="15" hidden="false" customHeight="false" outlineLevel="0" collapsed="false">
      <c r="A194" s="28" t="s">
        <v>141</v>
      </c>
      <c r="B194" s="28" t="s">
        <v>176</v>
      </c>
      <c r="C194" s="28" t="n">
        <v>2</v>
      </c>
      <c r="D194" s="31"/>
      <c r="E194" s="10"/>
      <c r="F194" s="28" t="s">
        <v>177</v>
      </c>
      <c r="G194" s="11" t="str">
        <f aca="false">IF(OR(A194="",N(D194)=0),"",IFERROR(D194*(1+IFERROR(IF(ISNUMBER(INDEX(Moldes!$K$5:$K$154,MATCH(A194,Moldes!$A$5:$A$154,0))),INDEX(Moldes!$K$5:$K$154,MATCH(A194,Moldes!$A$5:$A$154,0)),Precios!$Q$12),Precios!$Q$12))*(INDEX(Precios!$F$5:$F$124,MATCH(E194,Precios!$A$5:$A$124,0))+IF(F194="Sí",Precios!$Q$10,0)),"falta $ tela"))</f>
        <v/>
      </c>
      <c r="H194" s="32" t="str">
        <f aca="false">IF(A194="","",A194&amp;"|"&amp;COUNTIF($A$5:A194,A194))</f>
        <v>48 · BKINSHHOM|1</v>
      </c>
    </row>
    <row r="195" customFormat="false" ht="15" hidden="false" customHeight="false" outlineLevel="0" collapsed="false">
      <c r="A195" s="28" t="s">
        <v>141</v>
      </c>
      <c r="B195" s="28" t="s">
        <v>193</v>
      </c>
      <c r="C195" s="28" t="n">
        <v>2</v>
      </c>
      <c r="D195" s="31"/>
      <c r="E195" s="10"/>
      <c r="F195" s="28" t="s">
        <v>177</v>
      </c>
      <c r="G195" s="11" t="str">
        <f aca="false">IF(OR(A195="",N(D195)=0),"",IFERROR(D195*(1+IFERROR(IF(ISNUMBER(INDEX(Moldes!$K$5:$K$154,MATCH(A195,Moldes!$A$5:$A$154,0))),INDEX(Moldes!$K$5:$K$154,MATCH(A195,Moldes!$A$5:$A$154,0)),Precios!$Q$12),Precios!$Q$12))*(INDEX(Precios!$F$5:$F$124,MATCH(E195,Precios!$A$5:$A$124,0))+IF(F195="Sí",Precios!$Q$10,0)),"falta $ tela"))</f>
        <v/>
      </c>
      <c r="H195" s="32" t="str">
        <f aca="false">IF(A195="","",A195&amp;"|"&amp;COUNTIF($A$5:A195,A195))</f>
        <v>48 · BKINSHHOM|2</v>
      </c>
    </row>
    <row r="196" customFormat="false" ht="15" hidden="false" customHeight="false" outlineLevel="0" collapsed="false">
      <c r="A196" s="28" t="s">
        <v>141</v>
      </c>
      <c r="B196" s="28" t="s">
        <v>194</v>
      </c>
      <c r="C196" s="28" t="n">
        <v>1</v>
      </c>
      <c r="D196" s="31"/>
      <c r="E196" s="10"/>
      <c r="F196" s="28" t="s">
        <v>177</v>
      </c>
      <c r="G196" s="11" t="str">
        <f aca="false">IF(OR(A196="",N(D196)=0),"",IFERROR(D196*(1+IFERROR(IF(ISNUMBER(INDEX(Moldes!$K$5:$K$154,MATCH(A196,Moldes!$A$5:$A$154,0))),INDEX(Moldes!$K$5:$K$154,MATCH(A196,Moldes!$A$5:$A$154,0)),Precios!$Q$12),Precios!$Q$12))*(INDEX(Precios!$F$5:$F$124,MATCH(E196,Precios!$A$5:$A$124,0))+IF(F196="Sí",Precios!$Q$10,0)),"falta $ tela"))</f>
        <v/>
      </c>
      <c r="H196" s="32" t="str">
        <f aca="false">IF(A196="","",A196&amp;"|"&amp;COUNTIF($A$5:A196,A196))</f>
        <v>48 · BKINSHHOM|3</v>
      </c>
    </row>
    <row r="197" customFormat="false" ht="15" hidden="false" customHeight="false" outlineLevel="0" collapsed="false">
      <c r="A197" s="28" t="s">
        <v>142</v>
      </c>
      <c r="B197" s="28" t="s">
        <v>189</v>
      </c>
      <c r="C197" s="28" t="n">
        <v>2</v>
      </c>
      <c r="D197" s="31"/>
      <c r="E197" s="10"/>
      <c r="F197" s="28" t="s">
        <v>177</v>
      </c>
      <c r="G197" s="11" t="str">
        <f aca="false">IF(OR(A197="",N(D197)=0),"",IFERROR(D197*(1+IFERROR(IF(ISNUMBER(INDEX(Moldes!$K$5:$K$154,MATCH(A197,Moldes!$A$5:$A$154,0))),INDEX(Moldes!$K$5:$K$154,MATCH(A197,Moldes!$A$5:$A$154,0)),Precios!$Q$12),Precios!$Q$12))*(INDEX(Precios!$F$5:$F$124,MATCH(E197,Precios!$A$5:$A$124,0))+IF(F197="Sí",Precios!$Q$10,0)),"falta $ tela"))</f>
        <v/>
      </c>
      <c r="H197" s="32" t="str">
        <f aca="false">IF(A197="","",A197&amp;"|"&amp;COUNTIF($A$5:A197,A197))</f>
        <v>49 · BKSHMUJRE|1</v>
      </c>
    </row>
    <row r="198" customFormat="false" ht="15" hidden="false" customHeight="false" outlineLevel="0" collapsed="false">
      <c r="A198" s="28" t="s">
        <v>142</v>
      </c>
      <c r="B198" s="28" t="s">
        <v>195</v>
      </c>
      <c r="C198" s="28" t="n">
        <v>2</v>
      </c>
      <c r="D198" s="31"/>
      <c r="E198" s="10"/>
      <c r="F198" s="28" t="s">
        <v>177</v>
      </c>
      <c r="G198" s="11" t="str">
        <f aca="false">IF(OR(A198="",N(D198)=0),"",IFERROR(D198*(1+IFERROR(IF(ISNUMBER(INDEX(Moldes!$K$5:$K$154,MATCH(A198,Moldes!$A$5:$A$154,0))),INDEX(Moldes!$K$5:$K$154,MATCH(A198,Moldes!$A$5:$A$154,0)),Precios!$Q$12),Precios!$Q$12))*(INDEX(Precios!$F$5:$F$124,MATCH(E198,Precios!$A$5:$A$124,0))+IF(F198="Sí",Precios!$Q$10,0)),"falta $ tela"))</f>
        <v/>
      </c>
      <c r="H198" s="32" t="str">
        <f aca="false">IF(A198="","",A198&amp;"|"&amp;COUNTIF($A$5:A198,A198))</f>
        <v>49 · BKSHMUJRE|2</v>
      </c>
    </row>
    <row r="199" customFormat="false" ht="15" hidden="false" customHeight="false" outlineLevel="0" collapsed="false">
      <c r="A199" s="28" t="s">
        <v>142</v>
      </c>
      <c r="B199" s="28" t="s">
        <v>196</v>
      </c>
      <c r="C199" s="28" t="n">
        <v>1</v>
      </c>
      <c r="D199" s="31"/>
      <c r="E199" s="10"/>
      <c r="F199" s="28" t="s">
        <v>177</v>
      </c>
      <c r="G199" s="11" t="str">
        <f aca="false">IF(OR(A199="",N(D199)=0),"",IFERROR(D199*(1+IFERROR(IF(ISNUMBER(INDEX(Moldes!$K$5:$K$154,MATCH(A199,Moldes!$A$5:$A$154,0))),INDEX(Moldes!$K$5:$K$154,MATCH(A199,Moldes!$A$5:$A$154,0)),Precios!$Q$12),Precios!$Q$12))*(INDEX(Precios!$F$5:$F$124,MATCH(E199,Precios!$A$5:$A$124,0))+IF(F199="Sí",Precios!$Q$10,0)),"falta $ tela"))</f>
        <v/>
      </c>
      <c r="H199" s="32" t="str">
        <f aca="false">IF(A199="","",A199&amp;"|"&amp;COUNTIF($A$5:A199,A199))</f>
        <v>49 · BKSHMUJRE|3</v>
      </c>
    </row>
    <row r="200" customFormat="false" ht="15" hidden="false" customHeight="false" outlineLevel="0" collapsed="false">
      <c r="A200" s="28" t="s">
        <v>142</v>
      </c>
      <c r="B200" s="28" t="s">
        <v>191</v>
      </c>
      <c r="C200" s="28" t="n">
        <v>2</v>
      </c>
      <c r="D200" s="31"/>
      <c r="E200" s="10"/>
      <c r="F200" s="28" t="s">
        <v>177</v>
      </c>
      <c r="G200" s="11" t="str">
        <f aca="false">IF(OR(A200="",N(D200)=0),"",IFERROR(D200*(1+IFERROR(IF(ISNUMBER(INDEX(Moldes!$K$5:$K$154,MATCH(A200,Moldes!$A$5:$A$154,0))),INDEX(Moldes!$K$5:$K$154,MATCH(A200,Moldes!$A$5:$A$154,0)),Precios!$Q$12),Precios!$Q$12))*(INDEX(Precios!$F$5:$F$124,MATCH(E200,Precios!$A$5:$A$124,0))+IF(F200="Sí",Precios!$Q$10,0)),"falta $ tela"))</f>
        <v/>
      </c>
      <c r="H200" s="32" t="str">
        <f aca="false">IF(A200="","",A200&amp;"|"&amp;COUNTIF($A$5:A200,A200))</f>
        <v>49 · BKSHMUJRE|4</v>
      </c>
    </row>
    <row r="201" customFormat="false" ht="15" hidden="false" customHeight="false" outlineLevel="0" collapsed="false">
      <c r="A201" s="28" t="s">
        <v>142</v>
      </c>
      <c r="B201" s="28" t="s">
        <v>197</v>
      </c>
      <c r="C201" s="28" t="n">
        <v>2</v>
      </c>
      <c r="D201" s="31"/>
      <c r="E201" s="10"/>
      <c r="F201" s="28" t="s">
        <v>177</v>
      </c>
      <c r="G201" s="11" t="str">
        <f aca="false">IF(OR(A201="",N(D201)=0),"",IFERROR(D201*(1+IFERROR(IF(ISNUMBER(INDEX(Moldes!$K$5:$K$154,MATCH(A201,Moldes!$A$5:$A$154,0))),INDEX(Moldes!$K$5:$K$154,MATCH(A201,Moldes!$A$5:$A$154,0)),Precios!$Q$12),Precios!$Q$12))*(INDEX(Precios!$F$5:$F$124,MATCH(E201,Precios!$A$5:$A$124,0))+IF(F201="Sí",Precios!$Q$10,0)),"falta $ tela"))</f>
        <v/>
      </c>
      <c r="H201" s="32" t="str">
        <f aca="false">IF(A201="","",A201&amp;"|"&amp;COUNTIF($A$5:A201,A201))</f>
        <v>49 · BKSHMUJRE|5</v>
      </c>
    </row>
    <row r="202" customFormat="false" ht="15" hidden="false" customHeight="false" outlineLevel="0" collapsed="false">
      <c r="A202" s="28" t="s">
        <v>142</v>
      </c>
      <c r="B202" s="28" t="s">
        <v>198</v>
      </c>
      <c r="C202" s="28" t="n">
        <v>1</v>
      </c>
      <c r="D202" s="31"/>
      <c r="E202" s="10"/>
      <c r="F202" s="28" t="s">
        <v>177</v>
      </c>
      <c r="G202" s="11" t="str">
        <f aca="false">IF(OR(A202="",N(D202)=0),"",IFERROR(D202*(1+IFERROR(IF(ISNUMBER(INDEX(Moldes!$K$5:$K$154,MATCH(A202,Moldes!$A$5:$A$154,0))),INDEX(Moldes!$K$5:$K$154,MATCH(A202,Moldes!$A$5:$A$154,0)),Precios!$Q$12),Precios!$Q$12))*(INDEX(Precios!$F$5:$F$124,MATCH(E202,Precios!$A$5:$A$124,0))+IF(F202="Sí",Precios!$Q$10,0)),"falta $ tela"))</f>
        <v/>
      </c>
      <c r="H202" s="32" t="str">
        <f aca="false">IF(A202="","",A202&amp;"|"&amp;COUNTIF($A$5:A202,A202))</f>
        <v>49 · BKSHMUJRE|6</v>
      </c>
    </row>
    <row r="203" customFormat="false" ht="15" hidden="false" customHeight="false" outlineLevel="0" collapsed="false">
      <c r="A203" s="28" t="s">
        <v>145</v>
      </c>
      <c r="B203" s="28" t="s">
        <v>189</v>
      </c>
      <c r="C203" s="28" t="n">
        <v>2</v>
      </c>
      <c r="D203" s="31"/>
      <c r="E203" s="10"/>
      <c r="F203" s="28" t="s">
        <v>177</v>
      </c>
      <c r="G203" s="11" t="str">
        <f aca="false">IF(OR(A203="",N(D203)=0),"",IFERROR(D203*(1+IFERROR(IF(ISNUMBER(INDEX(Moldes!$K$5:$K$154,MATCH(A203,Moldes!$A$5:$A$154,0))),INDEX(Moldes!$K$5:$K$154,MATCH(A203,Moldes!$A$5:$A$154,0)),Precios!$Q$12),Precios!$Q$12))*(INDEX(Precios!$F$5:$F$124,MATCH(E203,Precios!$A$5:$A$124,0))+IF(F203="Sí",Precios!$Q$10,0)),"falta $ tela"))</f>
        <v/>
      </c>
      <c r="H203" s="32" t="str">
        <f aca="false">IF(A203="","",A203&amp;"|"&amp;COUNTIF($A$5:A203,A203))</f>
        <v>50 · BK-SH|1</v>
      </c>
    </row>
    <row r="204" customFormat="false" ht="15" hidden="false" customHeight="false" outlineLevel="0" collapsed="false">
      <c r="A204" s="28" t="s">
        <v>145</v>
      </c>
      <c r="B204" s="28" t="s">
        <v>195</v>
      </c>
      <c r="C204" s="28" t="n">
        <v>2</v>
      </c>
      <c r="D204" s="31"/>
      <c r="E204" s="10"/>
      <c r="F204" s="28" t="s">
        <v>177</v>
      </c>
      <c r="G204" s="11" t="str">
        <f aca="false">IF(OR(A204="",N(D204)=0),"",IFERROR(D204*(1+IFERROR(IF(ISNUMBER(INDEX(Moldes!$K$5:$K$154,MATCH(A204,Moldes!$A$5:$A$154,0))),INDEX(Moldes!$K$5:$K$154,MATCH(A204,Moldes!$A$5:$A$154,0)),Precios!$Q$12),Precios!$Q$12))*(INDEX(Precios!$F$5:$F$124,MATCH(E204,Precios!$A$5:$A$124,0))+IF(F204="Sí",Precios!$Q$10,0)),"falta $ tela"))</f>
        <v/>
      </c>
      <c r="H204" s="32" t="str">
        <f aca="false">IF(A204="","",A204&amp;"|"&amp;COUNTIF($A$5:A204,A204))</f>
        <v>50 · BK-SH|2</v>
      </c>
    </row>
    <row r="205" customFormat="false" ht="15" hidden="false" customHeight="false" outlineLevel="0" collapsed="false">
      <c r="A205" s="28" t="s">
        <v>145</v>
      </c>
      <c r="B205" s="28" t="s">
        <v>196</v>
      </c>
      <c r="C205" s="28" t="n">
        <v>1</v>
      </c>
      <c r="D205" s="31"/>
      <c r="E205" s="10"/>
      <c r="F205" s="28" t="s">
        <v>177</v>
      </c>
      <c r="G205" s="11" t="str">
        <f aca="false">IF(OR(A205="",N(D205)=0),"",IFERROR(D205*(1+IFERROR(IF(ISNUMBER(INDEX(Moldes!$K$5:$K$154,MATCH(A205,Moldes!$A$5:$A$154,0))),INDEX(Moldes!$K$5:$K$154,MATCH(A205,Moldes!$A$5:$A$154,0)),Precios!$Q$12),Precios!$Q$12))*(INDEX(Precios!$F$5:$F$124,MATCH(E205,Precios!$A$5:$A$124,0))+IF(F205="Sí",Precios!$Q$10,0)),"falta $ tela"))</f>
        <v/>
      </c>
      <c r="H205" s="32" t="str">
        <f aca="false">IF(A205="","",A205&amp;"|"&amp;COUNTIF($A$5:A205,A205))</f>
        <v>50 · BK-SH|3</v>
      </c>
    </row>
    <row r="206" customFormat="false" ht="15" hidden="false" customHeight="false" outlineLevel="0" collapsed="false">
      <c r="A206" s="28" t="s">
        <v>145</v>
      </c>
      <c r="B206" s="28" t="s">
        <v>191</v>
      </c>
      <c r="C206" s="28" t="n">
        <v>2</v>
      </c>
      <c r="D206" s="31"/>
      <c r="E206" s="10"/>
      <c r="F206" s="28" t="s">
        <v>177</v>
      </c>
      <c r="G206" s="11" t="str">
        <f aca="false">IF(OR(A206="",N(D206)=0),"",IFERROR(D206*(1+IFERROR(IF(ISNUMBER(INDEX(Moldes!$K$5:$K$154,MATCH(A206,Moldes!$A$5:$A$154,0))),INDEX(Moldes!$K$5:$K$154,MATCH(A206,Moldes!$A$5:$A$154,0)),Precios!$Q$12),Precios!$Q$12))*(INDEX(Precios!$F$5:$F$124,MATCH(E206,Precios!$A$5:$A$124,0))+IF(F206="Sí",Precios!$Q$10,0)),"falta $ tela"))</f>
        <v/>
      </c>
      <c r="H206" s="32" t="str">
        <f aca="false">IF(A206="","",A206&amp;"|"&amp;COUNTIF($A$5:A206,A206))</f>
        <v>50 · BK-SH|4</v>
      </c>
    </row>
    <row r="207" customFormat="false" ht="15" hidden="false" customHeight="false" outlineLevel="0" collapsed="false">
      <c r="A207" s="28" t="s">
        <v>145</v>
      </c>
      <c r="B207" s="28" t="s">
        <v>197</v>
      </c>
      <c r="C207" s="28" t="n">
        <v>2</v>
      </c>
      <c r="D207" s="31"/>
      <c r="E207" s="10"/>
      <c r="F207" s="28" t="s">
        <v>177</v>
      </c>
      <c r="G207" s="11" t="str">
        <f aca="false">IF(OR(A207="",N(D207)=0),"",IFERROR(D207*(1+IFERROR(IF(ISNUMBER(INDEX(Moldes!$K$5:$K$154,MATCH(A207,Moldes!$A$5:$A$154,0))),INDEX(Moldes!$K$5:$K$154,MATCH(A207,Moldes!$A$5:$A$154,0)),Precios!$Q$12),Precios!$Q$12))*(INDEX(Precios!$F$5:$F$124,MATCH(E207,Precios!$A$5:$A$124,0))+IF(F207="Sí",Precios!$Q$10,0)),"falta $ tela"))</f>
        <v/>
      </c>
      <c r="H207" s="32" t="str">
        <f aca="false">IF(A207="","",A207&amp;"|"&amp;COUNTIF($A$5:A207,A207))</f>
        <v>50 · BK-SH|5</v>
      </c>
    </row>
    <row r="208" customFormat="false" ht="15" hidden="false" customHeight="false" outlineLevel="0" collapsed="false">
      <c r="A208" s="28" t="s">
        <v>145</v>
      </c>
      <c r="B208" s="28" t="s">
        <v>198</v>
      </c>
      <c r="C208" s="28" t="n">
        <v>1</v>
      </c>
      <c r="D208" s="31"/>
      <c r="E208" s="10"/>
      <c r="F208" s="28" t="s">
        <v>177</v>
      </c>
      <c r="G208" s="11" t="str">
        <f aca="false">IF(OR(A208="",N(D208)=0),"",IFERROR(D208*(1+IFERROR(IF(ISNUMBER(INDEX(Moldes!$K$5:$K$154,MATCH(A208,Moldes!$A$5:$A$154,0))),INDEX(Moldes!$K$5:$K$154,MATCH(A208,Moldes!$A$5:$A$154,0)),Precios!$Q$12),Precios!$Q$12))*(INDEX(Precios!$F$5:$F$124,MATCH(E208,Precios!$A$5:$A$124,0))+IF(F208="Sí",Precios!$Q$10,0)),"falta $ tela"))</f>
        <v/>
      </c>
      <c r="H208" s="32" t="str">
        <f aca="false">IF(A208="","",A208&amp;"|"&amp;COUNTIF($A$5:A208,A208))</f>
        <v>50 · BK-SH|6</v>
      </c>
    </row>
    <row r="209" customFormat="false" ht="15" hidden="false" customHeight="false" outlineLevel="0" collapsed="false">
      <c r="A209" s="28" t="s">
        <v>146</v>
      </c>
      <c r="B209" s="28" t="s">
        <v>189</v>
      </c>
      <c r="C209" s="28" t="n">
        <v>2</v>
      </c>
      <c r="D209" s="31"/>
      <c r="E209" s="10"/>
      <c r="F209" s="28" t="s">
        <v>177</v>
      </c>
      <c r="G209" s="11" t="str">
        <f aca="false">IF(OR(A209="",N(D209)=0),"",IFERROR(D209*(1+IFERROR(IF(ISNUMBER(INDEX(Moldes!$K$5:$K$154,MATCH(A209,Moldes!$A$5:$A$154,0))),INDEX(Moldes!$K$5:$K$154,MATCH(A209,Moldes!$A$5:$A$154,0)),Precios!$Q$12),Precios!$Q$12))*(INDEX(Precios!$F$5:$F$124,MATCH(E209,Precios!$A$5:$A$124,0))+IF(F209="Sí",Precios!$Q$10,0)),"falta $ tela"))</f>
        <v/>
      </c>
      <c r="H209" s="32" t="str">
        <f aca="false">IF(A209="","",A209&amp;"|"&amp;COUNTIF($A$5:A209,A209))</f>
        <v>51 · BKINSHMUJRE|1</v>
      </c>
    </row>
    <row r="210" customFormat="false" ht="15" hidden="false" customHeight="false" outlineLevel="0" collapsed="false">
      <c r="A210" s="28" t="s">
        <v>146</v>
      </c>
      <c r="B210" s="28" t="s">
        <v>195</v>
      </c>
      <c r="C210" s="28" t="n">
        <v>2</v>
      </c>
      <c r="D210" s="31"/>
      <c r="E210" s="10"/>
      <c r="F210" s="28" t="s">
        <v>177</v>
      </c>
      <c r="G210" s="11" t="str">
        <f aca="false">IF(OR(A210="",N(D210)=0),"",IFERROR(D210*(1+IFERROR(IF(ISNUMBER(INDEX(Moldes!$K$5:$K$154,MATCH(A210,Moldes!$A$5:$A$154,0))),INDEX(Moldes!$K$5:$K$154,MATCH(A210,Moldes!$A$5:$A$154,0)),Precios!$Q$12),Precios!$Q$12))*(INDEX(Precios!$F$5:$F$124,MATCH(E210,Precios!$A$5:$A$124,0))+IF(F210="Sí",Precios!$Q$10,0)),"falta $ tela"))</f>
        <v/>
      </c>
      <c r="H210" s="32" t="str">
        <f aca="false">IF(A210="","",A210&amp;"|"&amp;COUNTIF($A$5:A210,A210))</f>
        <v>51 · BKINSHMUJRE|2</v>
      </c>
    </row>
    <row r="211" customFormat="false" ht="15" hidden="false" customHeight="false" outlineLevel="0" collapsed="false">
      <c r="A211" s="28" t="s">
        <v>146</v>
      </c>
      <c r="B211" s="28" t="s">
        <v>196</v>
      </c>
      <c r="C211" s="28" t="n">
        <v>1</v>
      </c>
      <c r="D211" s="31"/>
      <c r="E211" s="10"/>
      <c r="F211" s="28" t="s">
        <v>177</v>
      </c>
      <c r="G211" s="11" t="str">
        <f aca="false">IF(OR(A211="",N(D211)=0),"",IFERROR(D211*(1+IFERROR(IF(ISNUMBER(INDEX(Moldes!$K$5:$K$154,MATCH(A211,Moldes!$A$5:$A$154,0))),INDEX(Moldes!$K$5:$K$154,MATCH(A211,Moldes!$A$5:$A$154,0)),Precios!$Q$12),Precios!$Q$12))*(INDEX(Precios!$F$5:$F$124,MATCH(E211,Precios!$A$5:$A$124,0))+IF(F211="Sí",Precios!$Q$10,0)),"falta $ tela"))</f>
        <v/>
      </c>
      <c r="H211" s="32" t="str">
        <f aca="false">IF(A211="","",A211&amp;"|"&amp;COUNTIF($A$5:A211,A211))</f>
        <v>51 · BKINSHMUJRE|3</v>
      </c>
    </row>
    <row r="212" customFormat="false" ht="15" hidden="false" customHeight="false" outlineLevel="0" collapsed="false">
      <c r="A212" s="28" t="s">
        <v>146</v>
      </c>
      <c r="B212" s="28" t="s">
        <v>191</v>
      </c>
      <c r="C212" s="28" t="n">
        <v>2</v>
      </c>
      <c r="D212" s="31"/>
      <c r="E212" s="10"/>
      <c r="F212" s="28" t="s">
        <v>177</v>
      </c>
      <c r="G212" s="11" t="str">
        <f aca="false">IF(OR(A212="",N(D212)=0),"",IFERROR(D212*(1+IFERROR(IF(ISNUMBER(INDEX(Moldes!$K$5:$K$154,MATCH(A212,Moldes!$A$5:$A$154,0))),INDEX(Moldes!$K$5:$K$154,MATCH(A212,Moldes!$A$5:$A$154,0)),Precios!$Q$12),Precios!$Q$12))*(INDEX(Precios!$F$5:$F$124,MATCH(E212,Precios!$A$5:$A$124,0))+IF(F212="Sí",Precios!$Q$10,0)),"falta $ tela"))</f>
        <v/>
      </c>
      <c r="H212" s="32" t="str">
        <f aca="false">IF(A212="","",A212&amp;"|"&amp;COUNTIF($A$5:A212,A212))</f>
        <v>51 · BKINSHMUJRE|4</v>
      </c>
    </row>
    <row r="213" customFormat="false" ht="15" hidden="false" customHeight="false" outlineLevel="0" collapsed="false">
      <c r="A213" s="28" t="s">
        <v>146</v>
      </c>
      <c r="B213" s="28" t="s">
        <v>197</v>
      </c>
      <c r="C213" s="28" t="n">
        <v>2</v>
      </c>
      <c r="D213" s="31"/>
      <c r="E213" s="10"/>
      <c r="F213" s="28" t="s">
        <v>177</v>
      </c>
      <c r="G213" s="11" t="str">
        <f aca="false">IF(OR(A213="",N(D213)=0),"",IFERROR(D213*(1+IFERROR(IF(ISNUMBER(INDEX(Moldes!$K$5:$K$154,MATCH(A213,Moldes!$A$5:$A$154,0))),INDEX(Moldes!$K$5:$K$154,MATCH(A213,Moldes!$A$5:$A$154,0)),Precios!$Q$12),Precios!$Q$12))*(INDEX(Precios!$F$5:$F$124,MATCH(E213,Precios!$A$5:$A$124,0))+IF(F213="Sí",Precios!$Q$10,0)),"falta $ tela"))</f>
        <v/>
      </c>
      <c r="H213" s="32" t="str">
        <f aca="false">IF(A213="","",A213&amp;"|"&amp;COUNTIF($A$5:A213,A213))</f>
        <v>51 · BKINSHMUJRE|5</v>
      </c>
    </row>
    <row r="214" customFormat="false" ht="15" hidden="false" customHeight="false" outlineLevel="0" collapsed="false">
      <c r="A214" s="28" t="s">
        <v>146</v>
      </c>
      <c r="B214" s="28" t="s">
        <v>198</v>
      </c>
      <c r="C214" s="28" t="n">
        <v>1</v>
      </c>
      <c r="D214" s="31"/>
      <c r="E214" s="10"/>
      <c r="F214" s="28" t="s">
        <v>177</v>
      </c>
      <c r="G214" s="11" t="str">
        <f aca="false">IF(OR(A214="",N(D214)=0),"",IFERROR(D214*(1+IFERROR(IF(ISNUMBER(INDEX(Moldes!$K$5:$K$154,MATCH(A214,Moldes!$A$5:$A$154,0))),INDEX(Moldes!$K$5:$K$154,MATCH(A214,Moldes!$A$5:$A$154,0)),Precios!$Q$12),Precios!$Q$12))*(INDEX(Precios!$F$5:$F$124,MATCH(E214,Precios!$A$5:$A$124,0))+IF(F214="Sí",Precios!$Q$10,0)),"falta $ tela"))</f>
        <v/>
      </c>
      <c r="H214" s="32" t="str">
        <f aca="false">IF(A214="","",A214&amp;"|"&amp;COUNTIF($A$5:A214,A214))</f>
        <v>51 · BKINSHMUJRE|6</v>
      </c>
    </row>
    <row r="215" customFormat="false" ht="15" hidden="false" customHeight="false" outlineLevel="0" collapsed="false">
      <c r="A215" s="28" t="s">
        <v>148</v>
      </c>
      <c r="B215" s="28" t="s">
        <v>189</v>
      </c>
      <c r="C215" s="28" t="n">
        <v>2</v>
      </c>
      <c r="D215" s="31"/>
      <c r="E215" s="10"/>
      <c r="F215" s="28" t="s">
        <v>177</v>
      </c>
      <c r="G215" s="11" t="str">
        <f aca="false">IF(OR(A215="",N(D215)=0),"",IFERROR(D215*(1+IFERROR(IF(ISNUMBER(INDEX(Moldes!$K$5:$K$154,MATCH(A215,Moldes!$A$5:$A$154,0))),INDEX(Moldes!$K$5:$K$154,MATCH(A215,Moldes!$A$5:$A$154,0)),Precios!$Q$12),Precios!$Q$12))*(INDEX(Precios!$F$5:$F$124,MATCH(E215,Precios!$A$5:$A$124,0))+IF(F215="Sí",Precios!$Q$10,0)),"falta $ tela"))</f>
        <v/>
      </c>
      <c r="H215" s="32" t="str">
        <f aca="false">IF(A215="","",A215&amp;"|"&amp;COUNTIF($A$5:A215,A215))</f>
        <v>52 · BKINSHHOMRE|1</v>
      </c>
    </row>
    <row r="216" customFormat="false" ht="15" hidden="false" customHeight="false" outlineLevel="0" collapsed="false">
      <c r="A216" s="28" t="s">
        <v>148</v>
      </c>
      <c r="B216" s="28" t="s">
        <v>195</v>
      </c>
      <c r="C216" s="28" t="n">
        <v>2</v>
      </c>
      <c r="D216" s="31"/>
      <c r="E216" s="10"/>
      <c r="F216" s="28" t="s">
        <v>177</v>
      </c>
      <c r="G216" s="11" t="str">
        <f aca="false">IF(OR(A216="",N(D216)=0),"",IFERROR(D216*(1+IFERROR(IF(ISNUMBER(INDEX(Moldes!$K$5:$K$154,MATCH(A216,Moldes!$A$5:$A$154,0))),INDEX(Moldes!$K$5:$K$154,MATCH(A216,Moldes!$A$5:$A$154,0)),Precios!$Q$12),Precios!$Q$12))*(INDEX(Precios!$F$5:$F$124,MATCH(E216,Precios!$A$5:$A$124,0))+IF(F216="Sí",Precios!$Q$10,0)),"falta $ tela"))</f>
        <v/>
      </c>
      <c r="H216" s="32" t="str">
        <f aca="false">IF(A216="","",A216&amp;"|"&amp;COUNTIF($A$5:A216,A216))</f>
        <v>52 · BKINSHHOMRE|2</v>
      </c>
    </row>
    <row r="217" customFormat="false" ht="15" hidden="false" customHeight="false" outlineLevel="0" collapsed="false">
      <c r="A217" s="28" t="s">
        <v>148</v>
      </c>
      <c r="B217" s="28" t="s">
        <v>196</v>
      </c>
      <c r="C217" s="28" t="n">
        <v>1</v>
      </c>
      <c r="D217" s="31"/>
      <c r="E217" s="10"/>
      <c r="F217" s="28" t="s">
        <v>177</v>
      </c>
      <c r="G217" s="11" t="str">
        <f aca="false">IF(OR(A217="",N(D217)=0),"",IFERROR(D217*(1+IFERROR(IF(ISNUMBER(INDEX(Moldes!$K$5:$K$154,MATCH(A217,Moldes!$A$5:$A$154,0))),INDEX(Moldes!$K$5:$K$154,MATCH(A217,Moldes!$A$5:$A$154,0)),Precios!$Q$12),Precios!$Q$12))*(INDEX(Precios!$F$5:$F$124,MATCH(E217,Precios!$A$5:$A$124,0))+IF(F217="Sí",Precios!$Q$10,0)),"falta $ tela"))</f>
        <v/>
      </c>
      <c r="H217" s="32" t="str">
        <f aca="false">IF(A217="","",A217&amp;"|"&amp;COUNTIF($A$5:A217,A217))</f>
        <v>52 · BKINSHHOMRE|3</v>
      </c>
    </row>
    <row r="218" customFormat="false" ht="15" hidden="false" customHeight="false" outlineLevel="0" collapsed="false">
      <c r="A218" s="28" t="s">
        <v>148</v>
      </c>
      <c r="B218" s="28" t="s">
        <v>191</v>
      </c>
      <c r="C218" s="28" t="n">
        <v>2</v>
      </c>
      <c r="D218" s="31"/>
      <c r="E218" s="10"/>
      <c r="F218" s="28" t="s">
        <v>177</v>
      </c>
      <c r="G218" s="11" t="str">
        <f aca="false">IF(OR(A218="",N(D218)=0),"",IFERROR(D218*(1+IFERROR(IF(ISNUMBER(INDEX(Moldes!$K$5:$K$154,MATCH(A218,Moldes!$A$5:$A$154,0))),INDEX(Moldes!$K$5:$K$154,MATCH(A218,Moldes!$A$5:$A$154,0)),Precios!$Q$12),Precios!$Q$12))*(INDEX(Precios!$F$5:$F$124,MATCH(E218,Precios!$A$5:$A$124,0))+IF(F218="Sí",Precios!$Q$10,0)),"falta $ tela"))</f>
        <v/>
      </c>
      <c r="H218" s="32" t="str">
        <f aca="false">IF(A218="","",A218&amp;"|"&amp;COUNTIF($A$5:A218,A218))</f>
        <v>52 · BKINSHHOMRE|4</v>
      </c>
    </row>
    <row r="219" customFormat="false" ht="15" hidden="false" customHeight="false" outlineLevel="0" collapsed="false">
      <c r="A219" s="28" t="s">
        <v>148</v>
      </c>
      <c r="B219" s="28" t="s">
        <v>197</v>
      </c>
      <c r="C219" s="28" t="n">
        <v>2</v>
      </c>
      <c r="D219" s="31"/>
      <c r="E219" s="10"/>
      <c r="F219" s="28" t="s">
        <v>177</v>
      </c>
      <c r="G219" s="11" t="str">
        <f aca="false">IF(OR(A219="",N(D219)=0),"",IFERROR(D219*(1+IFERROR(IF(ISNUMBER(INDEX(Moldes!$K$5:$K$154,MATCH(A219,Moldes!$A$5:$A$154,0))),INDEX(Moldes!$K$5:$K$154,MATCH(A219,Moldes!$A$5:$A$154,0)),Precios!$Q$12),Precios!$Q$12))*(INDEX(Precios!$F$5:$F$124,MATCH(E219,Precios!$A$5:$A$124,0))+IF(F219="Sí",Precios!$Q$10,0)),"falta $ tela"))</f>
        <v/>
      </c>
      <c r="H219" s="32" t="str">
        <f aca="false">IF(A219="","",A219&amp;"|"&amp;COUNTIF($A$5:A219,A219))</f>
        <v>52 · BKINSHHOMRE|5</v>
      </c>
    </row>
    <row r="220" customFormat="false" ht="15" hidden="false" customHeight="false" outlineLevel="0" collapsed="false">
      <c r="A220" s="28" t="s">
        <v>148</v>
      </c>
      <c r="B220" s="28" t="s">
        <v>198</v>
      </c>
      <c r="C220" s="28" t="n">
        <v>1</v>
      </c>
      <c r="D220" s="31"/>
      <c r="E220" s="10"/>
      <c r="F220" s="28" t="s">
        <v>177</v>
      </c>
      <c r="G220" s="11" t="str">
        <f aca="false">IF(OR(A220="",N(D220)=0),"",IFERROR(D220*(1+IFERROR(IF(ISNUMBER(INDEX(Moldes!$K$5:$K$154,MATCH(A220,Moldes!$A$5:$A$154,0))),INDEX(Moldes!$K$5:$K$154,MATCH(A220,Moldes!$A$5:$A$154,0)),Precios!$Q$12),Precios!$Q$12))*(INDEX(Precios!$F$5:$F$124,MATCH(E220,Precios!$A$5:$A$124,0))+IF(F220="Sí",Precios!$Q$10,0)),"falta $ tela"))</f>
        <v/>
      </c>
      <c r="H220" s="32" t="str">
        <f aca="false">IF(A220="","",A220&amp;"|"&amp;COUNTIF($A$5:A220,A220))</f>
        <v>52 · BKINSHHOMRE|6</v>
      </c>
    </row>
    <row r="221" customFormat="false" ht="15" hidden="false" customHeight="false" outlineLevel="0" collapsed="false">
      <c r="A221" s="28" t="s">
        <v>149</v>
      </c>
      <c r="B221" s="28" t="s">
        <v>176</v>
      </c>
      <c r="C221" s="28" t="n">
        <v>2</v>
      </c>
      <c r="D221" s="31"/>
      <c r="E221" s="10"/>
      <c r="F221" s="28" t="s">
        <v>177</v>
      </c>
      <c r="G221" s="11" t="str">
        <f aca="false">IF(OR(A221="",N(D221)=0),"",IFERROR(D221*(1+IFERROR(IF(ISNUMBER(INDEX(Moldes!$K$5:$K$154,MATCH(A221,Moldes!$A$5:$A$154,0))),INDEX(Moldes!$K$5:$K$154,MATCH(A221,Moldes!$A$5:$A$154,0)),Precios!$Q$12),Precios!$Q$12))*(INDEX(Precios!$F$5:$F$124,MATCH(E221,Precios!$A$5:$A$124,0))+IF(F221="Sí",Precios!$Q$10,0)),"falta $ tela"))</f>
        <v/>
      </c>
      <c r="H221" s="32" t="str">
        <f aca="false">IF(A221="","",A221&amp;"|"&amp;COUNTIF($A$5:A221,A221))</f>
        <v>53 · BKSHMUJPRO|1</v>
      </c>
    </row>
    <row r="222" customFormat="false" ht="15" hidden="false" customHeight="false" outlineLevel="0" collapsed="false">
      <c r="A222" s="28" t="s">
        <v>149</v>
      </c>
      <c r="B222" s="28" t="s">
        <v>193</v>
      </c>
      <c r="C222" s="28" t="n">
        <v>2</v>
      </c>
      <c r="D222" s="31"/>
      <c r="E222" s="10"/>
      <c r="F222" s="28" t="s">
        <v>177</v>
      </c>
      <c r="G222" s="11" t="str">
        <f aca="false">IF(OR(A222="",N(D222)=0),"",IFERROR(D222*(1+IFERROR(IF(ISNUMBER(INDEX(Moldes!$K$5:$K$154,MATCH(A222,Moldes!$A$5:$A$154,0))),INDEX(Moldes!$K$5:$K$154,MATCH(A222,Moldes!$A$5:$A$154,0)),Precios!$Q$12),Precios!$Q$12))*(INDEX(Precios!$F$5:$F$124,MATCH(E222,Precios!$A$5:$A$124,0))+IF(F222="Sí",Precios!$Q$10,0)),"falta $ tela"))</f>
        <v/>
      </c>
      <c r="H222" s="32" t="str">
        <f aca="false">IF(A222="","",A222&amp;"|"&amp;COUNTIF($A$5:A222,A222))</f>
        <v>53 · BKSHMUJPRO|2</v>
      </c>
    </row>
    <row r="223" customFormat="false" ht="15" hidden="false" customHeight="false" outlineLevel="0" collapsed="false">
      <c r="A223" s="28" t="s">
        <v>149</v>
      </c>
      <c r="B223" s="28" t="s">
        <v>194</v>
      </c>
      <c r="C223" s="28" t="n">
        <v>1</v>
      </c>
      <c r="D223" s="31"/>
      <c r="E223" s="10"/>
      <c r="F223" s="28" t="s">
        <v>177</v>
      </c>
      <c r="G223" s="11" t="str">
        <f aca="false">IF(OR(A223="",N(D223)=0),"",IFERROR(D223*(1+IFERROR(IF(ISNUMBER(INDEX(Moldes!$K$5:$K$154,MATCH(A223,Moldes!$A$5:$A$154,0))),INDEX(Moldes!$K$5:$K$154,MATCH(A223,Moldes!$A$5:$A$154,0)),Precios!$Q$12),Precios!$Q$12))*(INDEX(Precios!$F$5:$F$124,MATCH(E223,Precios!$A$5:$A$124,0))+IF(F223="Sí",Precios!$Q$10,0)),"falta $ tela"))</f>
        <v/>
      </c>
      <c r="H223" s="32" t="str">
        <f aca="false">IF(A223="","",A223&amp;"|"&amp;COUNTIF($A$5:A223,A223))</f>
        <v>53 · BKSHMUJPRO|3</v>
      </c>
    </row>
    <row r="224" customFormat="false" ht="15" hidden="false" customHeight="false" outlineLevel="0" collapsed="false">
      <c r="A224" s="28" t="s">
        <v>149</v>
      </c>
      <c r="B224" s="28" t="s">
        <v>184</v>
      </c>
      <c r="C224" s="28" t="n">
        <v>2</v>
      </c>
      <c r="D224" s="31"/>
      <c r="E224" s="10"/>
      <c r="F224" s="28" t="s">
        <v>177</v>
      </c>
      <c r="G224" s="11" t="str">
        <f aca="false">IF(OR(A224="",N(D224)=0),"",IFERROR(D224*(1+IFERROR(IF(ISNUMBER(INDEX(Moldes!$K$5:$K$154,MATCH(A224,Moldes!$A$5:$A$154,0))),INDEX(Moldes!$K$5:$K$154,MATCH(A224,Moldes!$A$5:$A$154,0)),Precios!$Q$12),Precios!$Q$12))*(INDEX(Precios!$F$5:$F$124,MATCH(E224,Precios!$A$5:$A$124,0))+IF(F224="Sí",Precios!$Q$10,0)),"falta $ tela"))</f>
        <v/>
      </c>
      <c r="H224" s="32" t="str">
        <f aca="false">IF(A224="","",A224&amp;"|"&amp;COUNTIF($A$5:A224,A224))</f>
        <v>53 · BKSHMUJPRO|4</v>
      </c>
    </row>
    <row r="225" customFormat="false" ht="15" hidden="false" customHeight="false" outlineLevel="0" collapsed="false">
      <c r="A225" s="28" t="s">
        <v>152</v>
      </c>
      <c r="B225" s="28" t="s">
        <v>176</v>
      </c>
      <c r="C225" s="28" t="n">
        <v>2</v>
      </c>
      <c r="D225" s="31"/>
      <c r="E225" s="10"/>
      <c r="F225" s="28" t="s">
        <v>177</v>
      </c>
      <c r="G225" s="11" t="str">
        <f aca="false">IF(OR(A225="",N(D225)=0),"",IFERROR(D225*(1+IFERROR(IF(ISNUMBER(INDEX(Moldes!$K$5:$K$154,MATCH(A225,Moldes!$A$5:$A$154,0))),INDEX(Moldes!$K$5:$K$154,MATCH(A225,Moldes!$A$5:$A$154,0)),Precios!$Q$12),Precios!$Q$12))*(INDEX(Precios!$F$5:$F$124,MATCH(E225,Precios!$A$5:$A$124,0))+IF(F225="Sí",Precios!$Q$10,0)),"falta $ tela"))</f>
        <v/>
      </c>
      <c r="H225" s="32" t="str">
        <f aca="false">IF(A225="","",A225&amp;"|"&amp;COUNTIF($A$5:A225,A225))</f>
        <v>54 · BK-SH PRO|1</v>
      </c>
    </row>
    <row r="226" customFormat="false" ht="15" hidden="false" customHeight="false" outlineLevel="0" collapsed="false">
      <c r="A226" s="28" t="s">
        <v>152</v>
      </c>
      <c r="B226" s="28" t="s">
        <v>193</v>
      </c>
      <c r="C226" s="28" t="n">
        <v>2</v>
      </c>
      <c r="D226" s="31"/>
      <c r="E226" s="10"/>
      <c r="F226" s="28" t="s">
        <v>177</v>
      </c>
      <c r="G226" s="11" t="str">
        <f aca="false">IF(OR(A226="",N(D226)=0),"",IFERROR(D226*(1+IFERROR(IF(ISNUMBER(INDEX(Moldes!$K$5:$K$154,MATCH(A226,Moldes!$A$5:$A$154,0))),INDEX(Moldes!$K$5:$K$154,MATCH(A226,Moldes!$A$5:$A$154,0)),Precios!$Q$12),Precios!$Q$12))*(INDEX(Precios!$F$5:$F$124,MATCH(E226,Precios!$A$5:$A$124,0))+IF(F226="Sí",Precios!$Q$10,0)),"falta $ tela"))</f>
        <v/>
      </c>
      <c r="H226" s="32" t="str">
        <f aca="false">IF(A226="","",A226&amp;"|"&amp;COUNTIF($A$5:A226,A226))</f>
        <v>54 · BK-SH PRO|2</v>
      </c>
    </row>
    <row r="227" customFormat="false" ht="15" hidden="false" customHeight="false" outlineLevel="0" collapsed="false">
      <c r="A227" s="28" t="s">
        <v>152</v>
      </c>
      <c r="B227" s="28" t="s">
        <v>194</v>
      </c>
      <c r="C227" s="28" t="n">
        <v>1</v>
      </c>
      <c r="D227" s="31"/>
      <c r="E227" s="10"/>
      <c r="F227" s="28" t="s">
        <v>177</v>
      </c>
      <c r="G227" s="11" t="str">
        <f aca="false">IF(OR(A227="",N(D227)=0),"",IFERROR(D227*(1+IFERROR(IF(ISNUMBER(INDEX(Moldes!$K$5:$K$154,MATCH(A227,Moldes!$A$5:$A$154,0))),INDEX(Moldes!$K$5:$K$154,MATCH(A227,Moldes!$A$5:$A$154,0)),Precios!$Q$12),Precios!$Q$12))*(INDEX(Precios!$F$5:$F$124,MATCH(E227,Precios!$A$5:$A$124,0))+IF(F227="Sí",Precios!$Q$10,0)),"falta $ tela"))</f>
        <v/>
      </c>
      <c r="H227" s="32" t="str">
        <f aca="false">IF(A227="","",A227&amp;"|"&amp;COUNTIF($A$5:A227,A227))</f>
        <v>54 · BK-SH PRO|3</v>
      </c>
    </row>
    <row r="228" customFormat="false" ht="15" hidden="false" customHeight="false" outlineLevel="0" collapsed="false">
      <c r="A228" s="28" t="s">
        <v>152</v>
      </c>
      <c r="B228" s="28" t="s">
        <v>184</v>
      </c>
      <c r="C228" s="28" t="n">
        <v>2</v>
      </c>
      <c r="D228" s="31"/>
      <c r="E228" s="10"/>
      <c r="F228" s="28" t="s">
        <v>177</v>
      </c>
      <c r="G228" s="11" t="str">
        <f aca="false">IF(OR(A228="",N(D228)=0),"",IFERROR(D228*(1+IFERROR(IF(ISNUMBER(INDEX(Moldes!$K$5:$K$154,MATCH(A228,Moldes!$A$5:$A$154,0))),INDEX(Moldes!$K$5:$K$154,MATCH(A228,Moldes!$A$5:$A$154,0)),Precios!$Q$12),Precios!$Q$12))*(INDEX(Precios!$F$5:$F$124,MATCH(E228,Precios!$A$5:$A$124,0))+IF(F228="Sí",Precios!$Q$10,0)),"falta $ tela"))</f>
        <v/>
      </c>
      <c r="H228" s="32" t="str">
        <f aca="false">IF(A228="","",A228&amp;"|"&amp;COUNTIF($A$5:A228,A228))</f>
        <v>54 · BK-SH PRO|4</v>
      </c>
    </row>
    <row r="229" customFormat="false" ht="15" hidden="false" customHeight="false" outlineLevel="0" collapsed="false">
      <c r="A229" s="28" t="s">
        <v>153</v>
      </c>
      <c r="B229" s="28" t="s">
        <v>176</v>
      </c>
      <c r="C229" s="28" t="n">
        <v>2</v>
      </c>
      <c r="D229" s="31"/>
      <c r="E229" s="10" t="s">
        <v>181</v>
      </c>
      <c r="F229" s="28" t="s">
        <v>177</v>
      </c>
      <c r="G229" s="11" t="str">
        <f aca="false">IF(OR(A229="",N(D229)=0),"",IFERROR(D229*(1+IFERROR(IF(ISNUMBER(INDEX(Moldes!$K$5:$K$154,MATCH(A229,Moldes!$A$5:$A$154,0))),INDEX(Moldes!$K$5:$K$154,MATCH(A229,Moldes!$A$5:$A$154,0)),Precios!$Q$12),Precios!$Q$12))*(INDEX(Precios!$F$5:$F$124,MATCH(E229,Precios!$A$5:$A$124,0))+IF(F229="Sí",Precios!$Q$10,0)),"falta $ tela"))</f>
        <v/>
      </c>
      <c r="H229" s="32" t="str">
        <f aca="false">IF(A229="","",A229&amp;"|"&amp;COUNTIF($A$5:A229,A229))</f>
        <v>SM-01 · Short Fútbol|1</v>
      </c>
    </row>
    <row r="230" customFormat="false" ht="15" hidden="false" customHeight="false" outlineLevel="0" collapsed="false">
      <c r="A230" s="28" t="s">
        <v>153</v>
      </c>
      <c r="B230" s="28" t="s">
        <v>193</v>
      </c>
      <c r="C230" s="28" t="n">
        <v>2</v>
      </c>
      <c r="D230" s="31"/>
      <c r="E230" s="10" t="s">
        <v>181</v>
      </c>
      <c r="F230" s="28" t="s">
        <v>177</v>
      </c>
      <c r="G230" s="11" t="str">
        <f aca="false">IF(OR(A230="",N(D230)=0),"",IFERROR(D230*(1+IFERROR(IF(ISNUMBER(INDEX(Moldes!$K$5:$K$154,MATCH(A230,Moldes!$A$5:$A$154,0))),INDEX(Moldes!$K$5:$K$154,MATCH(A230,Moldes!$A$5:$A$154,0)),Precios!$Q$12),Precios!$Q$12))*(INDEX(Precios!$F$5:$F$124,MATCH(E230,Precios!$A$5:$A$124,0))+IF(F230="Sí",Precios!$Q$10,0)),"falta $ tela"))</f>
        <v/>
      </c>
      <c r="H230" s="32" t="str">
        <f aca="false">IF(A230="","",A230&amp;"|"&amp;COUNTIF($A$5:A230,A230))</f>
        <v>SM-01 · Short Fútbol|2</v>
      </c>
    </row>
    <row r="231" customFormat="false" ht="15" hidden="false" customHeight="false" outlineLevel="0" collapsed="false">
      <c r="A231" s="28" t="s">
        <v>153</v>
      </c>
      <c r="B231" s="28" t="s">
        <v>194</v>
      </c>
      <c r="C231" s="28" t="n">
        <v>1</v>
      </c>
      <c r="D231" s="31"/>
      <c r="E231" s="10" t="s">
        <v>181</v>
      </c>
      <c r="F231" s="28" t="s">
        <v>177</v>
      </c>
      <c r="G231" s="11" t="str">
        <f aca="false">IF(OR(A231="",N(D231)=0),"",IFERROR(D231*(1+IFERROR(IF(ISNUMBER(INDEX(Moldes!$K$5:$K$154,MATCH(A231,Moldes!$A$5:$A$154,0))),INDEX(Moldes!$K$5:$K$154,MATCH(A231,Moldes!$A$5:$A$154,0)),Precios!$Q$12),Precios!$Q$12))*(INDEX(Precios!$F$5:$F$124,MATCH(E231,Precios!$A$5:$A$124,0))+IF(F231="Sí",Precios!$Q$10,0)),"falta $ tela"))</f>
        <v/>
      </c>
      <c r="H231" s="32" t="str">
        <f aca="false">IF(A231="","",A231&amp;"|"&amp;COUNTIF($A$5:A231,A231))</f>
        <v>SM-01 · Short Fútbol|3</v>
      </c>
    </row>
    <row r="232" customFormat="false" ht="15" hidden="false" customHeight="false" outlineLevel="0" collapsed="false">
      <c r="A232" s="28" t="s">
        <v>157</v>
      </c>
      <c r="B232" s="28" t="s">
        <v>176</v>
      </c>
      <c r="C232" s="28" t="n">
        <v>2</v>
      </c>
      <c r="D232" s="31"/>
      <c r="E232" s="10" t="s">
        <v>199</v>
      </c>
      <c r="F232" s="28" t="s">
        <v>200</v>
      </c>
      <c r="G232" s="11" t="str">
        <f aca="false">IF(OR(A232="",N(D232)=0),"",IFERROR(D232*(1+IFERROR(IF(ISNUMBER(INDEX(Moldes!$K$5:$K$154,MATCH(A232,Moldes!$A$5:$A$154,0))),INDEX(Moldes!$K$5:$K$154,MATCH(A232,Moldes!$A$5:$A$154,0)),Precios!$Q$12),Precios!$Q$12))*(INDEX(Precios!$F$5:$F$124,MATCH(E232,Precios!$A$5:$A$124,0))+IF(F232="Sí",Precios!$Q$10,0)),"falta $ tela"))</f>
        <v/>
      </c>
      <c r="H232" s="32" t="str">
        <f aca="false">IF(A232="","",A232&amp;"|"&amp;COUNTIF($A$5:A232,A232))</f>
        <v>SM-02 · Short Rugby|1</v>
      </c>
    </row>
    <row r="233" customFormat="false" ht="15" hidden="false" customHeight="false" outlineLevel="0" collapsed="false">
      <c r="A233" s="28" t="s">
        <v>157</v>
      </c>
      <c r="B233" s="28" t="s">
        <v>193</v>
      </c>
      <c r="C233" s="28" t="n">
        <v>2</v>
      </c>
      <c r="D233" s="31"/>
      <c r="E233" s="10" t="s">
        <v>199</v>
      </c>
      <c r="F233" s="28" t="s">
        <v>200</v>
      </c>
      <c r="G233" s="11" t="str">
        <f aca="false">IF(OR(A233="",N(D233)=0),"",IFERROR(D233*(1+IFERROR(IF(ISNUMBER(INDEX(Moldes!$K$5:$K$154,MATCH(A233,Moldes!$A$5:$A$154,0))),INDEX(Moldes!$K$5:$K$154,MATCH(A233,Moldes!$A$5:$A$154,0)),Precios!$Q$12),Precios!$Q$12))*(INDEX(Precios!$F$5:$F$124,MATCH(E233,Precios!$A$5:$A$124,0))+IF(F233="Sí",Precios!$Q$10,0)),"falta $ tela"))</f>
        <v/>
      </c>
      <c r="H233" s="32" t="str">
        <f aca="false">IF(A233="","",A233&amp;"|"&amp;COUNTIF($A$5:A233,A233))</f>
        <v>SM-02 · Short Rugby|2</v>
      </c>
    </row>
    <row r="234" customFormat="false" ht="15" hidden="false" customHeight="false" outlineLevel="0" collapsed="false">
      <c r="A234" s="28" t="s">
        <v>157</v>
      </c>
      <c r="B234" s="28" t="s">
        <v>194</v>
      </c>
      <c r="C234" s="28" t="n">
        <v>1</v>
      </c>
      <c r="D234" s="31"/>
      <c r="E234" s="10" t="s">
        <v>199</v>
      </c>
      <c r="F234" s="28" t="s">
        <v>200</v>
      </c>
      <c r="G234" s="11" t="str">
        <f aca="false">IF(OR(A234="",N(D234)=0),"",IFERROR(D234*(1+IFERROR(IF(ISNUMBER(INDEX(Moldes!$K$5:$K$154,MATCH(A234,Moldes!$A$5:$A$154,0))),INDEX(Moldes!$K$5:$K$154,MATCH(A234,Moldes!$A$5:$A$154,0)),Precios!$Q$12),Precios!$Q$12))*(INDEX(Precios!$F$5:$F$124,MATCH(E234,Precios!$A$5:$A$124,0))+IF(F234="Sí",Precios!$Q$10,0)),"falta $ tela"))</f>
        <v/>
      </c>
      <c r="H234" s="32" t="str">
        <f aca="false">IF(A234="","",A234&amp;"|"&amp;COUNTIF($A$5:A234,A234))</f>
        <v>SM-02 · Short Rugby|3</v>
      </c>
    </row>
    <row r="235" customFormat="false" ht="15" hidden="false" customHeight="false" outlineLevel="0" collapsed="false">
      <c r="A235" s="28" t="s">
        <v>161</v>
      </c>
      <c r="B235" s="28" t="s">
        <v>176</v>
      </c>
      <c r="C235" s="28" t="n">
        <v>1</v>
      </c>
      <c r="D235" s="31"/>
      <c r="E235" s="10" t="s">
        <v>201</v>
      </c>
      <c r="F235" s="28" t="s">
        <v>177</v>
      </c>
      <c r="G235" s="11" t="str">
        <f aca="false">IF(OR(A235="",N(D235)=0),"",IFERROR(D235*(1+IFERROR(IF(ISNUMBER(INDEX(Moldes!$K$5:$K$154,MATCH(A235,Moldes!$A$5:$A$154,0))),INDEX(Moldes!$K$5:$K$154,MATCH(A235,Moldes!$A$5:$A$154,0)),Precios!$Q$12),Precios!$Q$12))*(INDEX(Precios!$F$5:$F$124,MATCH(E235,Precios!$A$5:$A$124,0))+IF(F235="Sí",Precios!$Q$10,0)),"falta $ tela"))</f>
        <v/>
      </c>
      <c r="H235" s="32" t="str">
        <f aca="false">IF(A235="","",A235&amp;"|"&amp;COUNTIF($A$5:A235,A235))</f>
        <v>SM-03 · Camiseta Running s/m|1</v>
      </c>
    </row>
    <row r="236" customFormat="false" ht="15" hidden="false" customHeight="false" outlineLevel="0" collapsed="false">
      <c r="A236" s="28" t="s">
        <v>161</v>
      </c>
      <c r="B236" s="28" t="s">
        <v>178</v>
      </c>
      <c r="C236" s="28" t="n">
        <v>1</v>
      </c>
      <c r="D236" s="31"/>
      <c r="E236" s="10" t="s">
        <v>201</v>
      </c>
      <c r="F236" s="28" t="s">
        <v>177</v>
      </c>
      <c r="G236" s="11" t="str">
        <f aca="false">IF(OR(A236="",N(D236)=0),"",IFERROR(D236*(1+IFERROR(IF(ISNUMBER(INDEX(Moldes!$K$5:$K$154,MATCH(A236,Moldes!$A$5:$A$154,0))),INDEX(Moldes!$K$5:$K$154,MATCH(A236,Moldes!$A$5:$A$154,0)),Precios!$Q$12),Precios!$Q$12))*(INDEX(Precios!$F$5:$F$124,MATCH(E236,Precios!$A$5:$A$124,0))+IF(F236="Sí",Precios!$Q$10,0)),"falta $ tela"))</f>
        <v/>
      </c>
      <c r="H236" s="32" t="str">
        <f aca="false">IF(A236="","",A236&amp;"|"&amp;COUNTIF($A$5:A236,A236))</f>
        <v>SM-03 · Camiseta Running s/m|2</v>
      </c>
    </row>
    <row r="237" customFormat="false" ht="15" hidden="false" customHeight="false" outlineLevel="0" collapsed="false">
      <c r="A237" s="28" t="s">
        <v>161</v>
      </c>
      <c r="B237" s="28" t="s">
        <v>187</v>
      </c>
      <c r="C237" s="28" t="n">
        <v>1</v>
      </c>
      <c r="D237" s="31"/>
      <c r="E237" s="10" t="s">
        <v>201</v>
      </c>
      <c r="F237" s="28" t="s">
        <v>177</v>
      </c>
      <c r="G237" s="11" t="str">
        <f aca="false">IF(OR(A237="",N(D237)=0),"",IFERROR(D237*(1+IFERROR(IF(ISNUMBER(INDEX(Moldes!$K$5:$K$154,MATCH(A237,Moldes!$A$5:$A$154,0))),INDEX(Moldes!$K$5:$K$154,MATCH(A237,Moldes!$A$5:$A$154,0)),Precios!$Q$12),Precios!$Q$12))*(INDEX(Precios!$F$5:$F$124,MATCH(E237,Precios!$A$5:$A$124,0))+IF(F237="Sí",Precios!$Q$10,0)),"falta $ tela"))</f>
        <v/>
      </c>
      <c r="H237" s="32" t="str">
        <f aca="false">IF(A237="","",A237&amp;"|"&amp;COUNTIF($A$5:A237,A237))</f>
        <v>SM-03 · Camiseta Running s/m|3</v>
      </c>
    </row>
    <row r="238" customFormat="false" ht="15" hidden="false" customHeight="false" outlineLevel="0" collapsed="false">
      <c r="A238" s="28" t="s">
        <v>165</v>
      </c>
      <c r="B238" s="28" t="s">
        <v>202</v>
      </c>
      <c r="C238" s="28" t="n">
        <v>2</v>
      </c>
      <c r="D238" s="31"/>
      <c r="E238" s="10" t="s">
        <v>203</v>
      </c>
      <c r="F238" s="28" t="s">
        <v>200</v>
      </c>
      <c r="G238" s="11" t="str">
        <f aca="false">IF(OR(A238="",N(D238)=0),"",IFERROR(D238*(1+IFERROR(IF(ISNUMBER(INDEX(Moldes!$K$5:$K$154,MATCH(A238,Moldes!$A$5:$A$154,0))),INDEX(Moldes!$K$5:$K$154,MATCH(A238,Moldes!$A$5:$A$154,0)),Precios!$Q$12),Precios!$Q$12))*(INDEX(Precios!$F$5:$F$124,MATCH(E238,Precios!$A$5:$A$124,0))+IF(F238="Sí",Precios!$Q$10,0)),"falta $ tela"))</f>
        <v/>
      </c>
      <c r="H238" s="32" t="str">
        <f aca="false">IF(A238="","",A238&amp;"|"&amp;COUNTIF($A$5:A238,A238))</f>
        <v>SM-04 · Calza Vóley|1</v>
      </c>
    </row>
    <row r="239" customFormat="false" ht="15" hidden="false" customHeight="false" outlineLevel="0" collapsed="false">
      <c r="A239" s="28" t="s">
        <v>165</v>
      </c>
      <c r="B239" s="28" t="s">
        <v>194</v>
      </c>
      <c r="C239" s="28" t="n">
        <v>1</v>
      </c>
      <c r="D239" s="31"/>
      <c r="E239" s="10" t="s">
        <v>203</v>
      </c>
      <c r="F239" s="28" t="s">
        <v>200</v>
      </c>
      <c r="G239" s="11" t="str">
        <f aca="false">IF(OR(A239="",N(D239)=0),"",IFERROR(D239*(1+IFERROR(IF(ISNUMBER(INDEX(Moldes!$K$5:$K$154,MATCH(A239,Moldes!$A$5:$A$154,0))),INDEX(Moldes!$K$5:$K$154,MATCH(A239,Moldes!$A$5:$A$154,0)),Precios!$Q$12),Precios!$Q$12))*(INDEX(Precios!$F$5:$F$124,MATCH(E239,Precios!$A$5:$A$124,0))+IF(F239="Sí",Precios!$Q$10,0)),"falta $ tela"))</f>
        <v/>
      </c>
      <c r="H239" s="32" t="str">
        <f aca="false">IF(A239="","",A239&amp;"|"&amp;COUNTIF($A$5:A239,A239))</f>
        <v>SM-04 · Calza Vóley|2</v>
      </c>
    </row>
    <row r="240" customFormat="false" ht="15" hidden="false" customHeight="false" outlineLevel="0" collapsed="false">
      <c r="A240" s="28"/>
      <c r="B240" s="28"/>
      <c r="C240" s="28"/>
      <c r="D240" s="31"/>
      <c r="E240" s="10"/>
      <c r="F240" s="28"/>
      <c r="G240" s="11" t="str">
        <f aca="false">IF(OR(A240="",N(D240)=0),"",IFERROR(D240*(1+IFERROR(IF(ISNUMBER(INDEX(Moldes!$K$5:$K$154,MATCH(A240,Moldes!$A$5:$A$154,0))),INDEX(Moldes!$K$5:$K$154,MATCH(A240,Moldes!$A$5:$A$154,0)),Precios!$Q$12),Precios!$Q$12))*(INDEX(Precios!$F$5:$F$124,MATCH(E240,Precios!$A$5:$A$124,0))+IF(F240="Sí",Precios!$Q$10,0)),"falta $ tela"))</f>
        <v/>
      </c>
      <c r="H240" s="32" t="str">
        <f aca="false">IF(A240="","",A240&amp;"|"&amp;COUNTIF($A$5:A240,A240))</f>
        <v/>
      </c>
    </row>
    <row r="241" customFormat="false" ht="15" hidden="false" customHeight="false" outlineLevel="0" collapsed="false">
      <c r="A241" s="28"/>
      <c r="B241" s="28"/>
      <c r="C241" s="28"/>
      <c r="D241" s="31"/>
      <c r="E241" s="10"/>
      <c r="F241" s="28"/>
      <c r="G241" s="11" t="str">
        <f aca="false">IF(OR(A241="",N(D241)=0),"",IFERROR(D241*(1+IFERROR(IF(ISNUMBER(INDEX(Moldes!$K$5:$K$154,MATCH(A241,Moldes!$A$5:$A$154,0))),INDEX(Moldes!$K$5:$K$154,MATCH(A241,Moldes!$A$5:$A$154,0)),Precios!$Q$12),Precios!$Q$12))*(INDEX(Precios!$F$5:$F$124,MATCH(E241,Precios!$A$5:$A$124,0))+IF(F241="Sí",Precios!$Q$10,0)),"falta $ tela"))</f>
        <v/>
      </c>
      <c r="H241" s="32" t="str">
        <f aca="false">IF(A241="","",A241&amp;"|"&amp;COUNTIF($A$5:A241,A241))</f>
        <v/>
      </c>
    </row>
    <row r="242" customFormat="false" ht="15" hidden="false" customHeight="false" outlineLevel="0" collapsed="false">
      <c r="A242" s="28"/>
      <c r="B242" s="28"/>
      <c r="C242" s="28"/>
      <c r="D242" s="31"/>
      <c r="E242" s="10"/>
      <c r="F242" s="28"/>
      <c r="G242" s="11" t="str">
        <f aca="false">IF(OR(A242="",N(D242)=0),"",IFERROR(D242*(1+IFERROR(IF(ISNUMBER(INDEX(Moldes!$K$5:$K$154,MATCH(A242,Moldes!$A$5:$A$154,0))),INDEX(Moldes!$K$5:$K$154,MATCH(A242,Moldes!$A$5:$A$154,0)),Precios!$Q$12),Precios!$Q$12))*(INDEX(Precios!$F$5:$F$124,MATCH(E242,Precios!$A$5:$A$124,0))+IF(F242="Sí",Precios!$Q$10,0)),"falta $ tela"))</f>
        <v/>
      </c>
      <c r="H242" s="32" t="str">
        <f aca="false">IF(A242="","",A242&amp;"|"&amp;COUNTIF($A$5:A242,A242))</f>
        <v/>
      </c>
    </row>
    <row r="243" customFormat="false" ht="15" hidden="false" customHeight="false" outlineLevel="0" collapsed="false">
      <c r="A243" s="28"/>
      <c r="B243" s="28"/>
      <c r="C243" s="28"/>
      <c r="D243" s="31"/>
      <c r="E243" s="10"/>
      <c r="F243" s="28"/>
      <c r="G243" s="11" t="str">
        <f aca="false">IF(OR(A243="",N(D243)=0),"",IFERROR(D243*(1+IFERROR(IF(ISNUMBER(INDEX(Moldes!$K$5:$K$154,MATCH(A243,Moldes!$A$5:$A$154,0))),INDEX(Moldes!$K$5:$K$154,MATCH(A243,Moldes!$A$5:$A$154,0)),Precios!$Q$12),Precios!$Q$12))*(INDEX(Precios!$F$5:$F$124,MATCH(E243,Precios!$A$5:$A$124,0))+IF(F243="Sí",Precios!$Q$10,0)),"falta $ tela"))</f>
        <v/>
      </c>
      <c r="H243" s="32" t="str">
        <f aca="false">IF(A243="","",A243&amp;"|"&amp;COUNTIF($A$5:A243,A243))</f>
        <v/>
      </c>
    </row>
    <row r="244" customFormat="false" ht="15" hidden="false" customHeight="false" outlineLevel="0" collapsed="false">
      <c r="A244" s="28"/>
      <c r="B244" s="28"/>
      <c r="C244" s="28"/>
      <c r="D244" s="31"/>
      <c r="E244" s="10"/>
      <c r="F244" s="28"/>
      <c r="G244" s="11" t="str">
        <f aca="false">IF(OR(A244="",N(D244)=0),"",IFERROR(D244*(1+IFERROR(IF(ISNUMBER(INDEX(Moldes!$K$5:$K$154,MATCH(A244,Moldes!$A$5:$A$154,0))),INDEX(Moldes!$K$5:$K$154,MATCH(A244,Moldes!$A$5:$A$154,0)),Precios!$Q$12),Precios!$Q$12))*(INDEX(Precios!$F$5:$F$124,MATCH(E244,Precios!$A$5:$A$124,0))+IF(F244="Sí",Precios!$Q$10,0)),"falta $ tela"))</f>
        <v/>
      </c>
      <c r="H244" s="32" t="str">
        <f aca="false">IF(A244="","",A244&amp;"|"&amp;COUNTIF($A$5:A244,A244))</f>
        <v/>
      </c>
    </row>
    <row r="245" customFormat="false" ht="15" hidden="false" customHeight="false" outlineLevel="0" collapsed="false">
      <c r="A245" s="28"/>
      <c r="B245" s="28"/>
      <c r="C245" s="28"/>
      <c r="D245" s="31"/>
      <c r="E245" s="10"/>
      <c r="F245" s="28"/>
      <c r="G245" s="11" t="str">
        <f aca="false">IF(OR(A245="",N(D245)=0),"",IFERROR(D245*(1+IFERROR(IF(ISNUMBER(INDEX(Moldes!$K$5:$K$154,MATCH(A245,Moldes!$A$5:$A$154,0))),INDEX(Moldes!$K$5:$K$154,MATCH(A245,Moldes!$A$5:$A$154,0)),Precios!$Q$12),Precios!$Q$12))*(INDEX(Precios!$F$5:$F$124,MATCH(E245,Precios!$A$5:$A$124,0))+IF(F245="Sí",Precios!$Q$10,0)),"falta $ tela"))</f>
        <v/>
      </c>
      <c r="H245" s="32" t="str">
        <f aca="false">IF(A245="","",A245&amp;"|"&amp;COUNTIF($A$5:A245,A245))</f>
        <v/>
      </c>
    </row>
    <row r="246" customFormat="false" ht="15" hidden="false" customHeight="false" outlineLevel="0" collapsed="false">
      <c r="A246" s="28"/>
      <c r="B246" s="28"/>
      <c r="C246" s="28"/>
      <c r="D246" s="31"/>
      <c r="E246" s="10"/>
      <c r="F246" s="28"/>
      <c r="G246" s="11" t="str">
        <f aca="false">IF(OR(A246="",N(D246)=0),"",IFERROR(D246*(1+IFERROR(IF(ISNUMBER(INDEX(Moldes!$K$5:$K$154,MATCH(A246,Moldes!$A$5:$A$154,0))),INDEX(Moldes!$K$5:$K$154,MATCH(A246,Moldes!$A$5:$A$154,0)),Precios!$Q$12),Precios!$Q$12))*(INDEX(Precios!$F$5:$F$124,MATCH(E246,Precios!$A$5:$A$124,0))+IF(F246="Sí",Precios!$Q$10,0)),"falta $ tela"))</f>
        <v/>
      </c>
      <c r="H246" s="32" t="str">
        <f aca="false">IF(A246="","",A246&amp;"|"&amp;COUNTIF($A$5:A246,A246))</f>
        <v/>
      </c>
    </row>
    <row r="247" customFormat="false" ht="15" hidden="false" customHeight="false" outlineLevel="0" collapsed="false">
      <c r="A247" s="28"/>
      <c r="B247" s="28"/>
      <c r="C247" s="28"/>
      <c r="D247" s="31"/>
      <c r="E247" s="10"/>
      <c r="F247" s="28"/>
      <c r="G247" s="11" t="str">
        <f aca="false">IF(OR(A247="",N(D247)=0),"",IFERROR(D247*(1+IFERROR(IF(ISNUMBER(INDEX(Moldes!$K$5:$K$154,MATCH(A247,Moldes!$A$5:$A$154,0))),INDEX(Moldes!$K$5:$K$154,MATCH(A247,Moldes!$A$5:$A$154,0)),Precios!$Q$12),Precios!$Q$12))*(INDEX(Precios!$F$5:$F$124,MATCH(E247,Precios!$A$5:$A$124,0))+IF(F247="Sí",Precios!$Q$10,0)),"falta $ tela"))</f>
        <v/>
      </c>
      <c r="H247" s="32" t="str">
        <f aca="false">IF(A247="","",A247&amp;"|"&amp;COUNTIF($A$5:A247,A247))</f>
        <v/>
      </c>
    </row>
    <row r="248" customFormat="false" ht="15" hidden="false" customHeight="false" outlineLevel="0" collapsed="false">
      <c r="A248" s="28"/>
      <c r="B248" s="28"/>
      <c r="C248" s="28"/>
      <c r="D248" s="31"/>
      <c r="E248" s="10"/>
      <c r="F248" s="28"/>
      <c r="G248" s="11" t="str">
        <f aca="false">IF(OR(A248="",N(D248)=0),"",IFERROR(D248*(1+IFERROR(IF(ISNUMBER(INDEX(Moldes!$K$5:$K$154,MATCH(A248,Moldes!$A$5:$A$154,0))),INDEX(Moldes!$K$5:$K$154,MATCH(A248,Moldes!$A$5:$A$154,0)),Precios!$Q$12),Precios!$Q$12))*(INDEX(Precios!$F$5:$F$124,MATCH(E248,Precios!$A$5:$A$124,0))+IF(F248="Sí",Precios!$Q$10,0)),"falta $ tela"))</f>
        <v/>
      </c>
      <c r="H248" s="32" t="str">
        <f aca="false">IF(A248="","",A248&amp;"|"&amp;COUNTIF($A$5:A248,A248))</f>
        <v/>
      </c>
    </row>
    <row r="249" customFormat="false" ht="15" hidden="false" customHeight="false" outlineLevel="0" collapsed="false">
      <c r="A249" s="28"/>
      <c r="B249" s="28"/>
      <c r="C249" s="28"/>
      <c r="D249" s="31"/>
      <c r="E249" s="10"/>
      <c r="F249" s="28"/>
      <c r="G249" s="11" t="str">
        <f aca="false">IF(OR(A249="",N(D249)=0),"",IFERROR(D249*(1+IFERROR(IF(ISNUMBER(INDEX(Moldes!$K$5:$K$154,MATCH(A249,Moldes!$A$5:$A$154,0))),INDEX(Moldes!$K$5:$K$154,MATCH(A249,Moldes!$A$5:$A$154,0)),Precios!$Q$12),Precios!$Q$12))*(INDEX(Precios!$F$5:$F$124,MATCH(E249,Precios!$A$5:$A$124,0))+IF(F249="Sí",Precios!$Q$10,0)),"falta $ tela"))</f>
        <v/>
      </c>
      <c r="H249" s="32" t="str">
        <f aca="false">IF(A249="","",A249&amp;"|"&amp;COUNTIF($A$5:A249,A249))</f>
        <v/>
      </c>
    </row>
    <row r="250" customFormat="false" ht="15" hidden="false" customHeight="false" outlineLevel="0" collapsed="false">
      <c r="A250" s="28"/>
      <c r="B250" s="28"/>
      <c r="C250" s="28"/>
      <c r="D250" s="31"/>
      <c r="E250" s="10"/>
      <c r="F250" s="28"/>
      <c r="G250" s="11" t="str">
        <f aca="false">IF(OR(A250="",N(D250)=0),"",IFERROR(D250*(1+IFERROR(IF(ISNUMBER(INDEX(Moldes!$K$5:$K$154,MATCH(A250,Moldes!$A$5:$A$154,0))),INDEX(Moldes!$K$5:$K$154,MATCH(A250,Moldes!$A$5:$A$154,0)),Precios!$Q$12),Precios!$Q$12))*(INDEX(Precios!$F$5:$F$124,MATCH(E250,Precios!$A$5:$A$124,0))+IF(F250="Sí",Precios!$Q$10,0)),"falta $ tela"))</f>
        <v/>
      </c>
      <c r="H250" s="32" t="str">
        <f aca="false">IF(A250="","",A250&amp;"|"&amp;COUNTIF($A$5:A250,A250))</f>
        <v/>
      </c>
    </row>
    <row r="251" customFormat="false" ht="15" hidden="false" customHeight="false" outlineLevel="0" collapsed="false">
      <c r="A251" s="28"/>
      <c r="B251" s="28"/>
      <c r="C251" s="28"/>
      <c r="D251" s="31"/>
      <c r="E251" s="10"/>
      <c r="F251" s="28"/>
      <c r="G251" s="11" t="str">
        <f aca="false">IF(OR(A251="",N(D251)=0),"",IFERROR(D251*(1+IFERROR(IF(ISNUMBER(INDEX(Moldes!$K$5:$K$154,MATCH(A251,Moldes!$A$5:$A$154,0))),INDEX(Moldes!$K$5:$K$154,MATCH(A251,Moldes!$A$5:$A$154,0)),Precios!$Q$12),Precios!$Q$12))*(INDEX(Precios!$F$5:$F$124,MATCH(E251,Precios!$A$5:$A$124,0))+IF(F251="Sí",Precios!$Q$10,0)),"falta $ tela"))</f>
        <v/>
      </c>
      <c r="H251" s="32" t="str">
        <f aca="false">IF(A251="","",A251&amp;"|"&amp;COUNTIF($A$5:A251,A251))</f>
        <v/>
      </c>
    </row>
    <row r="252" customFormat="false" ht="15" hidden="false" customHeight="false" outlineLevel="0" collapsed="false">
      <c r="A252" s="28"/>
      <c r="B252" s="28"/>
      <c r="C252" s="28"/>
      <c r="D252" s="31"/>
      <c r="E252" s="10"/>
      <c r="F252" s="28"/>
      <c r="G252" s="11" t="str">
        <f aca="false">IF(OR(A252="",N(D252)=0),"",IFERROR(D252*(1+IFERROR(IF(ISNUMBER(INDEX(Moldes!$K$5:$K$154,MATCH(A252,Moldes!$A$5:$A$154,0))),INDEX(Moldes!$K$5:$K$154,MATCH(A252,Moldes!$A$5:$A$154,0)),Precios!$Q$12),Precios!$Q$12))*(INDEX(Precios!$F$5:$F$124,MATCH(E252,Precios!$A$5:$A$124,0))+IF(F252="Sí",Precios!$Q$10,0)),"falta $ tela"))</f>
        <v/>
      </c>
      <c r="H252" s="32" t="str">
        <f aca="false">IF(A252="","",A252&amp;"|"&amp;COUNTIF($A$5:A252,A252))</f>
        <v/>
      </c>
    </row>
    <row r="253" customFormat="false" ht="15" hidden="false" customHeight="false" outlineLevel="0" collapsed="false">
      <c r="A253" s="28"/>
      <c r="B253" s="28"/>
      <c r="C253" s="28"/>
      <c r="D253" s="31"/>
      <c r="E253" s="10"/>
      <c r="F253" s="28"/>
      <c r="G253" s="11" t="str">
        <f aca="false">IF(OR(A253="",N(D253)=0),"",IFERROR(D253*(1+IFERROR(IF(ISNUMBER(INDEX(Moldes!$K$5:$K$154,MATCH(A253,Moldes!$A$5:$A$154,0))),INDEX(Moldes!$K$5:$K$154,MATCH(A253,Moldes!$A$5:$A$154,0)),Precios!$Q$12),Precios!$Q$12))*(INDEX(Precios!$F$5:$F$124,MATCH(E253,Precios!$A$5:$A$124,0))+IF(F253="Sí",Precios!$Q$10,0)),"falta $ tela"))</f>
        <v/>
      </c>
      <c r="H253" s="32" t="str">
        <f aca="false">IF(A253="","",A253&amp;"|"&amp;COUNTIF($A$5:A253,A253))</f>
        <v/>
      </c>
    </row>
    <row r="254" customFormat="false" ht="15" hidden="false" customHeight="false" outlineLevel="0" collapsed="false">
      <c r="A254" s="28"/>
      <c r="B254" s="28"/>
      <c r="C254" s="28"/>
      <c r="D254" s="31"/>
      <c r="E254" s="10"/>
      <c r="F254" s="28"/>
      <c r="G254" s="11" t="str">
        <f aca="false">IF(OR(A254="",N(D254)=0),"",IFERROR(D254*(1+IFERROR(IF(ISNUMBER(INDEX(Moldes!$K$5:$K$154,MATCH(A254,Moldes!$A$5:$A$154,0))),INDEX(Moldes!$K$5:$K$154,MATCH(A254,Moldes!$A$5:$A$154,0)),Precios!$Q$12),Precios!$Q$12))*(INDEX(Precios!$F$5:$F$124,MATCH(E254,Precios!$A$5:$A$124,0))+IF(F254="Sí",Precios!$Q$10,0)),"falta $ tela"))</f>
        <v/>
      </c>
      <c r="H254" s="32" t="str">
        <f aca="false">IF(A254="","",A254&amp;"|"&amp;COUNTIF($A$5:A254,A254))</f>
        <v/>
      </c>
    </row>
    <row r="255" customFormat="false" ht="15" hidden="false" customHeight="false" outlineLevel="0" collapsed="false">
      <c r="A255" s="28"/>
      <c r="B255" s="28"/>
      <c r="C255" s="28"/>
      <c r="D255" s="31"/>
      <c r="E255" s="10"/>
      <c r="F255" s="28"/>
      <c r="G255" s="11" t="str">
        <f aca="false">IF(OR(A255="",N(D255)=0),"",IFERROR(D255*(1+IFERROR(IF(ISNUMBER(INDEX(Moldes!$K$5:$K$154,MATCH(A255,Moldes!$A$5:$A$154,0))),INDEX(Moldes!$K$5:$K$154,MATCH(A255,Moldes!$A$5:$A$154,0)),Precios!$Q$12),Precios!$Q$12))*(INDEX(Precios!$F$5:$F$124,MATCH(E255,Precios!$A$5:$A$124,0))+IF(F255="Sí",Precios!$Q$10,0)),"falta $ tela"))</f>
        <v/>
      </c>
      <c r="H255" s="32" t="str">
        <f aca="false">IF(A255="","",A255&amp;"|"&amp;COUNTIF($A$5:A255,A255))</f>
        <v/>
      </c>
    </row>
    <row r="256" customFormat="false" ht="15" hidden="false" customHeight="false" outlineLevel="0" collapsed="false">
      <c r="A256" s="28"/>
      <c r="B256" s="28"/>
      <c r="C256" s="28"/>
      <c r="D256" s="31"/>
      <c r="E256" s="10"/>
      <c r="F256" s="28"/>
      <c r="G256" s="11" t="str">
        <f aca="false">IF(OR(A256="",N(D256)=0),"",IFERROR(D256*(1+IFERROR(IF(ISNUMBER(INDEX(Moldes!$K$5:$K$154,MATCH(A256,Moldes!$A$5:$A$154,0))),INDEX(Moldes!$K$5:$K$154,MATCH(A256,Moldes!$A$5:$A$154,0)),Precios!$Q$12),Precios!$Q$12))*(INDEX(Precios!$F$5:$F$124,MATCH(E256,Precios!$A$5:$A$124,0))+IF(F256="Sí",Precios!$Q$10,0)),"falta $ tela"))</f>
        <v/>
      </c>
      <c r="H256" s="32" t="str">
        <f aca="false">IF(A256="","",A256&amp;"|"&amp;COUNTIF($A$5:A256,A256))</f>
        <v/>
      </c>
    </row>
    <row r="257" customFormat="false" ht="15" hidden="false" customHeight="false" outlineLevel="0" collapsed="false">
      <c r="A257" s="28"/>
      <c r="B257" s="28"/>
      <c r="C257" s="28"/>
      <c r="D257" s="31"/>
      <c r="E257" s="10"/>
      <c r="F257" s="28"/>
      <c r="G257" s="11" t="str">
        <f aca="false">IF(OR(A257="",N(D257)=0),"",IFERROR(D257*(1+IFERROR(IF(ISNUMBER(INDEX(Moldes!$K$5:$K$154,MATCH(A257,Moldes!$A$5:$A$154,0))),INDEX(Moldes!$K$5:$K$154,MATCH(A257,Moldes!$A$5:$A$154,0)),Precios!$Q$12),Precios!$Q$12))*(INDEX(Precios!$F$5:$F$124,MATCH(E257,Precios!$A$5:$A$124,0))+IF(F257="Sí",Precios!$Q$10,0)),"falta $ tela"))</f>
        <v/>
      </c>
      <c r="H257" s="32" t="str">
        <f aca="false">IF(A257="","",A257&amp;"|"&amp;COUNTIF($A$5:A257,A257))</f>
        <v/>
      </c>
    </row>
    <row r="258" customFormat="false" ht="15" hidden="false" customHeight="false" outlineLevel="0" collapsed="false">
      <c r="A258" s="28"/>
      <c r="B258" s="28"/>
      <c r="C258" s="28"/>
      <c r="D258" s="31"/>
      <c r="E258" s="10"/>
      <c r="F258" s="28"/>
      <c r="G258" s="11" t="str">
        <f aca="false">IF(OR(A258="",N(D258)=0),"",IFERROR(D258*(1+IFERROR(IF(ISNUMBER(INDEX(Moldes!$K$5:$K$154,MATCH(A258,Moldes!$A$5:$A$154,0))),INDEX(Moldes!$K$5:$K$154,MATCH(A258,Moldes!$A$5:$A$154,0)),Precios!$Q$12),Precios!$Q$12))*(INDEX(Precios!$F$5:$F$124,MATCH(E258,Precios!$A$5:$A$124,0))+IF(F258="Sí",Precios!$Q$10,0)),"falta $ tela"))</f>
        <v/>
      </c>
      <c r="H258" s="32" t="str">
        <f aca="false">IF(A258="","",A258&amp;"|"&amp;COUNTIF($A$5:A258,A258))</f>
        <v/>
      </c>
    </row>
    <row r="259" customFormat="false" ht="15" hidden="false" customHeight="false" outlineLevel="0" collapsed="false">
      <c r="A259" s="28"/>
      <c r="B259" s="28"/>
      <c r="C259" s="28"/>
      <c r="D259" s="31"/>
      <c r="E259" s="10"/>
      <c r="F259" s="28"/>
      <c r="G259" s="11" t="str">
        <f aca="false">IF(OR(A259="",N(D259)=0),"",IFERROR(D259*(1+IFERROR(IF(ISNUMBER(INDEX(Moldes!$K$5:$K$154,MATCH(A259,Moldes!$A$5:$A$154,0))),INDEX(Moldes!$K$5:$K$154,MATCH(A259,Moldes!$A$5:$A$154,0)),Precios!$Q$12),Precios!$Q$12))*(INDEX(Precios!$F$5:$F$124,MATCH(E259,Precios!$A$5:$A$124,0))+IF(F259="Sí",Precios!$Q$10,0)),"falta $ tela"))</f>
        <v/>
      </c>
      <c r="H259" s="32" t="str">
        <f aca="false">IF(A259="","",A259&amp;"|"&amp;COUNTIF($A$5:A259,A259))</f>
        <v/>
      </c>
    </row>
    <row r="260" customFormat="false" ht="15" hidden="false" customHeight="false" outlineLevel="0" collapsed="false">
      <c r="A260" s="28"/>
      <c r="B260" s="28"/>
      <c r="C260" s="28"/>
      <c r="D260" s="31"/>
      <c r="E260" s="10"/>
      <c r="F260" s="28"/>
      <c r="G260" s="11" t="str">
        <f aca="false">IF(OR(A260="",N(D260)=0),"",IFERROR(D260*(1+IFERROR(IF(ISNUMBER(INDEX(Moldes!$K$5:$K$154,MATCH(A260,Moldes!$A$5:$A$154,0))),INDEX(Moldes!$K$5:$K$154,MATCH(A260,Moldes!$A$5:$A$154,0)),Precios!$Q$12),Precios!$Q$12))*(INDEX(Precios!$F$5:$F$124,MATCH(E260,Precios!$A$5:$A$124,0))+IF(F260="Sí",Precios!$Q$10,0)),"falta $ tela"))</f>
        <v/>
      </c>
      <c r="H260" s="32" t="str">
        <f aca="false">IF(A260="","",A260&amp;"|"&amp;COUNTIF($A$5:A260,A260))</f>
        <v/>
      </c>
    </row>
    <row r="261" customFormat="false" ht="15" hidden="false" customHeight="false" outlineLevel="0" collapsed="false">
      <c r="A261" s="28"/>
      <c r="B261" s="28"/>
      <c r="C261" s="28"/>
      <c r="D261" s="31"/>
      <c r="E261" s="10"/>
      <c r="F261" s="28"/>
      <c r="G261" s="11" t="str">
        <f aca="false">IF(OR(A261="",N(D261)=0),"",IFERROR(D261*(1+IFERROR(IF(ISNUMBER(INDEX(Moldes!$K$5:$K$154,MATCH(A261,Moldes!$A$5:$A$154,0))),INDEX(Moldes!$K$5:$K$154,MATCH(A261,Moldes!$A$5:$A$154,0)),Precios!$Q$12),Precios!$Q$12))*(INDEX(Precios!$F$5:$F$124,MATCH(E261,Precios!$A$5:$A$124,0))+IF(F261="Sí",Precios!$Q$10,0)),"falta $ tela"))</f>
        <v/>
      </c>
      <c r="H261" s="32" t="str">
        <f aca="false">IF(A261="","",A261&amp;"|"&amp;COUNTIF($A$5:A261,A261))</f>
        <v/>
      </c>
    </row>
    <row r="262" customFormat="false" ht="15" hidden="false" customHeight="false" outlineLevel="0" collapsed="false">
      <c r="A262" s="28"/>
      <c r="B262" s="28"/>
      <c r="C262" s="28"/>
      <c r="D262" s="31"/>
      <c r="E262" s="10"/>
      <c r="F262" s="28"/>
      <c r="G262" s="11" t="str">
        <f aca="false">IF(OR(A262="",N(D262)=0),"",IFERROR(D262*(1+IFERROR(IF(ISNUMBER(INDEX(Moldes!$K$5:$K$154,MATCH(A262,Moldes!$A$5:$A$154,0))),INDEX(Moldes!$K$5:$K$154,MATCH(A262,Moldes!$A$5:$A$154,0)),Precios!$Q$12),Precios!$Q$12))*(INDEX(Precios!$F$5:$F$124,MATCH(E262,Precios!$A$5:$A$124,0))+IF(F262="Sí",Precios!$Q$10,0)),"falta $ tela"))</f>
        <v/>
      </c>
      <c r="H262" s="32" t="str">
        <f aca="false">IF(A262="","",A262&amp;"|"&amp;COUNTIF($A$5:A262,A262))</f>
        <v/>
      </c>
    </row>
    <row r="263" customFormat="false" ht="15" hidden="false" customHeight="false" outlineLevel="0" collapsed="false">
      <c r="A263" s="28"/>
      <c r="B263" s="28"/>
      <c r="C263" s="28"/>
      <c r="D263" s="31"/>
      <c r="E263" s="10"/>
      <c r="F263" s="28"/>
      <c r="G263" s="11" t="str">
        <f aca="false">IF(OR(A263="",N(D263)=0),"",IFERROR(D263*(1+IFERROR(IF(ISNUMBER(INDEX(Moldes!$K$5:$K$154,MATCH(A263,Moldes!$A$5:$A$154,0))),INDEX(Moldes!$K$5:$K$154,MATCH(A263,Moldes!$A$5:$A$154,0)),Precios!$Q$12),Precios!$Q$12))*(INDEX(Precios!$F$5:$F$124,MATCH(E263,Precios!$A$5:$A$124,0))+IF(F263="Sí",Precios!$Q$10,0)),"falta $ tela"))</f>
        <v/>
      </c>
      <c r="H263" s="32" t="str">
        <f aca="false">IF(A263="","",A263&amp;"|"&amp;COUNTIF($A$5:A263,A263))</f>
        <v/>
      </c>
    </row>
    <row r="264" customFormat="false" ht="15" hidden="false" customHeight="false" outlineLevel="0" collapsed="false">
      <c r="A264" s="28"/>
      <c r="B264" s="28"/>
      <c r="C264" s="28"/>
      <c r="D264" s="31"/>
      <c r="E264" s="10"/>
      <c r="F264" s="28"/>
      <c r="G264" s="11" t="str">
        <f aca="false">IF(OR(A264="",N(D264)=0),"",IFERROR(D264*(1+IFERROR(IF(ISNUMBER(INDEX(Moldes!$K$5:$K$154,MATCH(A264,Moldes!$A$5:$A$154,0))),INDEX(Moldes!$K$5:$K$154,MATCH(A264,Moldes!$A$5:$A$154,0)),Precios!$Q$12),Precios!$Q$12))*(INDEX(Precios!$F$5:$F$124,MATCH(E264,Precios!$A$5:$A$124,0))+IF(F264="Sí",Precios!$Q$10,0)),"falta $ tela"))</f>
        <v/>
      </c>
      <c r="H264" s="32" t="str">
        <f aca="false">IF(A264="","",A264&amp;"|"&amp;COUNTIF($A$5:A264,A264))</f>
        <v/>
      </c>
    </row>
    <row r="265" customFormat="false" ht="15" hidden="false" customHeight="false" outlineLevel="0" collapsed="false">
      <c r="A265" s="28"/>
      <c r="B265" s="28"/>
      <c r="C265" s="28"/>
      <c r="D265" s="31"/>
      <c r="E265" s="10"/>
      <c r="F265" s="28"/>
      <c r="G265" s="11" t="str">
        <f aca="false">IF(OR(A265="",N(D265)=0),"",IFERROR(D265*(1+IFERROR(IF(ISNUMBER(INDEX(Moldes!$K$5:$K$154,MATCH(A265,Moldes!$A$5:$A$154,0))),INDEX(Moldes!$K$5:$K$154,MATCH(A265,Moldes!$A$5:$A$154,0)),Precios!$Q$12),Precios!$Q$12))*(INDEX(Precios!$F$5:$F$124,MATCH(E265,Precios!$A$5:$A$124,0))+IF(F265="Sí",Precios!$Q$10,0)),"falta $ tela"))</f>
        <v/>
      </c>
      <c r="H265" s="32" t="str">
        <f aca="false">IF(A265="","",A265&amp;"|"&amp;COUNTIF($A$5:A265,A265))</f>
        <v/>
      </c>
    </row>
    <row r="266" customFormat="false" ht="15" hidden="false" customHeight="false" outlineLevel="0" collapsed="false">
      <c r="A266" s="28"/>
      <c r="B266" s="28"/>
      <c r="C266" s="28"/>
      <c r="D266" s="31"/>
      <c r="E266" s="10"/>
      <c r="F266" s="28"/>
      <c r="G266" s="11" t="str">
        <f aca="false">IF(OR(A266="",N(D266)=0),"",IFERROR(D266*(1+IFERROR(IF(ISNUMBER(INDEX(Moldes!$K$5:$K$154,MATCH(A266,Moldes!$A$5:$A$154,0))),INDEX(Moldes!$K$5:$K$154,MATCH(A266,Moldes!$A$5:$A$154,0)),Precios!$Q$12),Precios!$Q$12))*(INDEX(Precios!$F$5:$F$124,MATCH(E266,Precios!$A$5:$A$124,0))+IF(F266="Sí",Precios!$Q$10,0)),"falta $ tela"))</f>
        <v/>
      </c>
      <c r="H266" s="32" t="str">
        <f aca="false">IF(A266="","",A266&amp;"|"&amp;COUNTIF($A$5:A266,A266))</f>
        <v/>
      </c>
    </row>
    <row r="267" customFormat="false" ht="15" hidden="false" customHeight="false" outlineLevel="0" collapsed="false">
      <c r="A267" s="28"/>
      <c r="B267" s="28"/>
      <c r="C267" s="28"/>
      <c r="D267" s="31"/>
      <c r="E267" s="10"/>
      <c r="F267" s="28"/>
      <c r="G267" s="11" t="str">
        <f aca="false">IF(OR(A267="",N(D267)=0),"",IFERROR(D267*(1+IFERROR(IF(ISNUMBER(INDEX(Moldes!$K$5:$K$154,MATCH(A267,Moldes!$A$5:$A$154,0))),INDEX(Moldes!$K$5:$K$154,MATCH(A267,Moldes!$A$5:$A$154,0)),Precios!$Q$12),Precios!$Q$12))*(INDEX(Precios!$F$5:$F$124,MATCH(E267,Precios!$A$5:$A$124,0))+IF(F267="Sí",Precios!$Q$10,0)),"falta $ tela"))</f>
        <v/>
      </c>
      <c r="H267" s="32" t="str">
        <f aca="false">IF(A267="","",A267&amp;"|"&amp;COUNTIF($A$5:A267,A267))</f>
        <v/>
      </c>
    </row>
    <row r="268" customFormat="false" ht="15" hidden="false" customHeight="false" outlineLevel="0" collapsed="false">
      <c r="A268" s="28"/>
      <c r="B268" s="28"/>
      <c r="C268" s="28"/>
      <c r="D268" s="31"/>
      <c r="E268" s="10"/>
      <c r="F268" s="28"/>
      <c r="G268" s="11" t="str">
        <f aca="false">IF(OR(A268="",N(D268)=0),"",IFERROR(D268*(1+IFERROR(IF(ISNUMBER(INDEX(Moldes!$K$5:$K$154,MATCH(A268,Moldes!$A$5:$A$154,0))),INDEX(Moldes!$K$5:$K$154,MATCH(A268,Moldes!$A$5:$A$154,0)),Precios!$Q$12),Precios!$Q$12))*(INDEX(Precios!$F$5:$F$124,MATCH(E268,Precios!$A$5:$A$124,0))+IF(F268="Sí",Precios!$Q$10,0)),"falta $ tela"))</f>
        <v/>
      </c>
      <c r="H268" s="32" t="str">
        <f aca="false">IF(A268="","",A268&amp;"|"&amp;COUNTIF($A$5:A268,A268))</f>
        <v/>
      </c>
    </row>
    <row r="269" customFormat="false" ht="15" hidden="false" customHeight="false" outlineLevel="0" collapsed="false">
      <c r="A269" s="28"/>
      <c r="B269" s="28"/>
      <c r="C269" s="28"/>
      <c r="D269" s="31"/>
      <c r="E269" s="10"/>
      <c r="F269" s="28"/>
      <c r="G269" s="11" t="str">
        <f aca="false">IF(OR(A269="",N(D269)=0),"",IFERROR(D269*(1+IFERROR(IF(ISNUMBER(INDEX(Moldes!$K$5:$K$154,MATCH(A269,Moldes!$A$5:$A$154,0))),INDEX(Moldes!$K$5:$K$154,MATCH(A269,Moldes!$A$5:$A$154,0)),Precios!$Q$12),Precios!$Q$12))*(INDEX(Precios!$F$5:$F$124,MATCH(E269,Precios!$A$5:$A$124,0))+IF(F269="Sí",Precios!$Q$10,0)),"falta $ tela"))</f>
        <v/>
      </c>
      <c r="H269" s="32" t="str">
        <f aca="false">IF(A269="","",A269&amp;"|"&amp;COUNTIF($A$5:A269,A269))</f>
        <v/>
      </c>
    </row>
    <row r="270" customFormat="false" ht="15" hidden="false" customHeight="false" outlineLevel="0" collapsed="false">
      <c r="A270" s="28"/>
      <c r="B270" s="28"/>
      <c r="C270" s="28"/>
      <c r="D270" s="31"/>
      <c r="E270" s="10"/>
      <c r="F270" s="28"/>
      <c r="G270" s="11" t="str">
        <f aca="false">IF(OR(A270="",N(D270)=0),"",IFERROR(D270*(1+IFERROR(IF(ISNUMBER(INDEX(Moldes!$K$5:$K$154,MATCH(A270,Moldes!$A$5:$A$154,0))),INDEX(Moldes!$K$5:$K$154,MATCH(A270,Moldes!$A$5:$A$154,0)),Precios!$Q$12),Precios!$Q$12))*(INDEX(Precios!$F$5:$F$124,MATCH(E270,Precios!$A$5:$A$124,0))+IF(F270="Sí",Precios!$Q$10,0)),"falta $ tela"))</f>
        <v/>
      </c>
      <c r="H270" s="32" t="str">
        <f aca="false">IF(A270="","",A270&amp;"|"&amp;COUNTIF($A$5:A270,A270))</f>
        <v/>
      </c>
    </row>
    <row r="271" customFormat="false" ht="15" hidden="false" customHeight="false" outlineLevel="0" collapsed="false">
      <c r="A271" s="28"/>
      <c r="B271" s="28"/>
      <c r="C271" s="28"/>
      <c r="D271" s="31"/>
      <c r="E271" s="10"/>
      <c r="F271" s="28"/>
      <c r="G271" s="11" t="str">
        <f aca="false">IF(OR(A271="",N(D271)=0),"",IFERROR(D271*(1+IFERROR(IF(ISNUMBER(INDEX(Moldes!$K$5:$K$154,MATCH(A271,Moldes!$A$5:$A$154,0))),INDEX(Moldes!$K$5:$K$154,MATCH(A271,Moldes!$A$5:$A$154,0)),Precios!$Q$12),Precios!$Q$12))*(INDEX(Precios!$F$5:$F$124,MATCH(E271,Precios!$A$5:$A$124,0))+IF(F271="Sí",Precios!$Q$10,0)),"falta $ tela"))</f>
        <v/>
      </c>
      <c r="H271" s="32" t="str">
        <f aca="false">IF(A271="","",A271&amp;"|"&amp;COUNTIF($A$5:A271,A271))</f>
        <v/>
      </c>
    </row>
    <row r="272" customFormat="false" ht="15" hidden="false" customHeight="false" outlineLevel="0" collapsed="false">
      <c r="A272" s="28"/>
      <c r="B272" s="28"/>
      <c r="C272" s="28"/>
      <c r="D272" s="31"/>
      <c r="E272" s="10"/>
      <c r="F272" s="28"/>
      <c r="G272" s="11" t="str">
        <f aca="false">IF(OR(A272="",N(D272)=0),"",IFERROR(D272*(1+IFERROR(IF(ISNUMBER(INDEX(Moldes!$K$5:$K$154,MATCH(A272,Moldes!$A$5:$A$154,0))),INDEX(Moldes!$K$5:$K$154,MATCH(A272,Moldes!$A$5:$A$154,0)),Precios!$Q$12),Precios!$Q$12))*(INDEX(Precios!$F$5:$F$124,MATCH(E272,Precios!$A$5:$A$124,0))+IF(F272="Sí",Precios!$Q$10,0)),"falta $ tela"))</f>
        <v/>
      </c>
      <c r="H272" s="32" t="str">
        <f aca="false">IF(A272="","",A272&amp;"|"&amp;COUNTIF($A$5:A272,A272))</f>
        <v/>
      </c>
    </row>
    <row r="273" customFormat="false" ht="15" hidden="false" customHeight="false" outlineLevel="0" collapsed="false">
      <c r="A273" s="28"/>
      <c r="B273" s="28"/>
      <c r="C273" s="28"/>
      <c r="D273" s="31"/>
      <c r="E273" s="10"/>
      <c r="F273" s="28"/>
      <c r="G273" s="11" t="str">
        <f aca="false">IF(OR(A273="",N(D273)=0),"",IFERROR(D273*(1+IFERROR(IF(ISNUMBER(INDEX(Moldes!$K$5:$K$154,MATCH(A273,Moldes!$A$5:$A$154,0))),INDEX(Moldes!$K$5:$K$154,MATCH(A273,Moldes!$A$5:$A$154,0)),Precios!$Q$12),Precios!$Q$12))*(INDEX(Precios!$F$5:$F$124,MATCH(E273,Precios!$A$5:$A$124,0))+IF(F273="Sí",Precios!$Q$10,0)),"falta $ tela"))</f>
        <v/>
      </c>
      <c r="H273" s="32" t="str">
        <f aca="false">IF(A273="","",A273&amp;"|"&amp;COUNTIF($A$5:A273,A273))</f>
        <v/>
      </c>
    </row>
    <row r="274" customFormat="false" ht="15" hidden="false" customHeight="false" outlineLevel="0" collapsed="false">
      <c r="A274" s="28"/>
      <c r="B274" s="28"/>
      <c r="C274" s="28"/>
      <c r="D274" s="31"/>
      <c r="E274" s="10"/>
      <c r="F274" s="28"/>
      <c r="G274" s="11" t="str">
        <f aca="false">IF(OR(A274="",N(D274)=0),"",IFERROR(D274*(1+IFERROR(IF(ISNUMBER(INDEX(Moldes!$K$5:$K$154,MATCH(A274,Moldes!$A$5:$A$154,0))),INDEX(Moldes!$K$5:$K$154,MATCH(A274,Moldes!$A$5:$A$154,0)),Precios!$Q$12),Precios!$Q$12))*(INDEX(Precios!$F$5:$F$124,MATCH(E274,Precios!$A$5:$A$124,0))+IF(F274="Sí",Precios!$Q$10,0)),"falta $ tela"))</f>
        <v/>
      </c>
      <c r="H274" s="32" t="str">
        <f aca="false">IF(A274="","",A274&amp;"|"&amp;COUNTIF($A$5:A274,A274))</f>
        <v/>
      </c>
    </row>
    <row r="275" customFormat="false" ht="15" hidden="false" customHeight="false" outlineLevel="0" collapsed="false">
      <c r="A275" s="28"/>
      <c r="B275" s="28"/>
      <c r="C275" s="28"/>
      <c r="D275" s="31"/>
      <c r="E275" s="10"/>
      <c r="F275" s="28"/>
      <c r="G275" s="11" t="str">
        <f aca="false">IF(OR(A275="",N(D275)=0),"",IFERROR(D275*(1+IFERROR(IF(ISNUMBER(INDEX(Moldes!$K$5:$K$154,MATCH(A275,Moldes!$A$5:$A$154,0))),INDEX(Moldes!$K$5:$K$154,MATCH(A275,Moldes!$A$5:$A$154,0)),Precios!$Q$12),Precios!$Q$12))*(INDEX(Precios!$F$5:$F$124,MATCH(E275,Precios!$A$5:$A$124,0))+IF(F275="Sí",Precios!$Q$10,0)),"falta $ tela"))</f>
        <v/>
      </c>
      <c r="H275" s="32" t="str">
        <f aca="false">IF(A275="","",A275&amp;"|"&amp;COUNTIF($A$5:A275,A275))</f>
        <v/>
      </c>
    </row>
    <row r="276" customFormat="false" ht="15" hidden="false" customHeight="false" outlineLevel="0" collapsed="false">
      <c r="A276" s="28"/>
      <c r="B276" s="28"/>
      <c r="C276" s="28"/>
      <c r="D276" s="31"/>
      <c r="E276" s="10"/>
      <c r="F276" s="28"/>
      <c r="G276" s="11" t="str">
        <f aca="false">IF(OR(A276="",N(D276)=0),"",IFERROR(D276*(1+IFERROR(IF(ISNUMBER(INDEX(Moldes!$K$5:$K$154,MATCH(A276,Moldes!$A$5:$A$154,0))),INDEX(Moldes!$K$5:$K$154,MATCH(A276,Moldes!$A$5:$A$154,0)),Precios!$Q$12),Precios!$Q$12))*(INDEX(Precios!$F$5:$F$124,MATCH(E276,Precios!$A$5:$A$124,0))+IF(F276="Sí",Precios!$Q$10,0)),"falta $ tela"))</f>
        <v/>
      </c>
      <c r="H276" s="32" t="str">
        <f aca="false">IF(A276="","",A276&amp;"|"&amp;COUNTIF($A$5:A276,A276))</f>
        <v/>
      </c>
    </row>
    <row r="277" customFormat="false" ht="15" hidden="false" customHeight="false" outlineLevel="0" collapsed="false">
      <c r="A277" s="28"/>
      <c r="B277" s="28"/>
      <c r="C277" s="28"/>
      <c r="D277" s="31"/>
      <c r="E277" s="10"/>
      <c r="F277" s="28"/>
      <c r="G277" s="11" t="str">
        <f aca="false">IF(OR(A277="",N(D277)=0),"",IFERROR(D277*(1+IFERROR(IF(ISNUMBER(INDEX(Moldes!$K$5:$K$154,MATCH(A277,Moldes!$A$5:$A$154,0))),INDEX(Moldes!$K$5:$K$154,MATCH(A277,Moldes!$A$5:$A$154,0)),Precios!$Q$12),Precios!$Q$12))*(INDEX(Precios!$F$5:$F$124,MATCH(E277,Precios!$A$5:$A$124,0))+IF(F277="Sí",Precios!$Q$10,0)),"falta $ tela"))</f>
        <v/>
      </c>
      <c r="H277" s="32" t="str">
        <f aca="false">IF(A277="","",A277&amp;"|"&amp;COUNTIF($A$5:A277,A277))</f>
        <v/>
      </c>
    </row>
    <row r="278" customFormat="false" ht="15" hidden="false" customHeight="false" outlineLevel="0" collapsed="false">
      <c r="A278" s="28"/>
      <c r="B278" s="28"/>
      <c r="C278" s="28"/>
      <c r="D278" s="31"/>
      <c r="E278" s="10"/>
      <c r="F278" s="28"/>
      <c r="G278" s="11" t="str">
        <f aca="false">IF(OR(A278="",N(D278)=0),"",IFERROR(D278*(1+IFERROR(IF(ISNUMBER(INDEX(Moldes!$K$5:$K$154,MATCH(A278,Moldes!$A$5:$A$154,0))),INDEX(Moldes!$K$5:$K$154,MATCH(A278,Moldes!$A$5:$A$154,0)),Precios!$Q$12),Precios!$Q$12))*(INDEX(Precios!$F$5:$F$124,MATCH(E278,Precios!$A$5:$A$124,0))+IF(F278="Sí",Precios!$Q$10,0)),"falta $ tela"))</f>
        <v/>
      </c>
      <c r="H278" s="32" t="str">
        <f aca="false">IF(A278="","",A278&amp;"|"&amp;COUNTIF($A$5:A278,A278))</f>
        <v/>
      </c>
    </row>
    <row r="279" customFormat="false" ht="15" hidden="false" customHeight="false" outlineLevel="0" collapsed="false">
      <c r="A279" s="28"/>
      <c r="B279" s="28"/>
      <c r="C279" s="28"/>
      <c r="D279" s="31"/>
      <c r="E279" s="10"/>
      <c r="F279" s="28"/>
      <c r="G279" s="11" t="str">
        <f aca="false">IF(OR(A279="",N(D279)=0),"",IFERROR(D279*(1+IFERROR(IF(ISNUMBER(INDEX(Moldes!$K$5:$K$154,MATCH(A279,Moldes!$A$5:$A$154,0))),INDEX(Moldes!$K$5:$K$154,MATCH(A279,Moldes!$A$5:$A$154,0)),Precios!$Q$12),Precios!$Q$12))*(INDEX(Precios!$F$5:$F$124,MATCH(E279,Precios!$A$5:$A$124,0))+IF(F279="Sí",Precios!$Q$10,0)),"falta $ tela"))</f>
        <v/>
      </c>
      <c r="H279" s="32" t="str">
        <f aca="false">IF(A279="","",A279&amp;"|"&amp;COUNTIF($A$5:A279,A279))</f>
        <v/>
      </c>
    </row>
    <row r="280" customFormat="false" ht="15" hidden="false" customHeight="false" outlineLevel="0" collapsed="false">
      <c r="A280" s="28"/>
      <c r="B280" s="28"/>
      <c r="C280" s="28"/>
      <c r="D280" s="31"/>
      <c r="E280" s="10"/>
      <c r="F280" s="28"/>
      <c r="G280" s="11" t="str">
        <f aca="false">IF(OR(A280="",N(D280)=0),"",IFERROR(D280*(1+IFERROR(IF(ISNUMBER(INDEX(Moldes!$K$5:$K$154,MATCH(A280,Moldes!$A$5:$A$154,0))),INDEX(Moldes!$K$5:$K$154,MATCH(A280,Moldes!$A$5:$A$154,0)),Precios!$Q$12),Precios!$Q$12))*(INDEX(Precios!$F$5:$F$124,MATCH(E280,Precios!$A$5:$A$124,0))+IF(F280="Sí",Precios!$Q$10,0)),"falta $ tela"))</f>
        <v/>
      </c>
      <c r="H280" s="32" t="str">
        <f aca="false">IF(A280="","",A280&amp;"|"&amp;COUNTIF($A$5:A280,A280))</f>
        <v/>
      </c>
    </row>
    <row r="281" customFormat="false" ht="15" hidden="false" customHeight="false" outlineLevel="0" collapsed="false">
      <c r="A281" s="28"/>
      <c r="B281" s="28"/>
      <c r="C281" s="28"/>
      <c r="D281" s="31"/>
      <c r="E281" s="10"/>
      <c r="F281" s="28"/>
      <c r="G281" s="11" t="str">
        <f aca="false">IF(OR(A281="",N(D281)=0),"",IFERROR(D281*(1+IFERROR(IF(ISNUMBER(INDEX(Moldes!$K$5:$K$154,MATCH(A281,Moldes!$A$5:$A$154,0))),INDEX(Moldes!$K$5:$K$154,MATCH(A281,Moldes!$A$5:$A$154,0)),Precios!$Q$12),Precios!$Q$12))*(INDEX(Precios!$F$5:$F$124,MATCH(E281,Precios!$A$5:$A$124,0))+IF(F281="Sí",Precios!$Q$10,0)),"falta $ tela"))</f>
        <v/>
      </c>
      <c r="H281" s="32" t="str">
        <f aca="false">IF(A281="","",A281&amp;"|"&amp;COUNTIF($A$5:A281,A281))</f>
        <v/>
      </c>
    </row>
    <row r="282" customFormat="false" ht="15" hidden="false" customHeight="false" outlineLevel="0" collapsed="false">
      <c r="A282" s="28"/>
      <c r="B282" s="28"/>
      <c r="C282" s="28"/>
      <c r="D282" s="31"/>
      <c r="E282" s="10"/>
      <c r="F282" s="28"/>
      <c r="G282" s="11" t="str">
        <f aca="false">IF(OR(A282="",N(D282)=0),"",IFERROR(D282*(1+IFERROR(IF(ISNUMBER(INDEX(Moldes!$K$5:$K$154,MATCH(A282,Moldes!$A$5:$A$154,0))),INDEX(Moldes!$K$5:$K$154,MATCH(A282,Moldes!$A$5:$A$154,0)),Precios!$Q$12),Precios!$Q$12))*(INDEX(Precios!$F$5:$F$124,MATCH(E282,Precios!$A$5:$A$124,0))+IF(F282="Sí",Precios!$Q$10,0)),"falta $ tela"))</f>
        <v/>
      </c>
      <c r="H282" s="32" t="str">
        <f aca="false">IF(A282="","",A282&amp;"|"&amp;COUNTIF($A$5:A282,A282))</f>
        <v/>
      </c>
    </row>
    <row r="283" customFormat="false" ht="15" hidden="false" customHeight="false" outlineLevel="0" collapsed="false">
      <c r="A283" s="28"/>
      <c r="B283" s="28"/>
      <c r="C283" s="28"/>
      <c r="D283" s="31"/>
      <c r="E283" s="10"/>
      <c r="F283" s="28"/>
      <c r="G283" s="11" t="str">
        <f aca="false">IF(OR(A283="",N(D283)=0),"",IFERROR(D283*(1+IFERROR(IF(ISNUMBER(INDEX(Moldes!$K$5:$K$154,MATCH(A283,Moldes!$A$5:$A$154,0))),INDEX(Moldes!$K$5:$K$154,MATCH(A283,Moldes!$A$5:$A$154,0)),Precios!$Q$12),Precios!$Q$12))*(INDEX(Precios!$F$5:$F$124,MATCH(E283,Precios!$A$5:$A$124,0))+IF(F283="Sí",Precios!$Q$10,0)),"falta $ tela"))</f>
        <v/>
      </c>
      <c r="H283" s="32" t="str">
        <f aca="false">IF(A283="","",A283&amp;"|"&amp;COUNTIF($A$5:A283,A283))</f>
        <v/>
      </c>
    </row>
    <row r="284" customFormat="false" ht="15" hidden="false" customHeight="false" outlineLevel="0" collapsed="false">
      <c r="A284" s="28"/>
      <c r="B284" s="28"/>
      <c r="C284" s="28"/>
      <c r="D284" s="31"/>
      <c r="E284" s="10"/>
      <c r="F284" s="28"/>
      <c r="G284" s="11" t="str">
        <f aca="false">IF(OR(A284="",N(D284)=0),"",IFERROR(D284*(1+IFERROR(IF(ISNUMBER(INDEX(Moldes!$K$5:$K$154,MATCH(A284,Moldes!$A$5:$A$154,0))),INDEX(Moldes!$K$5:$K$154,MATCH(A284,Moldes!$A$5:$A$154,0)),Precios!$Q$12),Precios!$Q$12))*(INDEX(Precios!$F$5:$F$124,MATCH(E284,Precios!$A$5:$A$124,0))+IF(F284="Sí",Precios!$Q$10,0)),"falta $ tela"))</f>
        <v/>
      </c>
      <c r="H284" s="32" t="str">
        <f aca="false">IF(A284="","",A284&amp;"|"&amp;COUNTIF($A$5:A284,A284))</f>
        <v/>
      </c>
    </row>
    <row r="285" customFormat="false" ht="15" hidden="false" customHeight="false" outlineLevel="0" collapsed="false">
      <c r="A285" s="28"/>
      <c r="B285" s="28"/>
      <c r="C285" s="28"/>
      <c r="D285" s="31"/>
      <c r="E285" s="10"/>
      <c r="F285" s="28"/>
      <c r="G285" s="11" t="str">
        <f aca="false">IF(OR(A285="",N(D285)=0),"",IFERROR(D285*(1+IFERROR(IF(ISNUMBER(INDEX(Moldes!$K$5:$K$154,MATCH(A285,Moldes!$A$5:$A$154,0))),INDEX(Moldes!$K$5:$K$154,MATCH(A285,Moldes!$A$5:$A$154,0)),Precios!$Q$12),Precios!$Q$12))*(INDEX(Precios!$F$5:$F$124,MATCH(E285,Precios!$A$5:$A$124,0))+IF(F285="Sí",Precios!$Q$10,0)),"falta $ tela"))</f>
        <v/>
      </c>
      <c r="H285" s="32" t="str">
        <f aca="false">IF(A285="","",A285&amp;"|"&amp;COUNTIF($A$5:A285,A285))</f>
        <v/>
      </c>
    </row>
    <row r="286" customFormat="false" ht="15" hidden="false" customHeight="false" outlineLevel="0" collapsed="false">
      <c r="A286" s="28"/>
      <c r="B286" s="28"/>
      <c r="C286" s="28"/>
      <c r="D286" s="31"/>
      <c r="E286" s="10"/>
      <c r="F286" s="28"/>
      <c r="G286" s="11" t="str">
        <f aca="false">IF(OR(A286="",N(D286)=0),"",IFERROR(D286*(1+IFERROR(IF(ISNUMBER(INDEX(Moldes!$K$5:$K$154,MATCH(A286,Moldes!$A$5:$A$154,0))),INDEX(Moldes!$K$5:$K$154,MATCH(A286,Moldes!$A$5:$A$154,0)),Precios!$Q$12),Precios!$Q$12))*(INDEX(Precios!$F$5:$F$124,MATCH(E286,Precios!$A$5:$A$124,0))+IF(F286="Sí",Precios!$Q$10,0)),"falta $ tela"))</f>
        <v/>
      </c>
      <c r="H286" s="32" t="str">
        <f aca="false">IF(A286="","",A286&amp;"|"&amp;COUNTIF($A$5:A286,A286))</f>
        <v/>
      </c>
    </row>
    <row r="287" customFormat="false" ht="15" hidden="false" customHeight="false" outlineLevel="0" collapsed="false">
      <c r="A287" s="28"/>
      <c r="B287" s="28"/>
      <c r="C287" s="28"/>
      <c r="D287" s="31"/>
      <c r="E287" s="10"/>
      <c r="F287" s="28"/>
      <c r="G287" s="11" t="str">
        <f aca="false">IF(OR(A287="",N(D287)=0),"",IFERROR(D287*(1+IFERROR(IF(ISNUMBER(INDEX(Moldes!$K$5:$K$154,MATCH(A287,Moldes!$A$5:$A$154,0))),INDEX(Moldes!$K$5:$K$154,MATCH(A287,Moldes!$A$5:$A$154,0)),Precios!$Q$12),Precios!$Q$12))*(INDEX(Precios!$F$5:$F$124,MATCH(E287,Precios!$A$5:$A$124,0))+IF(F287="Sí",Precios!$Q$10,0)),"falta $ tela"))</f>
        <v/>
      </c>
      <c r="H287" s="32" t="str">
        <f aca="false">IF(A287="","",A287&amp;"|"&amp;COUNTIF($A$5:A287,A287))</f>
        <v/>
      </c>
    </row>
    <row r="288" customFormat="false" ht="15" hidden="false" customHeight="false" outlineLevel="0" collapsed="false">
      <c r="A288" s="28"/>
      <c r="B288" s="28"/>
      <c r="C288" s="28"/>
      <c r="D288" s="31"/>
      <c r="E288" s="10"/>
      <c r="F288" s="28"/>
      <c r="G288" s="11" t="str">
        <f aca="false">IF(OR(A288="",N(D288)=0),"",IFERROR(D288*(1+IFERROR(IF(ISNUMBER(INDEX(Moldes!$K$5:$K$154,MATCH(A288,Moldes!$A$5:$A$154,0))),INDEX(Moldes!$K$5:$K$154,MATCH(A288,Moldes!$A$5:$A$154,0)),Precios!$Q$12),Precios!$Q$12))*(INDEX(Precios!$F$5:$F$124,MATCH(E288,Precios!$A$5:$A$124,0))+IF(F288="Sí",Precios!$Q$10,0)),"falta $ tela"))</f>
        <v/>
      </c>
      <c r="H288" s="32" t="str">
        <f aca="false">IF(A288="","",A288&amp;"|"&amp;COUNTIF($A$5:A288,A288))</f>
        <v/>
      </c>
    </row>
    <row r="289" customFormat="false" ht="15" hidden="false" customHeight="false" outlineLevel="0" collapsed="false">
      <c r="A289" s="28"/>
      <c r="B289" s="28"/>
      <c r="C289" s="28"/>
      <c r="D289" s="31"/>
      <c r="E289" s="10"/>
      <c r="F289" s="28"/>
      <c r="G289" s="11" t="str">
        <f aca="false">IF(OR(A289="",N(D289)=0),"",IFERROR(D289*(1+IFERROR(IF(ISNUMBER(INDEX(Moldes!$K$5:$K$154,MATCH(A289,Moldes!$A$5:$A$154,0))),INDEX(Moldes!$K$5:$K$154,MATCH(A289,Moldes!$A$5:$A$154,0)),Precios!$Q$12),Precios!$Q$12))*(INDEX(Precios!$F$5:$F$124,MATCH(E289,Precios!$A$5:$A$124,0))+IF(F289="Sí",Precios!$Q$10,0)),"falta $ tela"))</f>
        <v/>
      </c>
      <c r="H289" s="32" t="str">
        <f aca="false">IF(A289="","",A289&amp;"|"&amp;COUNTIF($A$5:A289,A289))</f>
        <v/>
      </c>
    </row>
    <row r="290" customFormat="false" ht="15" hidden="false" customHeight="false" outlineLevel="0" collapsed="false">
      <c r="A290" s="28"/>
      <c r="B290" s="28"/>
      <c r="C290" s="28"/>
      <c r="D290" s="31"/>
      <c r="E290" s="10"/>
      <c r="F290" s="28"/>
      <c r="G290" s="11" t="str">
        <f aca="false">IF(OR(A290="",N(D290)=0),"",IFERROR(D290*(1+IFERROR(IF(ISNUMBER(INDEX(Moldes!$K$5:$K$154,MATCH(A290,Moldes!$A$5:$A$154,0))),INDEX(Moldes!$K$5:$K$154,MATCH(A290,Moldes!$A$5:$A$154,0)),Precios!$Q$12),Precios!$Q$12))*(INDEX(Precios!$F$5:$F$124,MATCH(E290,Precios!$A$5:$A$124,0))+IF(F290="Sí",Precios!$Q$10,0)),"falta $ tela"))</f>
        <v/>
      </c>
      <c r="H290" s="32" t="str">
        <f aca="false">IF(A290="","",A290&amp;"|"&amp;COUNTIF($A$5:A290,A290))</f>
        <v/>
      </c>
    </row>
    <row r="291" customFormat="false" ht="15" hidden="false" customHeight="false" outlineLevel="0" collapsed="false">
      <c r="A291" s="28"/>
      <c r="B291" s="28"/>
      <c r="C291" s="28"/>
      <c r="D291" s="31"/>
      <c r="E291" s="10"/>
      <c r="F291" s="28"/>
      <c r="G291" s="11" t="str">
        <f aca="false">IF(OR(A291="",N(D291)=0),"",IFERROR(D291*(1+IFERROR(IF(ISNUMBER(INDEX(Moldes!$K$5:$K$154,MATCH(A291,Moldes!$A$5:$A$154,0))),INDEX(Moldes!$K$5:$K$154,MATCH(A291,Moldes!$A$5:$A$154,0)),Precios!$Q$12),Precios!$Q$12))*(INDEX(Precios!$F$5:$F$124,MATCH(E291,Precios!$A$5:$A$124,0))+IF(F291="Sí",Precios!$Q$10,0)),"falta $ tela"))</f>
        <v/>
      </c>
      <c r="H291" s="32" t="str">
        <f aca="false">IF(A291="","",A291&amp;"|"&amp;COUNTIF($A$5:A291,A291))</f>
        <v/>
      </c>
    </row>
    <row r="292" customFormat="false" ht="15" hidden="false" customHeight="false" outlineLevel="0" collapsed="false">
      <c r="A292" s="28"/>
      <c r="B292" s="28"/>
      <c r="C292" s="28"/>
      <c r="D292" s="31"/>
      <c r="E292" s="10"/>
      <c r="F292" s="28"/>
      <c r="G292" s="11" t="str">
        <f aca="false">IF(OR(A292="",N(D292)=0),"",IFERROR(D292*(1+IFERROR(IF(ISNUMBER(INDEX(Moldes!$K$5:$K$154,MATCH(A292,Moldes!$A$5:$A$154,0))),INDEX(Moldes!$K$5:$K$154,MATCH(A292,Moldes!$A$5:$A$154,0)),Precios!$Q$12),Precios!$Q$12))*(INDEX(Precios!$F$5:$F$124,MATCH(E292,Precios!$A$5:$A$124,0))+IF(F292="Sí",Precios!$Q$10,0)),"falta $ tela"))</f>
        <v/>
      </c>
      <c r="H292" s="32" t="str">
        <f aca="false">IF(A292="","",A292&amp;"|"&amp;COUNTIF($A$5:A292,A292))</f>
        <v/>
      </c>
    </row>
    <row r="293" customFormat="false" ht="15" hidden="false" customHeight="false" outlineLevel="0" collapsed="false">
      <c r="A293" s="28"/>
      <c r="B293" s="28"/>
      <c r="C293" s="28"/>
      <c r="D293" s="31"/>
      <c r="E293" s="10"/>
      <c r="F293" s="28"/>
      <c r="G293" s="11" t="str">
        <f aca="false">IF(OR(A293="",N(D293)=0),"",IFERROR(D293*(1+IFERROR(IF(ISNUMBER(INDEX(Moldes!$K$5:$K$154,MATCH(A293,Moldes!$A$5:$A$154,0))),INDEX(Moldes!$K$5:$K$154,MATCH(A293,Moldes!$A$5:$A$154,0)),Precios!$Q$12),Precios!$Q$12))*(INDEX(Precios!$F$5:$F$124,MATCH(E293,Precios!$A$5:$A$124,0))+IF(F293="Sí",Precios!$Q$10,0)),"falta $ tela"))</f>
        <v/>
      </c>
      <c r="H293" s="32" t="str">
        <f aca="false">IF(A293="","",A293&amp;"|"&amp;COUNTIF($A$5:A293,A293))</f>
        <v/>
      </c>
    </row>
    <row r="294" customFormat="false" ht="15" hidden="false" customHeight="false" outlineLevel="0" collapsed="false">
      <c r="A294" s="28"/>
      <c r="B294" s="28"/>
      <c r="C294" s="28"/>
      <c r="D294" s="31"/>
      <c r="E294" s="10"/>
      <c r="F294" s="28"/>
      <c r="G294" s="11" t="str">
        <f aca="false">IF(OR(A294="",N(D294)=0),"",IFERROR(D294*(1+IFERROR(IF(ISNUMBER(INDEX(Moldes!$K$5:$K$154,MATCH(A294,Moldes!$A$5:$A$154,0))),INDEX(Moldes!$K$5:$K$154,MATCH(A294,Moldes!$A$5:$A$154,0)),Precios!$Q$12),Precios!$Q$12))*(INDEX(Precios!$F$5:$F$124,MATCH(E294,Precios!$A$5:$A$124,0))+IF(F294="Sí",Precios!$Q$10,0)),"falta $ tela"))</f>
        <v/>
      </c>
      <c r="H294" s="32" t="str">
        <f aca="false">IF(A294="","",A294&amp;"|"&amp;COUNTIF($A$5:A294,A294))</f>
        <v/>
      </c>
    </row>
    <row r="295" customFormat="false" ht="15" hidden="false" customHeight="false" outlineLevel="0" collapsed="false">
      <c r="A295" s="28"/>
      <c r="B295" s="28"/>
      <c r="C295" s="28"/>
      <c r="D295" s="31"/>
      <c r="E295" s="10"/>
      <c r="F295" s="28"/>
      <c r="G295" s="11" t="str">
        <f aca="false">IF(OR(A295="",N(D295)=0),"",IFERROR(D295*(1+IFERROR(IF(ISNUMBER(INDEX(Moldes!$K$5:$K$154,MATCH(A295,Moldes!$A$5:$A$154,0))),INDEX(Moldes!$K$5:$K$154,MATCH(A295,Moldes!$A$5:$A$154,0)),Precios!$Q$12),Precios!$Q$12))*(INDEX(Precios!$F$5:$F$124,MATCH(E295,Precios!$A$5:$A$124,0))+IF(F295="Sí",Precios!$Q$10,0)),"falta $ tela"))</f>
        <v/>
      </c>
      <c r="H295" s="32" t="str">
        <f aca="false">IF(A295="","",A295&amp;"|"&amp;COUNTIF($A$5:A295,A295))</f>
        <v/>
      </c>
    </row>
    <row r="296" customFormat="false" ht="15" hidden="false" customHeight="false" outlineLevel="0" collapsed="false">
      <c r="A296" s="28"/>
      <c r="B296" s="28"/>
      <c r="C296" s="28"/>
      <c r="D296" s="31"/>
      <c r="E296" s="10"/>
      <c r="F296" s="28"/>
      <c r="G296" s="11" t="str">
        <f aca="false">IF(OR(A296="",N(D296)=0),"",IFERROR(D296*(1+IFERROR(IF(ISNUMBER(INDEX(Moldes!$K$5:$K$154,MATCH(A296,Moldes!$A$5:$A$154,0))),INDEX(Moldes!$K$5:$K$154,MATCH(A296,Moldes!$A$5:$A$154,0)),Precios!$Q$12),Precios!$Q$12))*(INDEX(Precios!$F$5:$F$124,MATCH(E296,Precios!$A$5:$A$124,0))+IF(F296="Sí",Precios!$Q$10,0)),"falta $ tela"))</f>
        <v/>
      </c>
      <c r="H296" s="32" t="str">
        <f aca="false">IF(A296="","",A296&amp;"|"&amp;COUNTIF($A$5:A296,A296))</f>
        <v/>
      </c>
    </row>
    <row r="297" customFormat="false" ht="15" hidden="false" customHeight="false" outlineLevel="0" collapsed="false">
      <c r="A297" s="28"/>
      <c r="B297" s="28"/>
      <c r="C297" s="28"/>
      <c r="D297" s="31"/>
      <c r="E297" s="10"/>
      <c r="F297" s="28"/>
      <c r="G297" s="11" t="str">
        <f aca="false">IF(OR(A297="",N(D297)=0),"",IFERROR(D297*(1+IFERROR(IF(ISNUMBER(INDEX(Moldes!$K$5:$K$154,MATCH(A297,Moldes!$A$5:$A$154,0))),INDEX(Moldes!$K$5:$K$154,MATCH(A297,Moldes!$A$5:$A$154,0)),Precios!$Q$12),Precios!$Q$12))*(INDEX(Precios!$F$5:$F$124,MATCH(E297,Precios!$A$5:$A$124,0))+IF(F297="Sí",Precios!$Q$10,0)),"falta $ tela"))</f>
        <v/>
      </c>
      <c r="H297" s="32" t="str">
        <f aca="false">IF(A297="","",A297&amp;"|"&amp;COUNTIF($A$5:A297,A297))</f>
        <v/>
      </c>
    </row>
    <row r="298" customFormat="false" ht="15" hidden="false" customHeight="false" outlineLevel="0" collapsed="false">
      <c r="A298" s="28"/>
      <c r="B298" s="28"/>
      <c r="C298" s="28"/>
      <c r="D298" s="31"/>
      <c r="E298" s="10"/>
      <c r="F298" s="28"/>
      <c r="G298" s="11" t="str">
        <f aca="false">IF(OR(A298="",N(D298)=0),"",IFERROR(D298*(1+IFERROR(IF(ISNUMBER(INDEX(Moldes!$K$5:$K$154,MATCH(A298,Moldes!$A$5:$A$154,0))),INDEX(Moldes!$K$5:$K$154,MATCH(A298,Moldes!$A$5:$A$154,0)),Precios!$Q$12),Precios!$Q$12))*(INDEX(Precios!$F$5:$F$124,MATCH(E298,Precios!$A$5:$A$124,0))+IF(F298="Sí",Precios!$Q$10,0)),"falta $ tela"))</f>
        <v/>
      </c>
      <c r="H298" s="32" t="str">
        <f aca="false">IF(A298="","",A298&amp;"|"&amp;COUNTIF($A$5:A298,A298))</f>
        <v/>
      </c>
    </row>
    <row r="299" customFormat="false" ht="15" hidden="false" customHeight="false" outlineLevel="0" collapsed="false">
      <c r="A299" s="28"/>
      <c r="B299" s="28"/>
      <c r="C299" s="28"/>
      <c r="D299" s="31"/>
      <c r="E299" s="10"/>
      <c r="F299" s="28"/>
      <c r="G299" s="11" t="str">
        <f aca="false">IF(OR(A299="",N(D299)=0),"",IFERROR(D299*(1+IFERROR(IF(ISNUMBER(INDEX(Moldes!$K$5:$K$154,MATCH(A299,Moldes!$A$5:$A$154,0))),INDEX(Moldes!$K$5:$K$154,MATCH(A299,Moldes!$A$5:$A$154,0)),Precios!$Q$12),Precios!$Q$12))*(INDEX(Precios!$F$5:$F$124,MATCH(E299,Precios!$A$5:$A$124,0))+IF(F299="Sí",Precios!$Q$10,0)),"falta $ tela"))</f>
        <v/>
      </c>
      <c r="H299" s="32" t="str">
        <f aca="false">IF(A299="","",A299&amp;"|"&amp;COUNTIF($A$5:A299,A299))</f>
        <v/>
      </c>
    </row>
    <row r="300" customFormat="false" ht="15" hidden="false" customHeight="false" outlineLevel="0" collapsed="false">
      <c r="A300" s="28"/>
      <c r="B300" s="28"/>
      <c r="C300" s="28"/>
      <c r="D300" s="31"/>
      <c r="E300" s="10"/>
      <c r="F300" s="28"/>
      <c r="G300" s="11" t="str">
        <f aca="false">IF(OR(A300="",N(D300)=0),"",IFERROR(D300*(1+IFERROR(IF(ISNUMBER(INDEX(Moldes!$K$5:$K$154,MATCH(A300,Moldes!$A$5:$A$154,0))),INDEX(Moldes!$K$5:$K$154,MATCH(A300,Moldes!$A$5:$A$154,0)),Precios!$Q$12),Precios!$Q$12))*(INDEX(Precios!$F$5:$F$124,MATCH(E300,Precios!$A$5:$A$124,0))+IF(F300="Sí",Precios!$Q$10,0)),"falta $ tela"))</f>
        <v/>
      </c>
      <c r="H300" s="32" t="str">
        <f aca="false">IF(A300="","",A300&amp;"|"&amp;COUNTIF($A$5:A300,A300))</f>
        <v/>
      </c>
    </row>
    <row r="301" customFormat="false" ht="15" hidden="false" customHeight="false" outlineLevel="0" collapsed="false">
      <c r="A301" s="28"/>
      <c r="B301" s="28"/>
      <c r="C301" s="28"/>
      <c r="D301" s="31"/>
      <c r="E301" s="10"/>
      <c r="F301" s="28"/>
      <c r="G301" s="11" t="str">
        <f aca="false">IF(OR(A301="",N(D301)=0),"",IFERROR(D301*(1+IFERROR(IF(ISNUMBER(INDEX(Moldes!$K$5:$K$154,MATCH(A301,Moldes!$A$5:$A$154,0))),INDEX(Moldes!$K$5:$K$154,MATCH(A301,Moldes!$A$5:$A$154,0)),Precios!$Q$12),Precios!$Q$12))*(INDEX(Precios!$F$5:$F$124,MATCH(E301,Precios!$A$5:$A$124,0))+IF(F301="Sí",Precios!$Q$10,0)),"falta $ tela"))</f>
        <v/>
      </c>
      <c r="H301" s="32" t="str">
        <f aca="false">IF(A301="","",A301&amp;"|"&amp;COUNTIF($A$5:A301,A301))</f>
        <v/>
      </c>
    </row>
    <row r="302" customFormat="false" ht="15" hidden="false" customHeight="false" outlineLevel="0" collapsed="false">
      <c r="A302" s="28"/>
      <c r="B302" s="28"/>
      <c r="C302" s="28"/>
      <c r="D302" s="31"/>
      <c r="E302" s="10"/>
      <c r="F302" s="28"/>
      <c r="G302" s="11" t="str">
        <f aca="false">IF(OR(A302="",N(D302)=0),"",IFERROR(D302*(1+IFERROR(IF(ISNUMBER(INDEX(Moldes!$K$5:$K$154,MATCH(A302,Moldes!$A$5:$A$154,0))),INDEX(Moldes!$K$5:$K$154,MATCH(A302,Moldes!$A$5:$A$154,0)),Precios!$Q$12),Precios!$Q$12))*(INDEX(Precios!$F$5:$F$124,MATCH(E302,Precios!$A$5:$A$124,0))+IF(F302="Sí",Precios!$Q$10,0)),"falta $ tela"))</f>
        <v/>
      </c>
      <c r="H302" s="32" t="str">
        <f aca="false">IF(A302="","",A302&amp;"|"&amp;COUNTIF($A$5:A302,A302))</f>
        <v/>
      </c>
    </row>
    <row r="303" customFormat="false" ht="15" hidden="false" customHeight="false" outlineLevel="0" collapsed="false">
      <c r="A303" s="28"/>
      <c r="B303" s="28"/>
      <c r="C303" s="28"/>
      <c r="D303" s="31"/>
      <c r="E303" s="10"/>
      <c r="F303" s="28"/>
      <c r="G303" s="11" t="str">
        <f aca="false">IF(OR(A303="",N(D303)=0),"",IFERROR(D303*(1+IFERROR(IF(ISNUMBER(INDEX(Moldes!$K$5:$K$154,MATCH(A303,Moldes!$A$5:$A$154,0))),INDEX(Moldes!$K$5:$K$154,MATCH(A303,Moldes!$A$5:$A$154,0)),Precios!$Q$12),Precios!$Q$12))*(INDEX(Precios!$F$5:$F$124,MATCH(E303,Precios!$A$5:$A$124,0))+IF(F303="Sí",Precios!$Q$10,0)),"falta $ tela"))</f>
        <v/>
      </c>
      <c r="H303" s="32" t="str">
        <f aca="false">IF(A303="","",A303&amp;"|"&amp;COUNTIF($A$5:A303,A303))</f>
        <v/>
      </c>
    </row>
    <row r="304" customFormat="false" ht="15" hidden="false" customHeight="false" outlineLevel="0" collapsed="false">
      <c r="A304" s="28"/>
      <c r="B304" s="28"/>
      <c r="C304" s="28"/>
      <c r="D304" s="31"/>
      <c r="E304" s="10"/>
      <c r="F304" s="28"/>
      <c r="G304" s="11" t="str">
        <f aca="false">IF(OR(A304="",N(D304)=0),"",IFERROR(D304*(1+IFERROR(IF(ISNUMBER(INDEX(Moldes!$K$5:$K$154,MATCH(A304,Moldes!$A$5:$A$154,0))),INDEX(Moldes!$K$5:$K$154,MATCH(A304,Moldes!$A$5:$A$154,0)),Precios!$Q$12),Precios!$Q$12))*(INDEX(Precios!$F$5:$F$124,MATCH(E304,Precios!$A$5:$A$124,0))+IF(F304="Sí",Precios!$Q$10,0)),"falta $ tela"))</f>
        <v/>
      </c>
      <c r="H304" s="32" t="str">
        <f aca="false">IF(A304="","",A304&amp;"|"&amp;COUNTIF($A$5:A304,A304))</f>
        <v/>
      </c>
    </row>
    <row r="305" customFormat="false" ht="15" hidden="false" customHeight="false" outlineLevel="0" collapsed="false">
      <c r="A305" s="28"/>
      <c r="B305" s="28"/>
      <c r="C305" s="28"/>
      <c r="D305" s="31"/>
      <c r="E305" s="10"/>
      <c r="F305" s="28"/>
      <c r="G305" s="11" t="str">
        <f aca="false">IF(OR(A305="",N(D305)=0),"",IFERROR(D305*(1+IFERROR(IF(ISNUMBER(INDEX(Moldes!$K$5:$K$154,MATCH(A305,Moldes!$A$5:$A$154,0))),INDEX(Moldes!$K$5:$K$154,MATCH(A305,Moldes!$A$5:$A$154,0)),Precios!$Q$12),Precios!$Q$12))*(INDEX(Precios!$F$5:$F$124,MATCH(E305,Precios!$A$5:$A$124,0))+IF(F305="Sí",Precios!$Q$10,0)),"falta $ tela"))</f>
        <v/>
      </c>
      <c r="H305" s="32" t="str">
        <f aca="false">IF(A305="","",A305&amp;"|"&amp;COUNTIF($A$5:A305,A305))</f>
        <v/>
      </c>
    </row>
    <row r="306" customFormat="false" ht="15" hidden="false" customHeight="false" outlineLevel="0" collapsed="false">
      <c r="A306" s="28"/>
      <c r="B306" s="28"/>
      <c r="C306" s="28"/>
      <c r="D306" s="31"/>
      <c r="E306" s="10"/>
      <c r="F306" s="28"/>
      <c r="G306" s="11" t="str">
        <f aca="false">IF(OR(A306="",N(D306)=0),"",IFERROR(D306*(1+IFERROR(IF(ISNUMBER(INDEX(Moldes!$K$5:$K$154,MATCH(A306,Moldes!$A$5:$A$154,0))),INDEX(Moldes!$K$5:$K$154,MATCH(A306,Moldes!$A$5:$A$154,0)),Precios!$Q$12),Precios!$Q$12))*(INDEX(Precios!$F$5:$F$124,MATCH(E306,Precios!$A$5:$A$124,0))+IF(F306="Sí",Precios!$Q$10,0)),"falta $ tela"))</f>
        <v/>
      </c>
      <c r="H306" s="32" t="str">
        <f aca="false">IF(A306="","",A306&amp;"|"&amp;COUNTIF($A$5:A306,A306))</f>
        <v/>
      </c>
    </row>
    <row r="307" customFormat="false" ht="15" hidden="false" customHeight="false" outlineLevel="0" collapsed="false">
      <c r="A307" s="28"/>
      <c r="B307" s="28"/>
      <c r="C307" s="28"/>
      <c r="D307" s="31"/>
      <c r="E307" s="10"/>
      <c r="F307" s="28"/>
      <c r="G307" s="11" t="str">
        <f aca="false">IF(OR(A307="",N(D307)=0),"",IFERROR(D307*(1+IFERROR(IF(ISNUMBER(INDEX(Moldes!$K$5:$K$154,MATCH(A307,Moldes!$A$5:$A$154,0))),INDEX(Moldes!$K$5:$K$154,MATCH(A307,Moldes!$A$5:$A$154,0)),Precios!$Q$12),Precios!$Q$12))*(INDEX(Precios!$F$5:$F$124,MATCH(E307,Precios!$A$5:$A$124,0))+IF(F307="Sí",Precios!$Q$10,0)),"falta $ tela"))</f>
        <v/>
      </c>
      <c r="H307" s="32" t="str">
        <f aca="false">IF(A307="","",A307&amp;"|"&amp;COUNTIF($A$5:A307,A307))</f>
        <v/>
      </c>
    </row>
    <row r="308" customFormat="false" ht="15" hidden="false" customHeight="false" outlineLevel="0" collapsed="false">
      <c r="A308" s="28"/>
      <c r="B308" s="28"/>
      <c r="C308" s="28"/>
      <c r="D308" s="31"/>
      <c r="E308" s="10"/>
      <c r="F308" s="28"/>
      <c r="G308" s="11" t="str">
        <f aca="false">IF(OR(A308="",N(D308)=0),"",IFERROR(D308*(1+IFERROR(IF(ISNUMBER(INDEX(Moldes!$K$5:$K$154,MATCH(A308,Moldes!$A$5:$A$154,0))),INDEX(Moldes!$K$5:$K$154,MATCH(A308,Moldes!$A$5:$A$154,0)),Precios!$Q$12),Precios!$Q$12))*(INDEX(Precios!$F$5:$F$124,MATCH(E308,Precios!$A$5:$A$124,0))+IF(F308="Sí",Precios!$Q$10,0)),"falta $ tela"))</f>
        <v/>
      </c>
      <c r="H308" s="32" t="str">
        <f aca="false">IF(A308="","",A308&amp;"|"&amp;COUNTIF($A$5:A308,A308))</f>
        <v/>
      </c>
    </row>
    <row r="309" customFormat="false" ht="15" hidden="false" customHeight="false" outlineLevel="0" collapsed="false">
      <c r="A309" s="28"/>
      <c r="B309" s="28"/>
      <c r="C309" s="28"/>
      <c r="D309" s="31"/>
      <c r="E309" s="10"/>
      <c r="F309" s="28"/>
      <c r="G309" s="11" t="str">
        <f aca="false">IF(OR(A309="",N(D309)=0),"",IFERROR(D309*(1+IFERROR(IF(ISNUMBER(INDEX(Moldes!$K$5:$K$154,MATCH(A309,Moldes!$A$5:$A$154,0))),INDEX(Moldes!$K$5:$K$154,MATCH(A309,Moldes!$A$5:$A$154,0)),Precios!$Q$12),Precios!$Q$12))*(INDEX(Precios!$F$5:$F$124,MATCH(E309,Precios!$A$5:$A$124,0))+IF(F309="Sí",Precios!$Q$10,0)),"falta $ tela"))</f>
        <v/>
      </c>
      <c r="H309" s="32" t="str">
        <f aca="false">IF(A309="","",A309&amp;"|"&amp;COUNTIF($A$5:A309,A309))</f>
        <v/>
      </c>
    </row>
    <row r="310" customFormat="false" ht="15" hidden="false" customHeight="false" outlineLevel="0" collapsed="false">
      <c r="A310" s="28"/>
      <c r="B310" s="28"/>
      <c r="C310" s="28"/>
      <c r="D310" s="31"/>
      <c r="E310" s="10"/>
      <c r="F310" s="28"/>
      <c r="G310" s="11" t="str">
        <f aca="false">IF(OR(A310="",N(D310)=0),"",IFERROR(D310*(1+IFERROR(IF(ISNUMBER(INDEX(Moldes!$K$5:$K$154,MATCH(A310,Moldes!$A$5:$A$154,0))),INDEX(Moldes!$K$5:$K$154,MATCH(A310,Moldes!$A$5:$A$154,0)),Precios!$Q$12),Precios!$Q$12))*(INDEX(Precios!$F$5:$F$124,MATCH(E310,Precios!$A$5:$A$124,0))+IF(F310="Sí",Precios!$Q$10,0)),"falta $ tela"))</f>
        <v/>
      </c>
      <c r="H310" s="32" t="str">
        <f aca="false">IF(A310="","",A310&amp;"|"&amp;COUNTIF($A$5:A310,A310))</f>
        <v/>
      </c>
    </row>
    <row r="311" customFormat="false" ht="15" hidden="false" customHeight="false" outlineLevel="0" collapsed="false">
      <c r="A311" s="28"/>
      <c r="B311" s="28"/>
      <c r="C311" s="28"/>
      <c r="D311" s="31"/>
      <c r="E311" s="10"/>
      <c r="F311" s="28"/>
      <c r="G311" s="11" t="str">
        <f aca="false">IF(OR(A311="",N(D311)=0),"",IFERROR(D311*(1+IFERROR(IF(ISNUMBER(INDEX(Moldes!$K$5:$K$154,MATCH(A311,Moldes!$A$5:$A$154,0))),INDEX(Moldes!$K$5:$K$154,MATCH(A311,Moldes!$A$5:$A$154,0)),Precios!$Q$12),Precios!$Q$12))*(INDEX(Precios!$F$5:$F$124,MATCH(E311,Precios!$A$5:$A$124,0))+IF(F311="Sí",Precios!$Q$10,0)),"falta $ tela"))</f>
        <v/>
      </c>
      <c r="H311" s="32" t="str">
        <f aca="false">IF(A311="","",A311&amp;"|"&amp;COUNTIF($A$5:A311,A311))</f>
        <v/>
      </c>
    </row>
    <row r="312" customFormat="false" ht="15" hidden="false" customHeight="false" outlineLevel="0" collapsed="false">
      <c r="A312" s="28"/>
      <c r="B312" s="28"/>
      <c r="C312" s="28"/>
      <c r="D312" s="31"/>
      <c r="E312" s="10"/>
      <c r="F312" s="28"/>
      <c r="G312" s="11" t="str">
        <f aca="false">IF(OR(A312="",N(D312)=0),"",IFERROR(D312*(1+IFERROR(IF(ISNUMBER(INDEX(Moldes!$K$5:$K$154,MATCH(A312,Moldes!$A$5:$A$154,0))),INDEX(Moldes!$K$5:$K$154,MATCH(A312,Moldes!$A$5:$A$154,0)),Precios!$Q$12),Precios!$Q$12))*(INDEX(Precios!$F$5:$F$124,MATCH(E312,Precios!$A$5:$A$124,0))+IF(F312="Sí",Precios!$Q$10,0)),"falta $ tela"))</f>
        <v/>
      </c>
      <c r="H312" s="32" t="str">
        <f aca="false">IF(A312="","",A312&amp;"|"&amp;COUNTIF($A$5:A312,A312))</f>
        <v/>
      </c>
    </row>
    <row r="313" customFormat="false" ht="15" hidden="false" customHeight="false" outlineLevel="0" collapsed="false">
      <c r="A313" s="28"/>
      <c r="B313" s="28"/>
      <c r="C313" s="28"/>
      <c r="D313" s="31"/>
      <c r="E313" s="10"/>
      <c r="F313" s="28"/>
      <c r="G313" s="11" t="str">
        <f aca="false">IF(OR(A313="",N(D313)=0),"",IFERROR(D313*(1+IFERROR(IF(ISNUMBER(INDEX(Moldes!$K$5:$K$154,MATCH(A313,Moldes!$A$5:$A$154,0))),INDEX(Moldes!$K$5:$K$154,MATCH(A313,Moldes!$A$5:$A$154,0)),Precios!$Q$12),Precios!$Q$12))*(INDEX(Precios!$F$5:$F$124,MATCH(E313,Precios!$A$5:$A$124,0))+IF(F313="Sí",Precios!$Q$10,0)),"falta $ tela"))</f>
        <v/>
      </c>
      <c r="H313" s="32" t="str">
        <f aca="false">IF(A313="","",A313&amp;"|"&amp;COUNTIF($A$5:A313,A313))</f>
        <v/>
      </c>
    </row>
    <row r="314" customFormat="false" ht="15" hidden="false" customHeight="false" outlineLevel="0" collapsed="false">
      <c r="A314" s="28"/>
      <c r="B314" s="28"/>
      <c r="C314" s="28"/>
      <c r="D314" s="31"/>
      <c r="E314" s="10"/>
      <c r="F314" s="28"/>
      <c r="G314" s="11" t="str">
        <f aca="false">IF(OR(A314="",N(D314)=0),"",IFERROR(D314*(1+IFERROR(IF(ISNUMBER(INDEX(Moldes!$K$5:$K$154,MATCH(A314,Moldes!$A$5:$A$154,0))),INDEX(Moldes!$K$5:$K$154,MATCH(A314,Moldes!$A$5:$A$154,0)),Precios!$Q$12),Precios!$Q$12))*(INDEX(Precios!$F$5:$F$124,MATCH(E314,Precios!$A$5:$A$124,0))+IF(F314="Sí",Precios!$Q$10,0)),"falta $ tela"))</f>
        <v/>
      </c>
      <c r="H314" s="32" t="str">
        <f aca="false">IF(A314="","",A314&amp;"|"&amp;COUNTIF($A$5:A314,A314))</f>
        <v/>
      </c>
    </row>
    <row r="315" customFormat="false" ht="15" hidden="false" customHeight="false" outlineLevel="0" collapsed="false">
      <c r="A315" s="28"/>
      <c r="B315" s="28"/>
      <c r="C315" s="28"/>
      <c r="D315" s="31"/>
      <c r="E315" s="10"/>
      <c r="F315" s="28"/>
      <c r="G315" s="11" t="str">
        <f aca="false">IF(OR(A315="",N(D315)=0),"",IFERROR(D315*(1+IFERROR(IF(ISNUMBER(INDEX(Moldes!$K$5:$K$154,MATCH(A315,Moldes!$A$5:$A$154,0))),INDEX(Moldes!$K$5:$K$154,MATCH(A315,Moldes!$A$5:$A$154,0)),Precios!$Q$12),Precios!$Q$12))*(INDEX(Precios!$F$5:$F$124,MATCH(E315,Precios!$A$5:$A$124,0))+IF(F315="Sí",Precios!$Q$10,0)),"falta $ tela"))</f>
        <v/>
      </c>
      <c r="H315" s="32" t="str">
        <f aca="false">IF(A315="","",A315&amp;"|"&amp;COUNTIF($A$5:A315,A315))</f>
        <v/>
      </c>
    </row>
    <row r="316" customFormat="false" ht="15" hidden="false" customHeight="false" outlineLevel="0" collapsed="false">
      <c r="A316" s="28"/>
      <c r="B316" s="28"/>
      <c r="C316" s="28"/>
      <c r="D316" s="31"/>
      <c r="E316" s="10"/>
      <c r="F316" s="28"/>
      <c r="G316" s="11" t="str">
        <f aca="false">IF(OR(A316="",N(D316)=0),"",IFERROR(D316*(1+IFERROR(IF(ISNUMBER(INDEX(Moldes!$K$5:$K$154,MATCH(A316,Moldes!$A$5:$A$154,0))),INDEX(Moldes!$K$5:$K$154,MATCH(A316,Moldes!$A$5:$A$154,0)),Precios!$Q$12),Precios!$Q$12))*(INDEX(Precios!$F$5:$F$124,MATCH(E316,Precios!$A$5:$A$124,0))+IF(F316="Sí",Precios!$Q$10,0)),"falta $ tela"))</f>
        <v/>
      </c>
      <c r="H316" s="32" t="str">
        <f aca="false">IF(A316="","",A316&amp;"|"&amp;COUNTIF($A$5:A316,A316))</f>
        <v/>
      </c>
    </row>
    <row r="317" customFormat="false" ht="15" hidden="false" customHeight="false" outlineLevel="0" collapsed="false">
      <c r="A317" s="28"/>
      <c r="B317" s="28"/>
      <c r="C317" s="28"/>
      <c r="D317" s="31"/>
      <c r="E317" s="10"/>
      <c r="F317" s="28"/>
      <c r="G317" s="11" t="str">
        <f aca="false">IF(OR(A317="",N(D317)=0),"",IFERROR(D317*(1+IFERROR(IF(ISNUMBER(INDEX(Moldes!$K$5:$K$154,MATCH(A317,Moldes!$A$5:$A$154,0))),INDEX(Moldes!$K$5:$K$154,MATCH(A317,Moldes!$A$5:$A$154,0)),Precios!$Q$12),Precios!$Q$12))*(INDEX(Precios!$F$5:$F$124,MATCH(E317,Precios!$A$5:$A$124,0))+IF(F317="Sí",Precios!$Q$10,0)),"falta $ tela"))</f>
        <v/>
      </c>
      <c r="H317" s="32" t="str">
        <f aca="false">IF(A317="","",A317&amp;"|"&amp;COUNTIF($A$5:A317,A317))</f>
        <v/>
      </c>
    </row>
    <row r="318" customFormat="false" ht="15" hidden="false" customHeight="false" outlineLevel="0" collapsed="false">
      <c r="A318" s="28"/>
      <c r="B318" s="28"/>
      <c r="C318" s="28"/>
      <c r="D318" s="31"/>
      <c r="E318" s="10"/>
      <c r="F318" s="28"/>
      <c r="G318" s="11" t="str">
        <f aca="false">IF(OR(A318="",N(D318)=0),"",IFERROR(D318*(1+IFERROR(IF(ISNUMBER(INDEX(Moldes!$K$5:$K$154,MATCH(A318,Moldes!$A$5:$A$154,0))),INDEX(Moldes!$K$5:$K$154,MATCH(A318,Moldes!$A$5:$A$154,0)),Precios!$Q$12),Precios!$Q$12))*(INDEX(Precios!$F$5:$F$124,MATCH(E318,Precios!$A$5:$A$124,0))+IF(F318="Sí",Precios!$Q$10,0)),"falta $ tela"))</f>
        <v/>
      </c>
      <c r="H318" s="32" t="str">
        <f aca="false">IF(A318="","",A318&amp;"|"&amp;COUNTIF($A$5:A318,A318))</f>
        <v/>
      </c>
    </row>
    <row r="319" customFormat="false" ht="15" hidden="false" customHeight="false" outlineLevel="0" collapsed="false">
      <c r="A319" s="28"/>
      <c r="B319" s="28"/>
      <c r="C319" s="28"/>
      <c r="D319" s="31"/>
      <c r="E319" s="10"/>
      <c r="F319" s="28"/>
      <c r="G319" s="11" t="str">
        <f aca="false">IF(OR(A319="",N(D319)=0),"",IFERROR(D319*(1+IFERROR(IF(ISNUMBER(INDEX(Moldes!$K$5:$K$154,MATCH(A319,Moldes!$A$5:$A$154,0))),INDEX(Moldes!$K$5:$K$154,MATCH(A319,Moldes!$A$5:$A$154,0)),Precios!$Q$12),Precios!$Q$12))*(INDEX(Precios!$F$5:$F$124,MATCH(E319,Precios!$A$5:$A$124,0))+IF(F319="Sí",Precios!$Q$10,0)),"falta $ tela"))</f>
        <v/>
      </c>
      <c r="H319" s="32" t="str">
        <f aca="false">IF(A319="","",A319&amp;"|"&amp;COUNTIF($A$5:A319,A319))</f>
        <v/>
      </c>
    </row>
    <row r="320" customFormat="false" ht="15" hidden="false" customHeight="false" outlineLevel="0" collapsed="false">
      <c r="A320" s="28"/>
      <c r="B320" s="28"/>
      <c r="C320" s="28"/>
      <c r="D320" s="31"/>
      <c r="E320" s="10"/>
      <c r="F320" s="28"/>
      <c r="G320" s="11" t="str">
        <f aca="false">IF(OR(A320="",N(D320)=0),"",IFERROR(D320*(1+IFERROR(IF(ISNUMBER(INDEX(Moldes!$K$5:$K$154,MATCH(A320,Moldes!$A$5:$A$154,0))),INDEX(Moldes!$K$5:$K$154,MATCH(A320,Moldes!$A$5:$A$154,0)),Precios!$Q$12),Precios!$Q$12))*(INDEX(Precios!$F$5:$F$124,MATCH(E320,Precios!$A$5:$A$124,0))+IF(F320="Sí",Precios!$Q$10,0)),"falta $ tela"))</f>
        <v/>
      </c>
      <c r="H320" s="32" t="str">
        <f aca="false">IF(A320="","",A320&amp;"|"&amp;COUNTIF($A$5:A320,A320))</f>
        <v/>
      </c>
    </row>
    <row r="321" customFormat="false" ht="15" hidden="false" customHeight="false" outlineLevel="0" collapsed="false">
      <c r="A321" s="28"/>
      <c r="B321" s="28"/>
      <c r="C321" s="28"/>
      <c r="D321" s="31"/>
      <c r="E321" s="10"/>
      <c r="F321" s="28"/>
      <c r="G321" s="11" t="str">
        <f aca="false">IF(OR(A321="",N(D321)=0),"",IFERROR(D321*(1+IFERROR(IF(ISNUMBER(INDEX(Moldes!$K$5:$K$154,MATCH(A321,Moldes!$A$5:$A$154,0))),INDEX(Moldes!$K$5:$K$154,MATCH(A321,Moldes!$A$5:$A$154,0)),Precios!$Q$12),Precios!$Q$12))*(INDEX(Precios!$F$5:$F$124,MATCH(E321,Precios!$A$5:$A$124,0))+IF(F321="Sí",Precios!$Q$10,0)),"falta $ tela"))</f>
        <v/>
      </c>
      <c r="H321" s="32" t="str">
        <f aca="false">IF(A321="","",A321&amp;"|"&amp;COUNTIF($A$5:A321,A321))</f>
        <v/>
      </c>
    </row>
    <row r="322" customFormat="false" ht="15" hidden="false" customHeight="false" outlineLevel="0" collapsed="false">
      <c r="A322" s="28"/>
      <c r="B322" s="28"/>
      <c r="C322" s="28"/>
      <c r="D322" s="31"/>
      <c r="E322" s="10"/>
      <c r="F322" s="28"/>
      <c r="G322" s="11" t="str">
        <f aca="false">IF(OR(A322="",N(D322)=0),"",IFERROR(D322*(1+IFERROR(IF(ISNUMBER(INDEX(Moldes!$K$5:$K$154,MATCH(A322,Moldes!$A$5:$A$154,0))),INDEX(Moldes!$K$5:$K$154,MATCH(A322,Moldes!$A$5:$A$154,0)),Precios!$Q$12),Precios!$Q$12))*(INDEX(Precios!$F$5:$F$124,MATCH(E322,Precios!$A$5:$A$124,0))+IF(F322="Sí",Precios!$Q$10,0)),"falta $ tela"))</f>
        <v/>
      </c>
      <c r="H322" s="32" t="str">
        <f aca="false">IF(A322="","",A322&amp;"|"&amp;COUNTIF($A$5:A322,A322))</f>
        <v/>
      </c>
    </row>
    <row r="323" customFormat="false" ht="15" hidden="false" customHeight="false" outlineLevel="0" collapsed="false">
      <c r="A323" s="28"/>
      <c r="B323" s="28"/>
      <c r="C323" s="28"/>
      <c r="D323" s="31"/>
      <c r="E323" s="10"/>
      <c r="F323" s="28"/>
      <c r="G323" s="11" t="str">
        <f aca="false">IF(OR(A323="",N(D323)=0),"",IFERROR(D323*(1+IFERROR(IF(ISNUMBER(INDEX(Moldes!$K$5:$K$154,MATCH(A323,Moldes!$A$5:$A$154,0))),INDEX(Moldes!$K$5:$K$154,MATCH(A323,Moldes!$A$5:$A$154,0)),Precios!$Q$12),Precios!$Q$12))*(INDEX(Precios!$F$5:$F$124,MATCH(E323,Precios!$A$5:$A$124,0))+IF(F323="Sí",Precios!$Q$10,0)),"falta $ tela"))</f>
        <v/>
      </c>
      <c r="H323" s="32" t="str">
        <f aca="false">IF(A323="","",A323&amp;"|"&amp;COUNTIF($A$5:A323,A323))</f>
        <v/>
      </c>
    </row>
    <row r="324" customFormat="false" ht="15" hidden="false" customHeight="false" outlineLevel="0" collapsed="false">
      <c r="A324" s="28"/>
      <c r="B324" s="28"/>
      <c r="C324" s="28"/>
      <c r="D324" s="31"/>
      <c r="E324" s="10"/>
      <c r="F324" s="28"/>
      <c r="G324" s="11" t="str">
        <f aca="false">IF(OR(A324="",N(D324)=0),"",IFERROR(D324*(1+IFERROR(IF(ISNUMBER(INDEX(Moldes!$K$5:$K$154,MATCH(A324,Moldes!$A$5:$A$154,0))),INDEX(Moldes!$K$5:$K$154,MATCH(A324,Moldes!$A$5:$A$154,0)),Precios!$Q$12),Precios!$Q$12))*(INDEX(Precios!$F$5:$F$124,MATCH(E324,Precios!$A$5:$A$124,0))+IF(F324="Sí",Precios!$Q$10,0)),"falta $ tela"))</f>
        <v/>
      </c>
      <c r="H324" s="32" t="str">
        <f aca="false">IF(A324="","",A324&amp;"|"&amp;COUNTIF($A$5:A324,A324))</f>
        <v/>
      </c>
    </row>
    <row r="325" customFormat="false" ht="15" hidden="false" customHeight="false" outlineLevel="0" collapsed="false">
      <c r="A325" s="28"/>
      <c r="B325" s="28"/>
      <c r="C325" s="28"/>
      <c r="D325" s="31"/>
      <c r="E325" s="10"/>
      <c r="F325" s="28"/>
      <c r="G325" s="11" t="str">
        <f aca="false">IF(OR(A325="",N(D325)=0),"",IFERROR(D325*(1+IFERROR(IF(ISNUMBER(INDEX(Moldes!$K$5:$K$154,MATCH(A325,Moldes!$A$5:$A$154,0))),INDEX(Moldes!$K$5:$K$154,MATCH(A325,Moldes!$A$5:$A$154,0)),Precios!$Q$12),Precios!$Q$12))*(INDEX(Precios!$F$5:$F$124,MATCH(E325,Precios!$A$5:$A$124,0))+IF(F325="Sí",Precios!$Q$10,0)),"falta $ tela"))</f>
        <v/>
      </c>
      <c r="H325" s="32" t="str">
        <f aca="false">IF(A325="","",A325&amp;"|"&amp;COUNTIF($A$5:A325,A325))</f>
        <v/>
      </c>
    </row>
    <row r="326" customFormat="false" ht="15" hidden="false" customHeight="false" outlineLevel="0" collapsed="false">
      <c r="A326" s="28"/>
      <c r="B326" s="28"/>
      <c r="C326" s="28"/>
      <c r="D326" s="31"/>
      <c r="E326" s="10"/>
      <c r="F326" s="28"/>
      <c r="G326" s="11" t="str">
        <f aca="false">IF(OR(A326="",N(D326)=0),"",IFERROR(D326*(1+IFERROR(IF(ISNUMBER(INDEX(Moldes!$K$5:$K$154,MATCH(A326,Moldes!$A$5:$A$154,0))),INDEX(Moldes!$K$5:$K$154,MATCH(A326,Moldes!$A$5:$A$154,0)),Precios!$Q$12),Precios!$Q$12))*(INDEX(Precios!$F$5:$F$124,MATCH(E326,Precios!$A$5:$A$124,0))+IF(F326="Sí",Precios!$Q$10,0)),"falta $ tela"))</f>
        <v/>
      </c>
      <c r="H326" s="32" t="str">
        <f aca="false">IF(A326="","",A326&amp;"|"&amp;COUNTIF($A$5:A326,A326))</f>
        <v/>
      </c>
    </row>
    <row r="327" customFormat="false" ht="15" hidden="false" customHeight="false" outlineLevel="0" collapsed="false">
      <c r="A327" s="28"/>
      <c r="B327" s="28"/>
      <c r="C327" s="28"/>
      <c r="D327" s="31"/>
      <c r="E327" s="10"/>
      <c r="F327" s="28"/>
      <c r="G327" s="11" t="str">
        <f aca="false">IF(OR(A327="",N(D327)=0),"",IFERROR(D327*(1+IFERROR(IF(ISNUMBER(INDEX(Moldes!$K$5:$K$154,MATCH(A327,Moldes!$A$5:$A$154,0))),INDEX(Moldes!$K$5:$K$154,MATCH(A327,Moldes!$A$5:$A$154,0)),Precios!$Q$12),Precios!$Q$12))*(INDEX(Precios!$F$5:$F$124,MATCH(E327,Precios!$A$5:$A$124,0))+IF(F327="Sí",Precios!$Q$10,0)),"falta $ tela"))</f>
        <v/>
      </c>
      <c r="H327" s="32" t="str">
        <f aca="false">IF(A327="","",A327&amp;"|"&amp;COUNTIF($A$5:A327,A327))</f>
        <v/>
      </c>
    </row>
    <row r="328" customFormat="false" ht="15" hidden="false" customHeight="false" outlineLevel="0" collapsed="false">
      <c r="A328" s="28"/>
      <c r="B328" s="28"/>
      <c r="C328" s="28"/>
      <c r="D328" s="31"/>
      <c r="E328" s="10"/>
      <c r="F328" s="28"/>
      <c r="G328" s="11" t="str">
        <f aca="false">IF(OR(A328="",N(D328)=0),"",IFERROR(D328*(1+IFERROR(IF(ISNUMBER(INDEX(Moldes!$K$5:$K$154,MATCH(A328,Moldes!$A$5:$A$154,0))),INDEX(Moldes!$K$5:$K$154,MATCH(A328,Moldes!$A$5:$A$154,0)),Precios!$Q$12),Precios!$Q$12))*(INDEX(Precios!$F$5:$F$124,MATCH(E328,Precios!$A$5:$A$124,0))+IF(F328="Sí",Precios!$Q$10,0)),"falta $ tela"))</f>
        <v/>
      </c>
      <c r="H328" s="32" t="str">
        <f aca="false">IF(A328="","",A328&amp;"|"&amp;COUNTIF($A$5:A328,A328))</f>
        <v/>
      </c>
    </row>
    <row r="329" customFormat="false" ht="15" hidden="false" customHeight="false" outlineLevel="0" collapsed="false">
      <c r="A329" s="28"/>
      <c r="B329" s="28"/>
      <c r="C329" s="28"/>
      <c r="D329" s="31"/>
      <c r="E329" s="10"/>
      <c r="F329" s="28"/>
      <c r="G329" s="11" t="str">
        <f aca="false">IF(OR(A329="",N(D329)=0),"",IFERROR(D329*(1+IFERROR(IF(ISNUMBER(INDEX(Moldes!$K$5:$K$154,MATCH(A329,Moldes!$A$5:$A$154,0))),INDEX(Moldes!$K$5:$K$154,MATCH(A329,Moldes!$A$5:$A$154,0)),Precios!$Q$12),Precios!$Q$12))*(INDEX(Precios!$F$5:$F$124,MATCH(E329,Precios!$A$5:$A$124,0))+IF(F329="Sí",Precios!$Q$10,0)),"falta $ tela"))</f>
        <v/>
      </c>
      <c r="H329" s="32" t="str">
        <f aca="false">IF(A329="","",A329&amp;"|"&amp;COUNTIF($A$5:A329,A329))</f>
        <v/>
      </c>
    </row>
    <row r="330" customFormat="false" ht="15" hidden="false" customHeight="false" outlineLevel="0" collapsed="false">
      <c r="A330" s="28"/>
      <c r="B330" s="28"/>
      <c r="C330" s="28"/>
      <c r="D330" s="31"/>
      <c r="E330" s="10"/>
      <c r="F330" s="28"/>
      <c r="G330" s="11" t="str">
        <f aca="false">IF(OR(A330="",N(D330)=0),"",IFERROR(D330*(1+IFERROR(IF(ISNUMBER(INDEX(Moldes!$K$5:$K$154,MATCH(A330,Moldes!$A$5:$A$154,0))),INDEX(Moldes!$K$5:$K$154,MATCH(A330,Moldes!$A$5:$A$154,0)),Precios!$Q$12),Precios!$Q$12))*(INDEX(Precios!$F$5:$F$124,MATCH(E330,Precios!$A$5:$A$124,0))+IF(F330="Sí",Precios!$Q$10,0)),"falta $ tela"))</f>
        <v/>
      </c>
      <c r="H330" s="32" t="str">
        <f aca="false">IF(A330="","",A330&amp;"|"&amp;COUNTIF($A$5:A330,A330))</f>
        <v/>
      </c>
    </row>
    <row r="331" customFormat="false" ht="15" hidden="false" customHeight="false" outlineLevel="0" collapsed="false">
      <c r="A331" s="28"/>
      <c r="B331" s="28"/>
      <c r="C331" s="28"/>
      <c r="D331" s="31"/>
      <c r="E331" s="10"/>
      <c r="F331" s="28"/>
      <c r="G331" s="11" t="str">
        <f aca="false">IF(OR(A331="",N(D331)=0),"",IFERROR(D331*(1+IFERROR(IF(ISNUMBER(INDEX(Moldes!$K$5:$K$154,MATCH(A331,Moldes!$A$5:$A$154,0))),INDEX(Moldes!$K$5:$K$154,MATCH(A331,Moldes!$A$5:$A$154,0)),Precios!$Q$12),Precios!$Q$12))*(INDEX(Precios!$F$5:$F$124,MATCH(E331,Precios!$A$5:$A$124,0))+IF(F331="Sí",Precios!$Q$10,0)),"falta $ tela"))</f>
        <v/>
      </c>
      <c r="H331" s="32" t="str">
        <f aca="false">IF(A331="","",A331&amp;"|"&amp;COUNTIF($A$5:A331,A331))</f>
        <v/>
      </c>
    </row>
    <row r="332" customFormat="false" ht="15" hidden="false" customHeight="false" outlineLevel="0" collapsed="false">
      <c r="A332" s="28"/>
      <c r="B332" s="28"/>
      <c r="C332" s="28"/>
      <c r="D332" s="31"/>
      <c r="E332" s="10"/>
      <c r="F332" s="28"/>
      <c r="G332" s="11" t="str">
        <f aca="false">IF(OR(A332="",N(D332)=0),"",IFERROR(D332*(1+IFERROR(IF(ISNUMBER(INDEX(Moldes!$K$5:$K$154,MATCH(A332,Moldes!$A$5:$A$154,0))),INDEX(Moldes!$K$5:$K$154,MATCH(A332,Moldes!$A$5:$A$154,0)),Precios!$Q$12),Precios!$Q$12))*(INDEX(Precios!$F$5:$F$124,MATCH(E332,Precios!$A$5:$A$124,0))+IF(F332="Sí",Precios!$Q$10,0)),"falta $ tela"))</f>
        <v/>
      </c>
      <c r="H332" s="32" t="str">
        <f aca="false">IF(A332="","",A332&amp;"|"&amp;COUNTIF($A$5:A332,A332))</f>
        <v/>
      </c>
    </row>
    <row r="333" customFormat="false" ht="15" hidden="false" customHeight="false" outlineLevel="0" collapsed="false">
      <c r="A333" s="28"/>
      <c r="B333" s="28"/>
      <c r="C333" s="28"/>
      <c r="D333" s="31"/>
      <c r="E333" s="10"/>
      <c r="F333" s="28"/>
      <c r="G333" s="11" t="str">
        <f aca="false">IF(OR(A333="",N(D333)=0),"",IFERROR(D333*(1+IFERROR(IF(ISNUMBER(INDEX(Moldes!$K$5:$K$154,MATCH(A333,Moldes!$A$5:$A$154,0))),INDEX(Moldes!$K$5:$K$154,MATCH(A333,Moldes!$A$5:$A$154,0)),Precios!$Q$12),Precios!$Q$12))*(INDEX(Precios!$F$5:$F$124,MATCH(E333,Precios!$A$5:$A$124,0))+IF(F333="Sí",Precios!$Q$10,0)),"falta $ tela"))</f>
        <v/>
      </c>
      <c r="H333" s="32" t="str">
        <f aca="false">IF(A333="","",A333&amp;"|"&amp;COUNTIF($A$5:A333,A333))</f>
        <v/>
      </c>
    </row>
    <row r="334" customFormat="false" ht="15" hidden="false" customHeight="false" outlineLevel="0" collapsed="false">
      <c r="A334" s="28"/>
      <c r="B334" s="28"/>
      <c r="C334" s="28"/>
      <c r="D334" s="31"/>
      <c r="E334" s="10"/>
      <c r="F334" s="28"/>
      <c r="G334" s="11" t="str">
        <f aca="false">IF(OR(A334="",N(D334)=0),"",IFERROR(D334*(1+IFERROR(IF(ISNUMBER(INDEX(Moldes!$K$5:$K$154,MATCH(A334,Moldes!$A$5:$A$154,0))),INDEX(Moldes!$K$5:$K$154,MATCH(A334,Moldes!$A$5:$A$154,0)),Precios!$Q$12),Precios!$Q$12))*(INDEX(Precios!$F$5:$F$124,MATCH(E334,Precios!$A$5:$A$124,0))+IF(F334="Sí",Precios!$Q$10,0)),"falta $ tela"))</f>
        <v/>
      </c>
      <c r="H334" s="32" t="str">
        <f aca="false">IF(A334="","",A334&amp;"|"&amp;COUNTIF($A$5:A334,A334))</f>
        <v/>
      </c>
    </row>
    <row r="335" customFormat="false" ht="15" hidden="false" customHeight="false" outlineLevel="0" collapsed="false">
      <c r="A335" s="28"/>
      <c r="B335" s="28"/>
      <c r="C335" s="28"/>
      <c r="D335" s="31"/>
      <c r="E335" s="10"/>
      <c r="F335" s="28"/>
      <c r="G335" s="11" t="str">
        <f aca="false">IF(OR(A335="",N(D335)=0),"",IFERROR(D335*(1+IFERROR(IF(ISNUMBER(INDEX(Moldes!$K$5:$K$154,MATCH(A335,Moldes!$A$5:$A$154,0))),INDEX(Moldes!$K$5:$K$154,MATCH(A335,Moldes!$A$5:$A$154,0)),Precios!$Q$12),Precios!$Q$12))*(INDEX(Precios!$F$5:$F$124,MATCH(E335,Precios!$A$5:$A$124,0))+IF(F335="Sí",Precios!$Q$10,0)),"falta $ tela"))</f>
        <v/>
      </c>
      <c r="H335" s="32" t="str">
        <f aca="false">IF(A335="","",A335&amp;"|"&amp;COUNTIF($A$5:A335,A335))</f>
        <v/>
      </c>
    </row>
    <row r="336" customFormat="false" ht="15" hidden="false" customHeight="false" outlineLevel="0" collapsed="false">
      <c r="A336" s="28"/>
      <c r="B336" s="28"/>
      <c r="C336" s="28"/>
      <c r="D336" s="31"/>
      <c r="E336" s="10"/>
      <c r="F336" s="28"/>
      <c r="G336" s="11" t="str">
        <f aca="false">IF(OR(A336="",N(D336)=0),"",IFERROR(D336*(1+IFERROR(IF(ISNUMBER(INDEX(Moldes!$K$5:$K$154,MATCH(A336,Moldes!$A$5:$A$154,0))),INDEX(Moldes!$K$5:$K$154,MATCH(A336,Moldes!$A$5:$A$154,0)),Precios!$Q$12),Precios!$Q$12))*(INDEX(Precios!$F$5:$F$124,MATCH(E336,Precios!$A$5:$A$124,0))+IF(F336="Sí",Precios!$Q$10,0)),"falta $ tela"))</f>
        <v/>
      </c>
      <c r="H336" s="32" t="str">
        <f aca="false">IF(A336="","",A336&amp;"|"&amp;COUNTIF($A$5:A336,A336))</f>
        <v/>
      </c>
    </row>
    <row r="337" customFormat="false" ht="15" hidden="false" customHeight="false" outlineLevel="0" collapsed="false">
      <c r="A337" s="28"/>
      <c r="B337" s="28"/>
      <c r="C337" s="28"/>
      <c r="D337" s="31"/>
      <c r="E337" s="10"/>
      <c r="F337" s="28"/>
      <c r="G337" s="11" t="str">
        <f aca="false">IF(OR(A337="",N(D337)=0),"",IFERROR(D337*(1+IFERROR(IF(ISNUMBER(INDEX(Moldes!$K$5:$K$154,MATCH(A337,Moldes!$A$5:$A$154,0))),INDEX(Moldes!$K$5:$K$154,MATCH(A337,Moldes!$A$5:$A$154,0)),Precios!$Q$12),Precios!$Q$12))*(INDEX(Precios!$F$5:$F$124,MATCH(E337,Precios!$A$5:$A$124,0))+IF(F337="Sí",Precios!$Q$10,0)),"falta $ tela"))</f>
        <v/>
      </c>
      <c r="H337" s="32" t="str">
        <f aca="false">IF(A337="","",A337&amp;"|"&amp;COUNTIF($A$5:A337,A337))</f>
        <v/>
      </c>
    </row>
    <row r="338" customFormat="false" ht="15" hidden="false" customHeight="false" outlineLevel="0" collapsed="false">
      <c r="A338" s="28"/>
      <c r="B338" s="28"/>
      <c r="C338" s="28"/>
      <c r="D338" s="31"/>
      <c r="E338" s="10"/>
      <c r="F338" s="28"/>
      <c r="G338" s="11" t="str">
        <f aca="false">IF(OR(A338="",N(D338)=0),"",IFERROR(D338*(1+IFERROR(IF(ISNUMBER(INDEX(Moldes!$K$5:$K$154,MATCH(A338,Moldes!$A$5:$A$154,0))),INDEX(Moldes!$K$5:$K$154,MATCH(A338,Moldes!$A$5:$A$154,0)),Precios!$Q$12),Precios!$Q$12))*(INDEX(Precios!$F$5:$F$124,MATCH(E338,Precios!$A$5:$A$124,0))+IF(F338="Sí",Precios!$Q$10,0)),"falta $ tela"))</f>
        <v/>
      </c>
      <c r="H338" s="32" t="str">
        <f aca="false">IF(A338="","",A338&amp;"|"&amp;COUNTIF($A$5:A338,A338))</f>
        <v/>
      </c>
    </row>
    <row r="339" customFormat="false" ht="15" hidden="false" customHeight="false" outlineLevel="0" collapsed="false">
      <c r="A339" s="28"/>
      <c r="B339" s="28"/>
      <c r="C339" s="28"/>
      <c r="D339" s="31"/>
      <c r="E339" s="10"/>
      <c r="F339" s="28"/>
      <c r="G339" s="11" t="str">
        <f aca="false">IF(OR(A339="",N(D339)=0),"",IFERROR(D339*(1+IFERROR(IF(ISNUMBER(INDEX(Moldes!$K$5:$K$154,MATCH(A339,Moldes!$A$5:$A$154,0))),INDEX(Moldes!$K$5:$K$154,MATCH(A339,Moldes!$A$5:$A$154,0)),Precios!$Q$12),Precios!$Q$12))*(INDEX(Precios!$F$5:$F$124,MATCH(E339,Precios!$A$5:$A$124,0))+IF(F339="Sí",Precios!$Q$10,0)),"falta $ tela"))</f>
        <v/>
      </c>
      <c r="H339" s="32" t="str">
        <f aca="false">IF(A339="","",A339&amp;"|"&amp;COUNTIF($A$5:A339,A339))</f>
        <v/>
      </c>
    </row>
    <row r="340" customFormat="false" ht="15" hidden="false" customHeight="false" outlineLevel="0" collapsed="false">
      <c r="A340" s="28"/>
      <c r="B340" s="28"/>
      <c r="C340" s="28"/>
      <c r="D340" s="31"/>
      <c r="E340" s="10"/>
      <c r="F340" s="28"/>
      <c r="G340" s="11" t="str">
        <f aca="false">IF(OR(A340="",N(D340)=0),"",IFERROR(D340*(1+IFERROR(IF(ISNUMBER(INDEX(Moldes!$K$5:$K$154,MATCH(A340,Moldes!$A$5:$A$154,0))),INDEX(Moldes!$K$5:$K$154,MATCH(A340,Moldes!$A$5:$A$154,0)),Precios!$Q$12),Precios!$Q$12))*(INDEX(Precios!$F$5:$F$124,MATCH(E340,Precios!$A$5:$A$124,0))+IF(F340="Sí",Precios!$Q$10,0)),"falta $ tela"))</f>
        <v/>
      </c>
      <c r="H340" s="32" t="str">
        <f aca="false">IF(A340="","",A340&amp;"|"&amp;COUNTIF($A$5:A340,A340))</f>
        <v/>
      </c>
    </row>
    <row r="341" customFormat="false" ht="15" hidden="false" customHeight="false" outlineLevel="0" collapsed="false">
      <c r="A341" s="28"/>
      <c r="B341" s="28"/>
      <c r="C341" s="28"/>
      <c r="D341" s="31"/>
      <c r="E341" s="10"/>
      <c r="F341" s="28"/>
      <c r="G341" s="11" t="str">
        <f aca="false">IF(OR(A341="",N(D341)=0),"",IFERROR(D341*(1+IFERROR(IF(ISNUMBER(INDEX(Moldes!$K$5:$K$154,MATCH(A341,Moldes!$A$5:$A$154,0))),INDEX(Moldes!$K$5:$K$154,MATCH(A341,Moldes!$A$5:$A$154,0)),Precios!$Q$12),Precios!$Q$12))*(INDEX(Precios!$F$5:$F$124,MATCH(E341,Precios!$A$5:$A$124,0))+IF(F341="Sí",Precios!$Q$10,0)),"falta $ tela"))</f>
        <v/>
      </c>
      <c r="H341" s="32" t="str">
        <f aca="false">IF(A341="","",A341&amp;"|"&amp;COUNTIF($A$5:A341,A341))</f>
        <v/>
      </c>
    </row>
    <row r="342" customFormat="false" ht="15" hidden="false" customHeight="false" outlineLevel="0" collapsed="false">
      <c r="A342" s="28"/>
      <c r="B342" s="28"/>
      <c r="C342" s="28"/>
      <c r="D342" s="31"/>
      <c r="E342" s="10"/>
      <c r="F342" s="28"/>
      <c r="G342" s="11" t="str">
        <f aca="false">IF(OR(A342="",N(D342)=0),"",IFERROR(D342*(1+IFERROR(IF(ISNUMBER(INDEX(Moldes!$K$5:$K$154,MATCH(A342,Moldes!$A$5:$A$154,0))),INDEX(Moldes!$K$5:$K$154,MATCH(A342,Moldes!$A$5:$A$154,0)),Precios!$Q$12),Precios!$Q$12))*(INDEX(Precios!$F$5:$F$124,MATCH(E342,Precios!$A$5:$A$124,0))+IF(F342="Sí",Precios!$Q$10,0)),"falta $ tela"))</f>
        <v/>
      </c>
      <c r="H342" s="32" t="str">
        <f aca="false">IF(A342="","",A342&amp;"|"&amp;COUNTIF($A$5:A342,A342))</f>
        <v/>
      </c>
    </row>
    <row r="343" customFormat="false" ht="15" hidden="false" customHeight="false" outlineLevel="0" collapsed="false">
      <c r="A343" s="28"/>
      <c r="B343" s="28"/>
      <c r="C343" s="28"/>
      <c r="D343" s="31"/>
      <c r="E343" s="10"/>
      <c r="F343" s="28"/>
      <c r="G343" s="11" t="str">
        <f aca="false">IF(OR(A343="",N(D343)=0),"",IFERROR(D343*(1+IFERROR(IF(ISNUMBER(INDEX(Moldes!$K$5:$K$154,MATCH(A343,Moldes!$A$5:$A$154,0))),INDEX(Moldes!$K$5:$K$154,MATCH(A343,Moldes!$A$5:$A$154,0)),Precios!$Q$12),Precios!$Q$12))*(INDEX(Precios!$F$5:$F$124,MATCH(E343,Precios!$A$5:$A$124,0))+IF(F343="Sí",Precios!$Q$10,0)),"falta $ tela"))</f>
        <v/>
      </c>
      <c r="H343" s="32" t="str">
        <f aca="false">IF(A343="","",A343&amp;"|"&amp;COUNTIF($A$5:A343,A343))</f>
        <v/>
      </c>
    </row>
    <row r="344" customFormat="false" ht="15" hidden="false" customHeight="false" outlineLevel="0" collapsed="false">
      <c r="A344" s="28"/>
      <c r="B344" s="28"/>
      <c r="C344" s="28"/>
      <c r="D344" s="31"/>
      <c r="E344" s="10"/>
      <c r="F344" s="28"/>
      <c r="G344" s="11" t="str">
        <f aca="false">IF(OR(A344="",N(D344)=0),"",IFERROR(D344*(1+IFERROR(IF(ISNUMBER(INDEX(Moldes!$K$5:$K$154,MATCH(A344,Moldes!$A$5:$A$154,0))),INDEX(Moldes!$K$5:$K$154,MATCH(A344,Moldes!$A$5:$A$154,0)),Precios!$Q$12),Precios!$Q$12))*(INDEX(Precios!$F$5:$F$124,MATCH(E344,Precios!$A$5:$A$124,0))+IF(F344="Sí",Precios!$Q$10,0)),"falta $ tela"))</f>
        <v/>
      </c>
      <c r="H344" s="32" t="str">
        <f aca="false">IF(A344="","",A344&amp;"|"&amp;COUNTIF($A$5:A344,A344))</f>
        <v/>
      </c>
    </row>
    <row r="345" customFormat="false" ht="15" hidden="false" customHeight="false" outlineLevel="0" collapsed="false">
      <c r="A345" s="28"/>
      <c r="B345" s="28"/>
      <c r="C345" s="28"/>
      <c r="D345" s="31"/>
      <c r="E345" s="10"/>
      <c r="F345" s="28"/>
      <c r="G345" s="11" t="str">
        <f aca="false">IF(OR(A345="",N(D345)=0),"",IFERROR(D345*(1+IFERROR(IF(ISNUMBER(INDEX(Moldes!$K$5:$K$154,MATCH(A345,Moldes!$A$5:$A$154,0))),INDEX(Moldes!$K$5:$K$154,MATCH(A345,Moldes!$A$5:$A$154,0)),Precios!$Q$12),Precios!$Q$12))*(INDEX(Precios!$F$5:$F$124,MATCH(E345,Precios!$A$5:$A$124,0))+IF(F345="Sí",Precios!$Q$10,0)),"falta $ tela"))</f>
        <v/>
      </c>
      <c r="H345" s="32" t="str">
        <f aca="false">IF(A345="","",A345&amp;"|"&amp;COUNTIF($A$5:A345,A345))</f>
        <v/>
      </c>
    </row>
    <row r="346" customFormat="false" ht="15" hidden="false" customHeight="false" outlineLevel="0" collapsed="false">
      <c r="A346" s="28"/>
      <c r="B346" s="28"/>
      <c r="C346" s="28"/>
      <c r="D346" s="31"/>
      <c r="E346" s="10"/>
      <c r="F346" s="28"/>
      <c r="G346" s="11" t="str">
        <f aca="false">IF(OR(A346="",N(D346)=0),"",IFERROR(D346*(1+IFERROR(IF(ISNUMBER(INDEX(Moldes!$K$5:$K$154,MATCH(A346,Moldes!$A$5:$A$154,0))),INDEX(Moldes!$K$5:$K$154,MATCH(A346,Moldes!$A$5:$A$154,0)),Precios!$Q$12),Precios!$Q$12))*(INDEX(Precios!$F$5:$F$124,MATCH(E346,Precios!$A$5:$A$124,0))+IF(F346="Sí",Precios!$Q$10,0)),"falta $ tela"))</f>
        <v/>
      </c>
      <c r="H346" s="32" t="str">
        <f aca="false">IF(A346="","",A346&amp;"|"&amp;COUNTIF($A$5:A346,A346))</f>
        <v/>
      </c>
    </row>
    <row r="347" customFormat="false" ht="15" hidden="false" customHeight="false" outlineLevel="0" collapsed="false">
      <c r="A347" s="28"/>
      <c r="B347" s="28"/>
      <c r="C347" s="28"/>
      <c r="D347" s="31"/>
      <c r="E347" s="10"/>
      <c r="F347" s="28"/>
      <c r="G347" s="11" t="str">
        <f aca="false">IF(OR(A347="",N(D347)=0),"",IFERROR(D347*(1+IFERROR(IF(ISNUMBER(INDEX(Moldes!$K$5:$K$154,MATCH(A347,Moldes!$A$5:$A$154,0))),INDEX(Moldes!$K$5:$K$154,MATCH(A347,Moldes!$A$5:$A$154,0)),Precios!$Q$12),Precios!$Q$12))*(INDEX(Precios!$F$5:$F$124,MATCH(E347,Precios!$A$5:$A$124,0))+IF(F347="Sí",Precios!$Q$10,0)),"falta $ tela"))</f>
        <v/>
      </c>
      <c r="H347" s="32" t="str">
        <f aca="false">IF(A347="","",A347&amp;"|"&amp;COUNTIF($A$5:A347,A347))</f>
        <v/>
      </c>
    </row>
    <row r="348" customFormat="false" ht="15" hidden="false" customHeight="false" outlineLevel="0" collapsed="false">
      <c r="A348" s="28"/>
      <c r="B348" s="28"/>
      <c r="C348" s="28"/>
      <c r="D348" s="31"/>
      <c r="E348" s="10"/>
      <c r="F348" s="28"/>
      <c r="G348" s="11" t="str">
        <f aca="false">IF(OR(A348="",N(D348)=0),"",IFERROR(D348*(1+IFERROR(IF(ISNUMBER(INDEX(Moldes!$K$5:$K$154,MATCH(A348,Moldes!$A$5:$A$154,0))),INDEX(Moldes!$K$5:$K$154,MATCH(A348,Moldes!$A$5:$A$154,0)),Precios!$Q$12),Precios!$Q$12))*(INDEX(Precios!$F$5:$F$124,MATCH(E348,Precios!$A$5:$A$124,0))+IF(F348="Sí",Precios!$Q$10,0)),"falta $ tela"))</f>
        <v/>
      </c>
      <c r="H348" s="32" t="str">
        <f aca="false">IF(A348="","",A348&amp;"|"&amp;COUNTIF($A$5:A348,A348))</f>
        <v/>
      </c>
    </row>
    <row r="349" customFormat="false" ht="15" hidden="false" customHeight="false" outlineLevel="0" collapsed="false">
      <c r="A349" s="28"/>
      <c r="B349" s="28"/>
      <c r="C349" s="28"/>
      <c r="D349" s="31"/>
      <c r="E349" s="10"/>
      <c r="F349" s="28"/>
      <c r="G349" s="11" t="str">
        <f aca="false">IF(OR(A349="",N(D349)=0),"",IFERROR(D349*(1+IFERROR(IF(ISNUMBER(INDEX(Moldes!$K$5:$K$154,MATCH(A349,Moldes!$A$5:$A$154,0))),INDEX(Moldes!$K$5:$K$154,MATCH(A349,Moldes!$A$5:$A$154,0)),Precios!$Q$12),Precios!$Q$12))*(INDEX(Precios!$F$5:$F$124,MATCH(E349,Precios!$A$5:$A$124,0))+IF(F349="Sí",Precios!$Q$10,0)),"falta $ tela"))</f>
        <v/>
      </c>
      <c r="H349" s="32" t="str">
        <f aca="false">IF(A349="","",A349&amp;"|"&amp;COUNTIF($A$5:A349,A349))</f>
        <v/>
      </c>
    </row>
    <row r="350" customFormat="false" ht="15" hidden="false" customHeight="false" outlineLevel="0" collapsed="false">
      <c r="A350" s="28"/>
      <c r="B350" s="28"/>
      <c r="C350" s="28"/>
      <c r="D350" s="31"/>
      <c r="E350" s="10"/>
      <c r="F350" s="28"/>
      <c r="G350" s="11" t="str">
        <f aca="false">IF(OR(A350="",N(D350)=0),"",IFERROR(D350*(1+IFERROR(IF(ISNUMBER(INDEX(Moldes!$K$5:$K$154,MATCH(A350,Moldes!$A$5:$A$154,0))),INDEX(Moldes!$K$5:$K$154,MATCH(A350,Moldes!$A$5:$A$154,0)),Precios!$Q$12),Precios!$Q$12))*(INDEX(Precios!$F$5:$F$124,MATCH(E350,Precios!$A$5:$A$124,0))+IF(F350="Sí",Precios!$Q$10,0)),"falta $ tela"))</f>
        <v/>
      </c>
      <c r="H350" s="32" t="str">
        <f aca="false">IF(A350="","",A350&amp;"|"&amp;COUNTIF($A$5:A350,A350))</f>
        <v/>
      </c>
    </row>
    <row r="351" customFormat="false" ht="15" hidden="false" customHeight="false" outlineLevel="0" collapsed="false">
      <c r="A351" s="28"/>
      <c r="B351" s="28"/>
      <c r="C351" s="28"/>
      <c r="D351" s="31"/>
      <c r="E351" s="10"/>
      <c r="F351" s="28"/>
      <c r="G351" s="11" t="str">
        <f aca="false">IF(OR(A351="",N(D351)=0),"",IFERROR(D351*(1+IFERROR(IF(ISNUMBER(INDEX(Moldes!$K$5:$K$154,MATCH(A351,Moldes!$A$5:$A$154,0))),INDEX(Moldes!$K$5:$K$154,MATCH(A351,Moldes!$A$5:$A$154,0)),Precios!$Q$12),Precios!$Q$12))*(INDEX(Precios!$F$5:$F$124,MATCH(E351,Precios!$A$5:$A$124,0))+IF(F351="Sí",Precios!$Q$10,0)),"falta $ tela"))</f>
        <v/>
      </c>
      <c r="H351" s="32" t="str">
        <f aca="false">IF(A351="","",A351&amp;"|"&amp;COUNTIF($A$5:A351,A351))</f>
        <v/>
      </c>
    </row>
    <row r="352" customFormat="false" ht="15" hidden="false" customHeight="false" outlineLevel="0" collapsed="false">
      <c r="A352" s="28"/>
      <c r="B352" s="28"/>
      <c r="C352" s="28"/>
      <c r="D352" s="31"/>
      <c r="E352" s="10"/>
      <c r="F352" s="28"/>
      <c r="G352" s="11" t="str">
        <f aca="false">IF(OR(A352="",N(D352)=0),"",IFERROR(D352*(1+IFERROR(IF(ISNUMBER(INDEX(Moldes!$K$5:$K$154,MATCH(A352,Moldes!$A$5:$A$154,0))),INDEX(Moldes!$K$5:$K$154,MATCH(A352,Moldes!$A$5:$A$154,0)),Precios!$Q$12),Precios!$Q$12))*(INDEX(Precios!$F$5:$F$124,MATCH(E352,Precios!$A$5:$A$124,0))+IF(F352="Sí",Precios!$Q$10,0)),"falta $ tela"))</f>
        <v/>
      </c>
      <c r="H352" s="32" t="str">
        <f aca="false">IF(A352="","",A352&amp;"|"&amp;COUNTIF($A$5:A352,A352))</f>
        <v/>
      </c>
    </row>
    <row r="353" customFormat="false" ht="15" hidden="false" customHeight="false" outlineLevel="0" collapsed="false">
      <c r="A353" s="28"/>
      <c r="B353" s="28"/>
      <c r="C353" s="28"/>
      <c r="D353" s="31"/>
      <c r="E353" s="10"/>
      <c r="F353" s="28"/>
      <c r="G353" s="11" t="str">
        <f aca="false">IF(OR(A353="",N(D353)=0),"",IFERROR(D353*(1+IFERROR(IF(ISNUMBER(INDEX(Moldes!$K$5:$K$154,MATCH(A353,Moldes!$A$5:$A$154,0))),INDEX(Moldes!$K$5:$K$154,MATCH(A353,Moldes!$A$5:$A$154,0)),Precios!$Q$12),Precios!$Q$12))*(INDEX(Precios!$F$5:$F$124,MATCH(E353,Precios!$A$5:$A$124,0))+IF(F353="Sí",Precios!$Q$10,0)),"falta $ tela"))</f>
        <v/>
      </c>
      <c r="H353" s="32" t="str">
        <f aca="false">IF(A353="","",A353&amp;"|"&amp;COUNTIF($A$5:A353,A353))</f>
        <v/>
      </c>
    </row>
    <row r="354" customFormat="false" ht="15" hidden="false" customHeight="false" outlineLevel="0" collapsed="false">
      <c r="A354" s="28"/>
      <c r="B354" s="28"/>
      <c r="C354" s="28"/>
      <c r="D354" s="31"/>
      <c r="E354" s="10"/>
      <c r="F354" s="28"/>
      <c r="G354" s="11" t="str">
        <f aca="false">IF(OR(A354="",N(D354)=0),"",IFERROR(D354*(1+IFERROR(IF(ISNUMBER(INDEX(Moldes!$K$5:$K$154,MATCH(A354,Moldes!$A$5:$A$154,0))),INDEX(Moldes!$K$5:$K$154,MATCH(A354,Moldes!$A$5:$A$154,0)),Precios!$Q$12),Precios!$Q$12))*(INDEX(Precios!$F$5:$F$124,MATCH(E354,Precios!$A$5:$A$124,0))+IF(F354="Sí",Precios!$Q$10,0)),"falta $ tela"))</f>
        <v/>
      </c>
      <c r="H354" s="32" t="str">
        <f aca="false">IF(A354="","",A354&amp;"|"&amp;COUNTIF($A$5:A354,A354))</f>
        <v/>
      </c>
    </row>
    <row r="355" customFormat="false" ht="15" hidden="false" customHeight="false" outlineLevel="0" collapsed="false">
      <c r="A355" s="28"/>
      <c r="B355" s="28"/>
      <c r="C355" s="28"/>
      <c r="D355" s="31"/>
      <c r="E355" s="10"/>
      <c r="F355" s="28"/>
      <c r="G355" s="11" t="str">
        <f aca="false">IF(OR(A355="",N(D355)=0),"",IFERROR(D355*(1+IFERROR(IF(ISNUMBER(INDEX(Moldes!$K$5:$K$154,MATCH(A355,Moldes!$A$5:$A$154,0))),INDEX(Moldes!$K$5:$K$154,MATCH(A355,Moldes!$A$5:$A$154,0)),Precios!$Q$12),Precios!$Q$12))*(INDEX(Precios!$F$5:$F$124,MATCH(E355,Precios!$A$5:$A$124,0))+IF(F355="Sí",Precios!$Q$10,0)),"falta $ tela"))</f>
        <v/>
      </c>
      <c r="H355" s="32" t="str">
        <f aca="false">IF(A355="","",A355&amp;"|"&amp;COUNTIF($A$5:A355,A355))</f>
        <v/>
      </c>
    </row>
    <row r="356" customFormat="false" ht="15" hidden="false" customHeight="false" outlineLevel="0" collapsed="false">
      <c r="A356" s="28"/>
      <c r="B356" s="28"/>
      <c r="C356" s="28"/>
      <c r="D356" s="31"/>
      <c r="E356" s="10"/>
      <c r="F356" s="28"/>
      <c r="G356" s="11" t="str">
        <f aca="false">IF(OR(A356="",N(D356)=0),"",IFERROR(D356*(1+IFERROR(IF(ISNUMBER(INDEX(Moldes!$K$5:$K$154,MATCH(A356,Moldes!$A$5:$A$154,0))),INDEX(Moldes!$K$5:$K$154,MATCH(A356,Moldes!$A$5:$A$154,0)),Precios!$Q$12),Precios!$Q$12))*(INDEX(Precios!$F$5:$F$124,MATCH(E356,Precios!$A$5:$A$124,0))+IF(F356="Sí",Precios!$Q$10,0)),"falta $ tela"))</f>
        <v/>
      </c>
      <c r="H356" s="32" t="str">
        <f aca="false">IF(A356="","",A356&amp;"|"&amp;COUNTIF($A$5:A356,A356))</f>
        <v/>
      </c>
    </row>
    <row r="357" customFormat="false" ht="15" hidden="false" customHeight="false" outlineLevel="0" collapsed="false">
      <c r="A357" s="28"/>
      <c r="B357" s="28"/>
      <c r="C357" s="28"/>
      <c r="D357" s="31"/>
      <c r="E357" s="10"/>
      <c r="F357" s="28"/>
      <c r="G357" s="11" t="str">
        <f aca="false">IF(OR(A357="",N(D357)=0),"",IFERROR(D357*(1+IFERROR(IF(ISNUMBER(INDEX(Moldes!$K$5:$K$154,MATCH(A357,Moldes!$A$5:$A$154,0))),INDEX(Moldes!$K$5:$K$154,MATCH(A357,Moldes!$A$5:$A$154,0)),Precios!$Q$12),Precios!$Q$12))*(INDEX(Precios!$F$5:$F$124,MATCH(E357,Precios!$A$5:$A$124,0))+IF(F357="Sí",Precios!$Q$10,0)),"falta $ tela"))</f>
        <v/>
      </c>
      <c r="H357" s="32" t="str">
        <f aca="false">IF(A357="","",A357&amp;"|"&amp;COUNTIF($A$5:A357,A357))</f>
        <v/>
      </c>
    </row>
    <row r="358" customFormat="false" ht="15" hidden="false" customHeight="false" outlineLevel="0" collapsed="false">
      <c r="A358" s="28"/>
      <c r="B358" s="28"/>
      <c r="C358" s="28"/>
      <c r="D358" s="31"/>
      <c r="E358" s="10"/>
      <c r="F358" s="28"/>
      <c r="G358" s="11" t="str">
        <f aca="false">IF(OR(A358="",N(D358)=0),"",IFERROR(D358*(1+IFERROR(IF(ISNUMBER(INDEX(Moldes!$K$5:$K$154,MATCH(A358,Moldes!$A$5:$A$154,0))),INDEX(Moldes!$K$5:$K$154,MATCH(A358,Moldes!$A$5:$A$154,0)),Precios!$Q$12),Precios!$Q$12))*(INDEX(Precios!$F$5:$F$124,MATCH(E358,Precios!$A$5:$A$124,0))+IF(F358="Sí",Precios!$Q$10,0)),"falta $ tela"))</f>
        <v/>
      </c>
      <c r="H358" s="32" t="str">
        <f aca="false">IF(A358="","",A358&amp;"|"&amp;COUNTIF($A$5:A358,A358))</f>
        <v/>
      </c>
    </row>
    <row r="359" customFormat="false" ht="15" hidden="false" customHeight="false" outlineLevel="0" collapsed="false">
      <c r="A359" s="28"/>
      <c r="B359" s="28"/>
      <c r="C359" s="28"/>
      <c r="D359" s="31"/>
      <c r="E359" s="10"/>
      <c r="F359" s="28"/>
      <c r="G359" s="11" t="str">
        <f aca="false">IF(OR(A359="",N(D359)=0),"",IFERROR(D359*(1+IFERROR(IF(ISNUMBER(INDEX(Moldes!$K$5:$K$154,MATCH(A359,Moldes!$A$5:$A$154,0))),INDEX(Moldes!$K$5:$K$154,MATCH(A359,Moldes!$A$5:$A$154,0)),Precios!$Q$12),Precios!$Q$12))*(INDEX(Precios!$F$5:$F$124,MATCH(E359,Precios!$A$5:$A$124,0))+IF(F359="Sí",Precios!$Q$10,0)),"falta $ tela"))</f>
        <v/>
      </c>
      <c r="H359" s="32" t="str">
        <f aca="false">IF(A359="","",A359&amp;"|"&amp;COUNTIF($A$5:A359,A359))</f>
        <v/>
      </c>
    </row>
    <row r="360" customFormat="false" ht="15" hidden="false" customHeight="false" outlineLevel="0" collapsed="false">
      <c r="A360" s="28"/>
      <c r="B360" s="28"/>
      <c r="C360" s="28"/>
      <c r="D360" s="31"/>
      <c r="E360" s="10"/>
      <c r="F360" s="28"/>
      <c r="G360" s="11" t="str">
        <f aca="false">IF(OR(A360="",N(D360)=0),"",IFERROR(D360*(1+IFERROR(IF(ISNUMBER(INDEX(Moldes!$K$5:$K$154,MATCH(A360,Moldes!$A$5:$A$154,0))),INDEX(Moldes!$K$5:$K$154,MATCH(A360,Moldes!$A$5:$A$154,0)),Precios!$Q$12),Precios!$Q$12))*(INDEX(Precios!$F$5:$F$124,MATCH(E360,Precios!$A$5:$A$124,0))+IF(F360="Sí",Precios!$Q$10,0)),"falta $ tela"))</f>
        <v/>
      </c>
      <c r="H360" s="32" t="str">
        <f aca="false">IF(A360="","",A360&amp;"|"&amp;COUNTIF($A$5:A360,A360))</f>
        <v/>
      </c>
    </row>
    <row r="361" customFormat="false" ht="15" hidden="false" customHeight="false" outlineLevel="0" collapsed="false">
      <c r="A361" s="28"/>
      <c r="B361" s="28"/>
      <c r="C361" s="28"/>
      <c r="D361" s="31"/>
      <c r="E361" s="10"/>
      <c r="F361" s="28"/>
      <c r="G361" s="11" t="str">
        <f aca="false">IF(OR(A361="",N(D361)=0),"",IFERROR(D361*(1+IFERROR(IF(ISNUMBER(INDEX(Moldes!$K$5:$K$154,MATCH(A361,Moldes!$A$5:$A$154,0))),INDEX(Moldes!$K$5:$K$154,MATCH(A361,Moldes!$A$5:$A$154,0)),Precios!$Q$12),Precios!$Q$12))*(INDEX(Precios!$F$5:$F$124,MATCH(E361,Precios!$A$5:$A$124,0))+IF(F361="Sí",Precios!$Q$10,0)),"falta $ tela"))</f>
        <v/>
      </c>
      <c r="H361" s="32" t="str">
        <f aca="false">IF(A361="","",A361&amp;"|"&amp;COUNTIF($A$5:A361,A361))</f>
        <v/>
      </c>
    </row>
    <row r="362" customFormat="false" ht="15" hidden="false" customHeight="false" outlineLevel="0" collapsed="false">
      <c r="A362" s="28"/>
      <c r="B362" s="28"/>
      <c r="C362" s="28"/>
      <c r="D362" s="31"/>
      <c r="E362" s="10"/>
      <c r="F362" s="28"/>
      <c r="G362" s="11" t="str">
        <f aca="false">IF(OR(A362="",N(D362)=0),"",IFERROR(D362*(1+IFERROR(IF(ISNUMBER(INDEX(Moldes!$K$5:$K$154,MATCH(A362,Moldes!$A$5:$A$154,0))),INDEX(Moldes!$K$5:$K$154,MATCH(A362,Moldes!$A$5:$A$154,0)),Precios!$Q$12),Precios!$Q$12))*(INDEX(Precios!$F$5:$F$124,MATCH(E362,Precios!$A$5:$A$124,0))+IF(F362="Sí",Precios!$Q$10,0)),"falta $ tela"))</f>
        <v/>
      </c>
      <c r="H362" s="32" t="str">
        <f aca="false">IF(A362="","",A362&amp;"|"&amp;COUNTIF($A$5:A362,A362))</f>
        <v/>
      </c>
    </row>
    <row r="363" customFormat="false" ht="15" hidden="false" customHeight="false" outlineLevel="0" collapsed="false">
      <c r="A363" s="28"/>
      <c r="B363" s="28"/>
      <c r="C363" s="28"/>
      <c r="D363" s="31"/>
      <c r="E363" s="10"/>
      <c r="F363" s="28"/>
      <c r="G363" s="11" t="str">
        <f aca="false">IF(OR(A363="",N(D363)=0),"",IFERROR(D363*(1+IFERROR(IF(ISNUMBER(INDEX(Moldes!$K$5:$K$154,MATCH(A363,Moldes!$A$5:$A$154,0))),INDEX(Moldes!$K$5:$K$154,MATCH(A363,Moldes!$A$5:$A$154,0)),Precios!$Q$12),Precios!$Q$12))*(INDEX(Precios!$F$5:$F$124,MATCH(E363,Precios!$A$5:$A$124,0))+IF(F363="Sí",Precios!$Q$10,0)),"falta $ tela"))</f>
        <v/>
      </c>
      <c r="H363" s="32" t="str">
        <f aca="false">IF(A363="","",A363&amp;"|"&amp;COUNTIF($A$5:A363,A363))</f>
        <v/>
      </c>
    </row>
    <row r="364" customFormat="false" ht="15" hidden="false" customHeight="false" outlineLevel="0" collapsed="false">
      <c r="A364" s="28"/>
      <c r="B364" s="28"/>
      <c r="C364" s="28"/>
      <c r="D364" s="31"/>
      <c r="E364" s="10"/>
      <c r="F364" s="28"/>
      <c r="G364" s="11" t="str">
        <f aca="false">IF(OR(A364="",N(D364)=0),"",IFERROR(D364*(1+IFERROR(IF(ISNUMBER(INDEX(Moldes!$K$5:$K$154,MATCH(A364,Moldes!$A$5:$A$154,0))),INDEX(Moldes!$K$5:$K$154,MATCH(A364,Moldes!$A$5:$A$154,0)),Precios!$Q$12),Precios!$Q$12))*(INDEX(Precios!$F$5:$F$124,MATCH(E364,Precios!$A$5:$A$124,0))+IF(F364="Sí",Precios!$Q$10,0)),"falta $ tela"))</f>
        <v/>
      </c>
      <c r="H364" s="32" t="str">
        <f aca="false">IF(A364="","",A364&amp;"|"&amp;COUNTIF($A$5:A364,A364))</f>
        <v/>
      </c>
    </row>
    <row r="365" customFormat="false" ht="15" hidden="false" customHeight="false" outlineLevel="0" collapsed="false">
      <c r="A365" s="28"/>
      <c r="B365" s="28"/>
      <c r="C365" s="28"/>
      <c r="D365" s="31"/>
      <c r="E365" s="10"/>
      <c r="F365" s="28"/>
      <c r="G365" s="11" t="str">
        <f aca="false">IF(OR(A365="",N(D365)=0),"",IFERROR(D365*(1+IFERROR(IF(ISNUMBER(INDEX(Moldes!$K$5:$K$154,MATCH(A365,Moldes!$A$5:$A$154,0))),INDEX(Moldes!$K$5:$K$154,MATCH(A365,Moldes!$A$5:$A$154,0)),Precios!$Q$12),Precios!$Q$12))*(INDEX(Precios!$F$5:$F$124,MATCH(E365,Precios!$A$5:$A$124,0))+IF(F365="Sí",Precios!$Q$10,0)),"falta $ tela"))</f>
        <v/>
      </c>
      <c r="H365" s="32" t="str">
        <f aca="false">IF(A365="","",A365&amp;"|"&amp;COUNTIF($A$5:A365,A365))</f>
        <v/>
      </c>
    </row>
    <row r="366" customFormat="false" ht="15" hidden="false" customHeight="false" outlineLevel="0" collapsed="false">
      <c r="A366" s="28"/>
      <c r="B366" s="28"/>
      <c r="C366" s="28"/>
      <c r="D366" s="31"/>
      <c r="E366" s="10"/>
      <c r="F366" s="28"/>
      <c r="G366" s="11" t="str">
        <f aca="false">IF(OR(A366="",N(D366)=0),"",IFERROR(D366*(1+IFERROR(IF(ISNUMBER(INDEX(Moldes!$K$5:$K$154,MATCH(A366,Moldes!$A$5:$A$154,0))),INDEX(Moldes!$K$5:$K$154,MATCH(A366,Moldes!$A$5:$A$154,0)),Precios!$Q$12),Precios!$Q$12))*(INDEX(Precios!$F$5:$F$124,MATCH(E366,Precios!$A$5:$A$124,0))+IF(F366="Sí",Precios!$Q$10,0)),"falta $ tela"))</f>
        <v/>
      </c>
      <c r="H366" s="32" t="str">
        <f aca="false">IF(A366="","",A366&amp;"|"&amp;COUNTIF($A$5:A366,A366))</f>
        <v/>
      </c>
    </row>
    <row r="367" customFormat="false" ht="15" hidden="false" customHeight="false" outlineLevel="0" collapsed="false">
      <c r="A367" s="28"/>
      <c r="B367" s="28"/>
      <c r="C367" s="28"/>
      <c r="D367" s="31"/>
      <c r="E367" s="10"/>
      <c r="F367" s="28"/>
      <c r="G367" s="11" t="str">
        <f aca="false">IF(OR(A367="",N(D367)=0),"",IFERROR(D367*(1+IFERROR(IF(ISNUMBER(INDEX(Moldes!$K$5:$K$154,MATCH(A367,Moldes!$A$5:$A$154,0))),INDEX(Moldes!$K$5:$K$154,MATCH(A367,Moldes!$A$5:$A$154,0)),Precios!$Q$12),Precios!$Q$12))*(INDEX(Precios!$F$5:$F$124,MATCH(E367,Precios!$A$5:$A$124,0))+IF(F367="Sí",Precios!$Q$10,0)),"falta $ tela"))</f>
        <v/>
      </c>
      <c r="H367" s="32" t="str">
        <f aca="false">IF(A367="","",A367&amp;"|"&amp;COUNTIF($A$5:A367,A367))</f>
        <v/>
      </c>
    </row>
    <row r="368" customFormat="false" ht="15" hidden="false" customHeight="false" outlineLevel="0" collapsed="false">
      <c r="A368" s="28"/>
      <c r="B368" s="28"/>
      <c r="C368" s="28"/>
      <c r="D368" s="31"/>
      <c r="E368" s="10"/>
      <c r="F368" s="28"/>
      <c r="G368" s="11" t="str">
        <f aca="false">IF(OR(A368="",N(D368)=0),"",IFERROR(D368*(1+IFERROR(IF(ISNUMBER(INDEX(Moldes!$K$5:$K$154,MATCH(A368,Moldes!$A$5:$A$154,0))),INDEX(Moldes!$K$5:$K$154,MATCH(A368,Moldes!$A$5:$A$154,0)),Precios!$Q$12),Precios!$Q$12))*(INDEX(Precios!$F$5:$F$124,MATCH(E368,Precios!$A$5:$A$124,0))+IF(F368="Sí",Precios!$Q$10,0)),"falta $ tela"))</f>
        <v/>
      </c>
      <c r="H368" s="32" t="str">
        <f aca="false">IF(A368="","",A368&amp;"|"&amp;COUNTIF($A$5:A368,A368))</f>
        <v/>
      </c>
    </row>
    <row r="369" customFormat="false" ht="15" hidden="false" customHeight="false" outlineLevel="0" collapsed="false">
      <c r="A369" s="28"/>
      <c r="B369" s="28"/>
      <c r="C369" s="28"/>
      <c r="D369" s="31"/>
      <c r="E369" s="10"/>
      <c r="F369" s="28"/>
      <c r="G369" s="11" t="str">
        <f aca="false">IF(OR(A369="",N(D369)=0),"",IFERROR(D369*(1+IFERROR(IF(ISNUMBER(INDEX(Moldes!$K$5:$K$154,MATCH(A369,Moldes!$A$5:$A$154,0))),INDEX(Moldes!$K$5:$K$154,MATCH(A369,Moldes!$A$5:$A$154,0)),Precios!$Q$12),Precios!$Q$12))*(INDEX(Precios!$F$5:$F$124,MATCH(E369,Precios!$A$5:$A$124,0))+IF(F369="Sí",Precios!$Q$10,0)),"falta $ tela"))</f>
        <v/>
      </c>
      <c r="H369" s="32" t="str">
        <f aca="false">IF(A369="","",A369&amp;"|"&amp;COUNTIF($A$5:A369,A369))</f>
        <v/>
      </c>
    </row>
    <row r="370" customFormat="false" ht="15" hidden="false" customHeight="false" outlineLevel="0" collapsed="false">
      <c r="A370" s="28"/>
      <c r="B370" s="28"/>
      <c r="C370" s="28"/>
      <c r="D370" s="31"/>
      <c r="E370" s="10"/>
      <c r="F370" s="28"/>
      <c r="G370" s="11" t="str">
        <f aca="false">IF(OR(A370="",N(D370)=0),"",IFERROR(D370*(1+IFERROR(IF(ISNUMBER(INDEX(Moldes!$K$5:$K$154,MATCH(A370,Moldes!$A$5:$A$154,0))),INDEX(Moldes!$K$5:$K$154,MATCH(A370,Moldes!$A$5:$A$154,0)),Precios!$Q$12),Precios!$Q$12))*(INDEX(Precios!$F$5:$F$124,MATCH(E370,Precios!$A$5:$A$124,0))+IF(F370="Sí",Precios!$Q$10,0)),"falta $ tela"))</f>
        <v/>
      </c>
      <c r="H370" s="32" t="str">
        <f aca="false">IF(A370="","",A370&amp;"|"&amp;COUNTIF($A$5:A370,A370))</f>
        <v/>
      </c>
    </row>
    <row r="371" customFormat="false" ht="15" hidden="false" customHeight="false" outlineLevel="0" collapsed="false">
      <c r="A371" s="28"/>
      <c r="B371" s="28"/>
      <c r="C371" s="28"/>
      <c r="D371" s="31"/>
      <c r="E371" s="10"/>
      <c r="F371" s="28"/>
      <c r="G371" s="11" t="str">
        <f aca="false">IF(OR(A371="",N(D371)=0),"",IFERROR(D371*(1+IFERROR(IF(ISNUMBER(INDEX(Moldes!$K$5:$K$154,MATCH(A371,Moldes!$A$5:$A$154,0))),INDEX(Moldes!$K$5:$K$154,MATCH(A371,Moldes!$A$5:$A$154,0)),Precios!$Q$12),Precios!$Q$12))*(INDEX(Precios!$F$5:$F$124,MATCH(E371,Precios!$A$5:$A$124,0))+IF(F371="Sí",Precios!$Q$10,0)),"falta $ tela"))</f>
        <v/>
      </c>
      <c r="H371" s="32" t="str">
        <f aca="false">IF(A371="","",A371&amp;"|"&amp;COUNTIF($A$5:A371,A371))</f>
        <v/>
      </c>
    </row>
    <row r="372" customFormat="false" ht="15" hidden="false" customHeight="false" outlineLevel="0" collapsed="false">
      <c r="A372" s="28"/>
      <c r="B372" s="28"/>
      <c r="C372" s="28"/>
      <c r="D372" s="31"/>
      <c r="E372" s="10"/>
      <c r="F372" s="28"/>
      <c r="G372" s="11" t="str">
        <f aca="false">IF(OR(A372="",N(D372)=0),"",IFERROR(D372*(1+IFERROR(IF(ISNUMBER(INDEX(Moldes!$K$5:$K$154,MATCH(A372,Moldes!$A$5:$A$154,0))),INDEX(Moldes!$K$5:$K$154,MATCH(A372,Moldes!$A$5:$A$154,0)),Precios!$Q$12),Precios!$Q$12))*(INDEX(Precios!$F$5:$F$124,MATCH(E372,Precios!$A$5:$A$124,0))+IF(F372="Sí",Precios!$Q$10,0)),"falta $ tela"))</f>
        <v/>
      </c>
      <c r="H372" s="32" t="str">
        <f aca="false">IF(A372="","",A372&amp;"|"&amp;COUNTIF($A$5:A372,A372))</f>
        <v/>
      </c>
    </row>
    <row r="373" customFormat="false" ht="15" hidden="false" customHeight="false" outlineLevel="0" collapsed="false">
      <c r="A373" s="28"/>
      <c r="B373" s="28"/>
      <c r="C373" s="28"/>
      <c r="D373" s="31"/>
      <c r="E373" s="10"/>
      <c r="F373" s="28"/>
      <c r="G373" s="11" t="str">
        <f aca="false">IF(OR(A373="",N(D373)=0),"",IFERROR(D373*(1+IFERROR(IF(ISNUMBER(INDEX(Moldes!$K$5:$K$154,MATCH(A373,Moldes!$A$5:$A$154,0))),INDEX(Moldes!$K$5:$K$154,MATCH(A373,Moldes!$A$5:$A$154,0)),Precios!$Q$12),Precios!$Q$12))*(INDEX(Precios!$F$5:$F$124,MATCH(E373,Precios!$A$5:$A$124,0))+IF(F373="Sí",Precios!$Q$10,0)),"falta $ tela"))</f>
        <v/>
      </c>
      <c r="H373" s="32" t="str">
        <f aca="false">IF(A373="","",A373&amp;"|"&amp;COUNTIF($A$5:A373,A373))</f>
        <v/>
      </c>
    </row>
    <row r="374" customFormat="false" ht="15" hidden="false" customHeight="false" outlineLevel="0" collapsed="false">
      <c r="A374" s="28"/>
      <c r="B374" s="28"/>
      <c r="C374" s="28"/>
      <c r="D374" s="31"/>
      <c r="E374" s="10"/>
      <c r="F374" s="28"/>
      <c r="G374" s="11" t="str">
        <f aca="false">IF(OR(A374="",N(D374)=0),"",IFERROR(D374*(1+IFERROR(IF(ISNUMBER(INDEX(Moldes!$K$5:$K$154,MATCH(A374,Moldes!$A$5:$A$154,0))),INDEX(Moldes!$K$5:$K$154,MATCH(A374,Moldes!$A$5:$A$154,0)),Precios!$Q$12),Precios!$Q$12))*(INDEX(Precios!$F$5:$F$124,MATCH(E374,Precios!$A$5:$A$124,0))+IF(F374="Sí",Precios!$Q$10,0)),"falta $ tela"))</f>
        <v/>
      </c>
      <c r="H374" s="32" t="str">
        <f aca="false">IF(A374="","",A374&amp;"|"&amp;COUNTIF($A$5:A374,A374))</f>
        <v/>
      </c>
    </row>
    <row r="375" customFormat="false" ht="15" hidden="false" customHeight="false" outlineLevel="0" collapsed="false">
      <c r="A375" s="28"/>
      <c r="B375" s="28"/>
      <c r="C375" s="28"/>
      <c r="D375" s="31"/>
      <c r="E375" s="10"/>
      <c r="F375" s="28"/>
      <c r="G375" s="11" t="str">
        <f aca="false">IF(OR(A375="",N(D375)=0),"",IFERROR(D375*(1+IFERROR(IF(ISNUMBER(INDEX(Moldes!$K$5:$K$154,MATCH(A375,Moldes!$A$5:$A$154,0))),INDEX(Moldes!$K$5:$K$154,MATCH(A375,Moldes!$A$5:$A$154,0)),Precios!$Q$12),Precios!$Q$12))*(INDEX(Precios!$F$5:$F$124,MATCH(E375,Precios!$A$5:$A$124,0))+IF(F375="Sí",Precios!$Q$10,0)),"falta $ tela"))</f>
        <v/>
      </c>
      <c r="H375" s="32" t="str">
        <f aca="false">IF(A375="","",A375&amp;"|"&amp;COUNTIF($A$5:A375,A375))</f>
        <v/>
      </c>
    </row>
    <row r="376" customFormat="false" ht="15" hidden="false" customHeight="false" outlineLevel="0" collapsed="false">
      <c r="A376" s="28"/>
      <c r="B376" s="28"/>
      <c r="C376" s="28"/>
      <c r="D376" s="31"/>
      <c r="E376" s="10"/>
      <c r="F376" s="28"/>
      <c r="G376" s="11" t="str">
        <f aca="false">IF(OR(A376="",N(D376)=0),"",IFERROR(D376*(1+IFERROR(IF(ISNUMBER(INDEX(Moldes!$K$5:$K$154,MATCH(A376,Moldes!$A$5:$A$154,0))),INDEX(Moldes!$K$5:$K$154,MATCH(A376,Moldes!$A$5:$A$154,0)),Precios!$Q$12),Precios!$Q$12))*(INDEX(Precios!$F$5:$F$124,MATCH(E376,Precios!$A$5:$A$124,0))+IF(F376="Sí",Precios!$Q$10,0)),"falta $ tela"))</f>
        <v/>
      </c>
      <c r="H376" s="32" t="str">
        <f aca="false">IF(A376="","",A376&amp;"|"&amp;COUNTIF($A$5:A376,A376))</f>
        <v/>
      </c>
    </row>
    <row r="377" customFormat="false" ht="15" hidden="false" customHeight="false" outlineLevel="0" collapsed="false">
      <c r="A377" s="28"/>
      <c r="B377" s="28"/>
      <c r="C377" s="28"/>
      <c r="D377" s="31"/>
      <c r="E377" s="10"/>
      <c r="F377" s="28"/>
      <c r="G377" s="11" t="str">
        <f aca="false">IF(OR(A377="",N(D377)=0),"",IFERROR(D377*(1+IFERROR(IF(ISNUMBER(INDEX(Moldes!$K$5:$K$154,MATCH(A377,Moldes!$A$5:$A$154,0))),INDEX(Moldes!$K$5:$K$154,MATCH(A377,Moldes!$A$5:$A$154,0)),Precios!$Q$12),Precios!$Q$12))*(INDEX(Precios!$F$5:$F$124,MATCH(E377,Precios!$A$5:$A$124,0))+IF(F377="Sí",Precios!$Q$10,0)),"falta $ tela"))</f>
        <v/>
      </c>
      <c r="H377" s="32" t="str">
        <f aca="false">IF(A377="","",A377&amp;"|"&amp;COUNTIF($A$5:A377,A377))</f>
        <v/>
      </c>
    </row>
    <row r="378" customFormat="false" ht="15" hidden="false" customHeight="false" outlineLevel="0" collapsed="false">
      <c r="A378" s="28"/>
      <c r="B378" s="28"/>
      <c r="C378" s="28"/>
      <c r="D378" s="31"/>
      <c r="E378" s="10"/>
      <c r="F378" s="28"/>
      <c r="G378" s="11" t="str">
        <f aca="false">IF(OR(A378="",N(D378)=0),"",IFERROR(D378*(1+IFERROR(IF(ISNUMBER(INDEX(Moldes!$K$5:$K$154,MATCH(A378,Moldes!$A$5:$A$154,0))),INDEX(Moldes!$K$5:$K$154,MATCH(A378,Moldes!$A$5:$A$154,0)),Precios!$Q$12),Precios!$Q$12))*(INDEX(Precios!$F$5:$F$124,MATCH(E378,Precios!$A$5:$A$124,0))+IF(F378="Sí",Precios!$Q$10,0)),"falta $ tela"))</f>
        <v/>
      </c>
      <c r="H378" s="32" t="str">
        <f aca="false">IF(A378="","",A378&amp;"|"&amp;COUNTIF($A$5:A378,A378))</f>
        <v/>
      </c>
    </row>
    <row r="379" customFormat="false" ht="15" hidden="false" customHeight="false" outlineLevel="0" collapsed="false">
      <c r="A379" s="28"/>
      <c r="B379" s="28"/>
      <c r="C379" s="28"/>
      <c r="D379" s="31"/>
      <c r="E379" s="10"/>
      <c r="F379" s="28"/>
      <c r="G379" s="11" t="str">
        <f aca="false">IF(OR(A379="",N(D379)=0),"",IFERROR(D379*(1+IFERROR(IF(ISNUMBER(INDEX(Moldes!$K$5:$K$154,MATCH(A379,Moldes!$A$5:$A$154,0))),INDEX(Moldes!$K$5:$K$154,MATCH(A379,Moldes!$A$5:$A$154,0)),Precios!$Q$12),Precios!$Q$12))*(INDEX(Precios!$F$5:$F$124,MATCH(E379,Precios!$A$5:$A$124,0))+IF(F379="Sí",Precios!$Q$10,0)),"falta $ tela"))</f>
        <v/>
      </c>
      <c r="H379" s="32" t="str">
        <f aca="false">IF(A379="","",A379&amp;"|"&amp;COUNTIF($A$5:A379,A379))</f>
        <v/>
      </c>
    </row>
    <row r="380" customFormat="false" ht="15" hidden="false" customHeight="false" outlineLevel="0" collapsed="false">
      <c r="A380" s="28"/>
      <c r="B380" s="28"/>
      <c r="C380" s="28"/>
      <c r="D380" s="31"/>
      <c r="E380" s="10"/>
      <c r="F380" s="28"/>
      <c r="G380" s="11" t="str">
        <f aca="false">IF(OR(A380="",N(D380)=0),"",IFERROR(D380*(1+IFERROR(IF(ISNUMBER(INDEX(Moldes!$K$5:$K$154,MATCH(A380,Moldes!$A$5:$A$154,0))),INDEX(Moldes!$K$5:$K$154,MATCH(A380,Moldes!$A$5:$A$154,0)),Precios!$Q$12),Precios!$Q$12))*(INDEX(Precios!$F$5:$F$124,MATCH(E380,Precios!$A$5:$A$124,0))+IF(F380="Sí",Precios!$Q$10,0)),"falta $ tela"))</f>
        <v/>
      </c>
      <c r="H380" s="32" t="str">
        <f aca="false">IF(A380="","",A380&amp;"|"&amp;COUNTIF($A$5:A380,A380))</f>
        <v/>
      </c>
    </row>
    <row r="381" customFormat="false" ht="15" hidden="false" customHeight="false" outlineLevel="0" collapsed="false">
      <c r="A381" s="28"/>
      <c r="B381" s="28"/>
      <c r="C381" s="28"/>
      <c r="D381" s="31"/>
      <c r="E381" s="10"/>
      <c r="F381" s="28"/>
      <c r="G381" s="11" t="str">
        <f aca="false">IF(OR(A381="",N(D381)=0),"",IFERROR(D381*(1+IFERROR(IF(ISNUMBER(INDEX(Moldes!$K$5:$K$154,MATCH(A381,Moldes!$A$5:$A$154,0))),INDEX(Moldes!$K$5:$K$154,MATCH(A381,Moldes!$A$5:$A$154,0)),Precios!$Q$12),Precios!$Q$12))*(INDEX(Precios!$F$5:$F$124,MATCH(E381,Precios!$A$5:$A$124,0))+IF(F381="Sí",Precios!$Q$10,0)),"falta $ tela"))</f>
        <v/>
      </c>
      <c r="H381" s="32" t="str">
        <f aca="false">IF(A381="","",A381&amp;"|"&amp;COUNTIF($A$5:A381,A381))</f>
        <v/>
      </c>
    </row>
    <row r="382" customFormat="false" ht="15" hidden="false" customHeight="false" outlineLevel="0" collapsed="false">
      <c r="A382" s="28"/>
      <c r="B382" s="28"/>
      <c r="C382" s="28"/>
      <c r="D382" s="31"/>
      <c r="E382" s="10"/>
      <c r="F382" s="28"/>
      <c r="G382" s="11" t="str">
        <f aca="false">IF(OR(A382="",N(D382)=0),"",IFERROR(D382*(1+IFERROR(IF(ISNUMBER(INDEX(Moldes!$K$5:$K$154,MATCH(A382,Moldes!$A$5:$A$154,0))),INDEX(Moldes!$K$5:$K$154,MATCH(A382,Moldes!$A$5:$A$154,0)),Precios!$Q$12),Precios!$Q$12))*(INDEX(Precios!$F$5:$F$124,MATCH(E382,Precios!$A$5:$A$124,0))+IF(F382="Sí",Precios!$Q$10,0)),"falta $ tela"))</f>
        <v/>
      </c>
      <c r="H382" s="32" t="str">
        <f aca="false">IF(A382="","",A382&amp;"|"&amp;COUNTIF($A$5:A382,A382))</f>
        <v/>
      </c>
    </row>
    <row r="383" customFormat="false" ht="15" hidden="false" customHeight="false" outlineLevel="0" collapsed="false">
      <c r="A383" s="28"/>
      <c r="B383" s="28"/>
      <c r="C383" s="28"/>
      <c r="D383" s="31"/>
      <c r="E383" s="10"/>
      <c r="F383" s="28"/>
      <c r="G383" s="11" t="str">
        <f aca="false">IF(OR(A383="",N(D383)=0),"",IFERROR(D383*(1+IFERROR(IF(ISNUMBER(INDEX(Moldes!$K$5:$K$154,MATCH(A383,Moldes!$A$5:$A$154,0))),INDEX(Moldes!$K$5:$K$154,MATCH(A383,Moldes!$A$5:$A$154,0)),Precios!$Q$12),Precios!$Q$12))*(INDEX(Precios!$F$5:$F$124,MATCH(E383,Precios!$A$5:$A$124,0))+IF(F383="Sí",Precios!$Q$10,0)),"falta $ tela"))</f>
        <v/>
      </c>
      <c r="H383" s="32" t="str">
        <f aca="false">IF(A383="","",A383&amp;"|"&amp;COUNTIF($A$5:A383,A383))</f>
        <v/>
      </c>
    </row>
    <row r="384" customFormat="false" ht="15" hidden="false" customHeight="false" outlineLevel="0" collapsed="false">
      <c r="A384" s="28"/>
      <c r="B384" s="28"/>
      <c r="C384" s="28"/>
      <c r="D384" s="31"/>
      <c r="E384" s="10"/>
      <c r="F384" s="28"/>
      <c r="G384" s="11" t="str">
        <f aca="false">IF(OR(A384="",N(D384)=0),"",IFERROR(D384*(1+IFERROR(IF(ISNUMBER(INDEX(Moldes!$K$5:$K$154,MATCH(A384,Moldes!$A$5:$A$154,0))),INDEX(Moldes!$K$5:$K$154,MATCH(A384,Moldes!$A$5:$A$154,0)),Precios!$Q$12),Precios!$Q$12))*(INDEX(Precios!$F$5:$F$124,MATCH(E384,Precios!$A$5:$A$124,0))+IF(F384="Sí",Precios!$Q$10,0)),"falta $ tela"))</f>
        <v/>
      </c>
      <c r="H384" s="32" t="str">
        <f aca="false">IF(A384="","",A384&amp;"|"&amp;COUNTIF($A$5:A384,A384))</f>
        <v/>
      </c>
    </row>
    <row r="385" customFormat="false" ht="15" hidden="false" customHeight="false" outlineLevel="0" collapsed="false">
      <c r="A385" s="28"/>
      <c r="B385" s="28"/>
      <c r="C385" s="28"/>
      <c r="D385" s="31"/>
      <c r="E385" s="10"/>
      <c r="F385" s="28"/>
      <c r="G385" s="11" t="str">
        <f aca="false">IF(OR(A385="",N(D385)=0),"",IFERROR(D385*(1+IFERROR(IF(ISNUMBER(INDEX(Moldes!$K$5:$K$154,MATCH(A385,Moldes!$A$5:$A$154,0))),INDEX(Moldes!$K$5:$K$154,MATCH(A385,Moldes!$A$5:$A$154,0)),Precios!$Q$12),Precios!$Q$12))*(INDEX(Precios!$F$5:$F$124,MATCH(E385,Precios!$A$5:$A$124,0))+IF(F385="Sí",Precios!$Q$10,0)),"falta $ tela"))</f>
        <v/>
      </c>
      <c r="H385" s="32" t="str">
        <f aca="false">IF(A385="","",A385&amp;"|"&amp;COUNTIF($A$5:A385,A385))</f>
        <v/>
      </c>
    </row>
    <row r="386" customFormat="false" ht="15" hidden="false" customHeight="false" outlineLevel="0" collapsed="false">
      <c r="A386" s="28"/>
      <c r="B386" s="28"/>
      <c r="C386" s="28"/>
      <c r="D386" s="31"/>
      <c r="E386" s="10"/>
      <c r="F386" s="28"/>
      <c r="G386" s="11" t="str">
        <f aca="false">IF(OR(A386="",N(D386)=0),"",IFERROR(D386*(1+IFERROR(IF(ISNUMBER(INDEX(Moldes!$K$5:$K$154,MATCH(A386,Moldes!$A$5:$A$154,0))),INDEX(Moldes!$K$5:$K$154,MATCH(A386,Moldes!$A$5:$A$154,0)),Precios!$Q$12),Precios!$Q$12))*(INDEX(Precios!$F$5:$F$124,MATCH(E386,Precios!$A$5:$A$124,0))+IF(F386="Sí",Precios!$Q$10,0)),"falta $ tela"))</f>
        <v/>
      </c>
      <c r="H386" s="32" t="str">
        <f aca="false">IF(A386="","",A386&amp;"|"&amp;COUNTIF($A$5:A386,A386))</f>
        <v/>
      </c>
    </row>
    <row r="387" customFormat="false" ht="15" hidden="false" customHeight="false" outlineLevel="0" collapsed="false">
      <c r="A387" s="28"/>
      <c r="B387" s="28"/>
      <c r="C387" s="28"/>
      <c r="D387" s="31"/>
      <c r="E387" s="10"/>
      <c r="F387" s="28"/>
      <c r="G387" s="11" t="str">
        <f aca="false">IF(OR(A387="",N(D387)=0),"",IFERROR(D387*(1+IFERROR(IF(ISNUMBER(INDEX(Moldes!$K$5:$K$154,MATCH(A387,Moldes!$A$5:$A$154,0))),INDEX(Moldes!$K$5:$K$154,MATCH(A387,Moldes!$A$5:$A$154,0)),Precios!$Q$12),Precios!$Q$12))*(INDEX(Precios!$F$5:$F$124,MATCH(E387,Precios!$A$5:$A$124,0))+IF(F387="Sí",Precios!$Q$10,0)),"falta $ tela"))</f>
        <v/>
      </c>
      <c r="H387" s="32" t="str">
        <f aca="false">IF(A387="","",A387&amp;"|"&amp;COUNTIF($A$5:A387,A387))</f>
        <v/>
      </c>
    </row>
    <row r="388" customFormat="false" ht="15" hidden="false" customHeight="false" outlineLevel="0" collapsed="false">
      <c r="A388" s="28"/>
      <c r="B388" s="28"/>
      <c r="C388" s="28"/>
      <c r="D388" s="31"/>
      <c r="E388" s="10"/>
      <c r="F388" s="28"/>
      <c r="G388" s="11" t="str">
        <f aca="false">IF(OR(A388="",N(D388)=0),"",IFERROR(D388*(1+IFERROR(IF(ISNUMBER(INDEX(Moldes!$K$5:$K$154,MATCH(A388,Moldes!$A$5:$A$154,0))),INDEX(Moldes!$K$5:$K$154,MATCH(A388,Moldes!$A$5:$A$154,0)),Precios!$Q$12),Precios!$Q$12))*(INDEX(Precios!$F$5:$F$124,MATCH(E388,Precios!$A$5:$A$124,0))+IF(F388="Sí",Precios!$Q$10,0)),"falta $ tela"))</f>
        <v/>
      </c>
      <c r="H388" s="32" t="str">
        <f aca="false">IF(A388="","",A388&amp;"|"&amp;COUNTIF($A$5:A388,A388))</f>
        <v/>
      </c>
    </row>
    <row r="389" customFormat="false" ht="15" hidden="false" customHeight="false" outlineLevel="0" collapsed="false">
      <c r="A389" s="28"/>
      <c r="B389" s="28"/>
      <c r="C389" s="28"/>
      <c r="D389" s="31"/>
      <c r="E389" s="10"/>
      <c r="F389" s="28"/>
      <c r="G389" s="11" t="str">
        <f aca="false">IF(OR(A389="",N(D389)=0),"",IFERROR(D389*(1+IFERROR(IF(ISNUMBER(INDEX(Moldes!$K$5:$K$154,MATCH(A389,Moldes!$A$5:$A$154,0))),INDEX(Moldes!$K$5:$K$154,MATCH(A389,Moldes!$A$5:$A$154,0)),Precios!$Q$12),Precios!$Q$12))*(INDEX(Precios!$F$5:$F$124,MATCH(E389,Precios!$A$5:$A$124,0))+IF(F389="Sí",Precios!$Q$10,0)),"falta $ tela"))</f>
        <v/>
      </c>
      <c r="H389" s="32" t="str">
        <f aca="false">IF(A389="","",A389&amp;"|"&amp;COUNTIF($A$5:A389,A389))</f>
        <v/>
      </c>
    </row>
    <row r="390" customFormat="false" ht="15" hidden="false" customHeight="false" outlineLevel="0" collapsed="false">
      <c r="A390" s="28"/>
      <c r="B390" s="28"/>
      <c r="C390" s="28"/>
      <c r="D390" s="31"/>
      <c r="E390" s="10"/>
      <c r="F390" s="28"/>
      <c r="G390" s="11" t="str">
        <f aca="false">IF(OR(A390="",N(D390)=0),"",IFERROR(D390*(1+IFERROR(IF(ISNUMBER(INDEX(Moldes!$K$5:$K$154,MATCH(A390,Moldes!$A$5:$A$154,0))),INDEX(Moldes!$K$5:$K$154,MATCH(A390,Moldes!$A$5:$A$154,0)),Precios!$Q$12),Precios!$Q$12))*(INDEX(Precios!$F$5:$F$124,MATCH(E390,Precios!$A$5:$A$124,0))+IF(F390="Sí",Precios!$Q$10,0)),"falta $ tela"))</f>
        <v/>
      </c>
      <c r="H390" s="32" t="str">
        <f aca="false">IF(A390="","",A390&amp;"|"&amp;COUNTIF($A$5:A390,A390))</f>
        <v/>
      </c>
    </row>
    <row r="391" customFormat="false" ht="15" hidden="false" customHeight="false" outlineLevel="0" collapsed="false">
      <c r="A391" s="28"/>
      <c r="B391" s="28"/>
      <c r="C391" s="28"/>
      <c r="D391" s="31"/>
      <c r="E391" s="10"/>
      <c r="F391" s="28"/>
      <c r="G391" s="11" t="str">
        <f aca="false">IF(OR(A391="",N(D391)=0),"",IFERROR(D391*(1+IFERROR(IF(ISNUMBER(INDEX(Moldes!$K$5:$K$154,MATCH(A391,Moldes!$A$5:$A$154,0))),INDEX(Moldes!$K$5:$K$154,MATCH(A391,Moldes!$A$5:$A$154,0)),Precios!$Q$12),Precios!$Q$12))*(INDEX(Precios!$F$5:$F$124,MATCH(E391,Precios!$A$5:$A$124,0))+IF(F391="Sí",Precios!$Q$10,0)),"falta $ tela"))</f>
        <v/>
      </c>
      <c r="H391" s="32" t="str">
        <f aca="false">IF(A391="","",A391&amp;"|"&amp;COUNTIF($A$5:A391,A391))</f>
        <v/>
      </c>
    </row>
    <row r="392" customFormat="false" ht="15" hidden="false" customHeight="false" outlineLevel="0" collapsed="false">
      <c r="A392" s="28"/>
      <c r="B392" s="28"/>
      <c r="C392" s="28"/>
      <c r="D392" s="31"/>
      <c r="E392" s="10"/>
      <c r="F392" s="28"/>
      <c r="G392" s="11" t="str">
        <f aca="false">IF(OR(A392="",N(D392)=0),"",IFERROR(D392*(1+IFERROR(IF(ISNUMBER(INDEX(Moldes!$K$5:$K$154,MATCH(A392,Moldes!$A$5:$A$154,0))),INDEX(Moldes!$K$5:$K$154,MATCH(A392,Moldes!$A$5:$A$154,0)),Precios!$Q$12),Precios!$Q$12))*(INDEX(Precios!$F$5:$F$124,MATCH(E392,Precios!$A$5:$A$124,0))+IF(F392="Sí",Precios!$Q$10,0)),"falta $ tela"))</f>
        <v/>
      </c>
      <c r="H392" s="32" t="str">
        <f aca="false">IF(A392="","",A392&amp;"|"&amp;COUNTIF($A$5:A392,A392))</f>
        <v/>
      </c>
    </row>
    <row r="393" customFormat="false" ht="15" hidden="false" customHeight="false" outlineLevel="0" collapsed="false">
      <c r="A393" s="28"/>
      <c r="B393" s="28"/>
      <c r="C393" s="28"/>
      <c r="D393" s="31"/>
      <c r="E393" s="10"/>
      <c r="F393" s="28"/>
      <c r="G393" s="11" t="str">
        <f aca="false">IF(OR(A393="",N(D393)=0),"",IFERROR(D393*(1+IFERROR(IF(ISNUMBER(INDEX(Moldes!$K$5:$K$154,MATCH(A393,Moldes!$A$5:$A$154,0))),INDEX(Moldes!$K$5:$K$154,MATCH(A393,Moldes!$A$5:$A$154,0)),Precios!$Q$12),Precios!$Q$12))*(INDEX(Precios!$F$5:$F$124,MATCH(E393,Precios!$A$5:$A$124,0))+IF(F393="Sí",Precios!$Q$10,0)),"falta $ tela"))</f>
        <v/>
      </c>
      <c r="H393" s="32" t="str">
        <f aca="false">IF(A393="","",A393&amp;"|"&amp;COUNTIF($A$5:A393,A393))</f>
        <v/>
      </c>
    </row>
    <row r="394" customFormat="false" ht="15" hidden="false" customHeight="false" outlineLevel="0" collapsed="false">
      <c r="A394" s="28"/>
      <c r="B394" s="28"/>
      <c r="C394" s="28"/>
      <c r="D394" s="31"/>
      <c r="E394" s="10"/>
      <c r="F394" s="28"/>
      <c r="G394" s="11" t="str">
        <f aca="false">IF(OR(A394="",N(D394)=0),"",IFERROR(D394*(1+IFERROR(IF(ISNUMBER(INDEX(Moldes!$K$5:$K$154,MATCH(A394,Moldes!$A$5:$A$154,0))),INDEX(Moldes!$K$5:$K$154,MATCH(A394,Moldes!$A$5:$A$154,0)),Precios!$Q$12),Precios!$Q$12))*(INDEX(Precios!$F$5:$F$124,MATCH(E394,Precios!$A$5:$A$124,0))+IF(F394="Sí",Precios!$Q$10,0)),"falta $ tela"))</f>
        <v/>
      </c>
      <c r="H394" s="32" t="str">
        <f aca="false">IF(A394="","",A394&amp;"|"&amp;COUNTIF($A$5:A394,A394))</f>
        <v/>
      </c>
    </row>
    <row r="395" customFormat="false" ht="15" hidden="false" customHeight="false" outlineLevel="0" collapsed="false">
      <c r="A395" s="28"/>
      <c r="B395" s="28"/>
      <c r="C395" s="28"/>
      <c r="D395" s="31"/>
      <c r="E395" s="10"/>
      <c r="F395" s="28"/>
      <c r="G395" s="11" t="str">
        <f aca="false">IF(OR(A395="",N(D395)=0),"",IFERROR(D395*(1+IFERROR(IF(ISNUMBER(INDEX(Moldes!$K$5:$K$154,MATCH(A395,Moldes!$A$5:$A$154,0))),INDEX(Moldes!$K$5:$K$154,MATCH(A395,Moldes!$A$5:$A$154,0)),Precios!$Q$12),Precios!$Q$12))*(INDEX(Precios!$F$5:$F$124,MATCH(E395,Precios!$A$5:$A$124,0))+IF(F395="Sí",Precios!$Q$10,0)),"falta $ tela"))</f>
        <v/>
      </c>
      <c r="H395" s="32" t="str">
        <f aca="false">IF(A395="","",A395&amp;"|"&amp;COUNTIF($A$5:A395,A395))</f>
        <v/>
      </c>
    </row>
    <row r="396" customFormat="false" ht="15" hidden="false" customHeight="false" outlineLevel="0" collapsed="false">
      <c r="A396" s="28"/>
      <c r="B396" s="28"/>
      <c r="C396" s="28"/>
      <c r="D396" s="31"/>
      <c r="E396" s="10"/>
      <c r="F396" s="28"/>
      <c r="G396" s="11" t="str">
        <f aca="false">IF(OR(A396="",N(D396)=0),"",IFERROR(D396*(1+IFERROR(IF(ISNUMBER(INDEX(Moldes!$K$5:$K$154,MATCH(A396,Moldes!$A$5:$A$154,0))),INDEX(Moldes!$K$5:$K$154,MATCH(A396,Moldes!$A$5:$A$154,0)),Precios!$Q$12),Precios!$Q$12))*(INDEX(Precios!$F$5:$F$124,MATCH(E396,Precios!$A$5:$A$124,0))+IF(F396="Sí",Precios!$Q$10,0)),"falta $ tela"))</f>
        <v/>
      </c>
      <c r="H396" s="32" t="str">
        <f aca="false">IF(A396="","",A396&amp;"|"&amp;COUNTIF($A$5:A396,A396))</f>
        <v/>
      </c>
    </row>
    <row r="397" customFormat="false" ht="15" hidden="false" customHeight="false" outlineLevel="0" collapsed="false">
      <c r="A397" s="28"/>
      <c r="B397" s="28"/>
      <c r="C397" s="28"/>
      <c r="D397" s="31"/>
      <c r="E397" s="10"/>
      <c r="F397" s="28"/>
      <c r="G397" s="11" t="str">
        <f aca="false">IF(OR(A397="",N(D397)=0),"",IFERROR(D397*(1+IFERROR(IF(ISNUMBER(INDEX(Moldes!$K$5:$K$154,MATCH(A397,Moldes!$A$5:$A$154,0))),INDEX(Moldes!$K$5:$K$154,MATCH(A397,Moldes!$A$5:$A$154,0)),Precios!$Q$12),Precios!$Q$12))*(INDEX(Precios!$F$5:$F$124,MATCH(E397,Precios!$A$5:$A$124,0))+IF(F397="Sí",Precios!$Q$10,0)),"falta $ tela"))</f>
        <v/>
      </c>
      <c r="H397" s="32" t="str">
        <f aca="false">IF(A397="","",A397&amp;"|"&amp;COUNTIF($A$5:A397,A397))</f>
        <v/>
      </c>
    </row>
    <row r="398" customFormat="false" ht="15" hidden="false" customHeight="false" outlineLevel="0" collapsed="false">
      <c r="A398" s="28"/>
      <c r="B398" s="28"/>
      <c r="C398" s="28"/>
      <c r="D398" s="31"/>
      <c r="E398" s="10"/>
      <c r="F398" s="28"/>
      <c r="G398" s="11" t="str">
        <f aca="false">IF(OR(A398="",N(D398)=0),"",IFERROR(D398*(1+IFERROR(IF(ISNUMBER(INDEX(Moldes!$K$5:$K$154,MATCH(A398,Moldes!$A$5:$A$154,0))),INDEX(Moldes!$K$5:$K$154,MATCH(A398,Moldes!$A$5:$A$154,0)),Precios!$Q$12),Precios!$Q$12))*(INDEX(Precios!$F$5:$F$124,MATCH(E398,Precios!$A$5:$A$124,0))+IF(F398="Sí",Precios!$Q$10,0)),"falta $ tela"))</f>
        <v/>
      </c>
      <c r="H398" s="32" t="str">
        <f aca="false">IF(A398="","",A398&amp;"|"&amp;COUNTIF($A$5:A398,A398))</f>
        <v/>
      </c>
    </row>
    <row r="399" customFormat="false" ht="15" hidden="false" customHeight="false" outlineLevel="0" collapsed="false">
      <c r="A399" s="28"/>
      <c r="B399" s="28"/>
      <c r="C399" s="28"/>
      <c r="D399" s="31"/>
      <c r="E399" s="10"/>
      <c r="F399" s="28"/>
      <c r="G399" s="11" t="str">
        <f aca="false">IF(OR(A399="",N(D399)=0),"",IFERROR(D399*(1+IFERROR(IF(ISNUMBER(INDEX(Moldes!$K$5:$K$154,MATCH(A399,Moldes!$A$5:$A$154,0))),INDEX(Moldes!$K$5:$K$154,MATCH(A399,Moldes!$A$5:$A$154,0)),Precios!$Q$12),Precios!$Q$12))*(INDEX(Precios!$F$5:$F$124,MATCH(E399,Precios!$A$5:$A$124,0))+IF(F399="Sí",Precios!$Q$10,0)),"falta $ tela"))</f>
        <v/>
      </c>
      <c r="H399" s="32" t="str">
        <f aca="false">IF(A399="","",A399&amp;"|"&amp;COUNTIF($A$5:A399,A399))</f>
        <v/>
      </c>
    </row>
    <row r="400" customFormat="false" ht="15" hidden="false" customHeight="false" outlineLevel="0" collapsed="false">
      <c r="A400" s="28"/>
      <c r="B400" s="28"/>
      <c r="C400" s="28"/>
      <c r="D400" s="31"/>
      <c r="E400" s="10"/>
      <c r="F400" s="28"/>
      <c r="G400" s="11" t="str">
        <f aca="false">IF(OR(A400="",N(D400)=0),"",IFERROR(D400*(1+IFERROR(IF(ISNUMBER(INDEX(Moldes!$K$5:$K$154,MATCH(A400,Moldes!$A$5:$A$154,0))),INDEX(Moldes!$K$5:$K$154,MATCH(A400,Moldes!$A$5:$A$154,0)),Precios!$Q$12),Precios!$Q$12))*(INDEX(Precios!$F$5:$F$124,MATCH(E400,Precios!$A$5:$A$124,0))+IF(F400="Sí",Precios!$Q$10,0)),"falta $ tela"))</f>
        <v/>
      </c>
      <c r="H400" s="32" t="str">
        <f aca="false">IF(A400="","",A400&amp;"|"&amp;COUNTIF($A$5:A400,A400))</f>
        <v/>
      </c>
    </row>
    <row r="401" customFormat="false" ht="15" hidden="false" customHeight="false" outlineLevel="0" collapsed="false">
      <c r="A401" s="28"/>
      <c r="B401" s="28"/>
      <c r="C401" s="28"/>
      <c r="D401" s="31"/>
      <c r="E401" s="10"/>
      <c r="F401" s="28"/>
      <c r="G401" s="11" t="str">
        <f aca="false">IF(OR(A401="",N(D401)=0),"",IFERROR(D401*(1+IFERROR(IF(ISNUMBER(INDEX(Moldes!$K$5:$K$154,MATCH(A401,Moldes!$A$5:$A$154,0))),INDEX(Moldes!$K$5:$K$154,MATCH(A401,Moldes!$A$5:$A$154,0)),Precios!$Q$12),Precios!$Q$12))*(INDEX(Precios!$F$5:$F$124,MATCH(E401,Precios!$A$5:$A$124,0))+IF(F401="Sí",Precios!$Q$10,0)),"falta $ tela"))</f>
        <v/>
      </c>
      <c r="H401" s="32" t="str">
        <f aca="false">IF(A401="","",A401&amp;"|"&amp;COUNTIF($A$5:A401,A401))</f>
        <v/>
      </c>
    </row>
    <row r="402" customFormat="false" ht="15" hidden="false" customHeight="false" outlineLevel="0" collapsed="false">
      <c r="A402" s="28"/>
      <c r="B402" s="28"/>
      <c r="C402" s="28"/>
      <c r="D402" s="31"/>
      <c r="E402" s="10"/>
      <c r="F402" s="28"/>
      <c r="G402" s="11" t="str">
        <f aca="false">IF(OR(A402="",N(D402)=0),"",IFERROR(D402*(1+IFERROR(IF(ISNUMBER(INDEX(Moldes!$K$5:$K$154,MATCH(A402,Moldes!$A$5:$A$154,0))),INDEX(Moldes!$K$5:$K$154,MATCH(A402,Moldes!$A$5:$A$154,0)),Precios!$Q$12),Precios!$Q$12))*(INDEX(Precios!$F$5:$F$124,MATCH(E402,Precios!$A$5:$A$124,0))+IF(F402="Sí",Precios!$Q$10,0)),"falta $ tela"))</f>
        <v/>
      </c>
      <c r="H402" s="32" t="str">
        <f aca="false">IF(A402="","",A402&amp;"|"&amp;COUNTIF($A$5:A402,A402))</f>
        <v/>
      </c>
    </row>
    <row r="403" customFormat="false" ht="15" hidden="false" customHeight="false" outlineLevel="0" collapsed="false">
      <c r="A403" s="28"/>
      <c r="B403" s="28"/>
      <c r="C403" s="28"/>
      <c r="D403" s="31"/>
      <c r="E403" s="10"/>
      <c r="F403" s="28"/>
      <c r="G403" s="11" t="str">
        <f aca="false">IF(OR(A403="",N(D403)=0),"",IFERROR(D403*(1+IFERROR(IF(ISNUMBER(INDEX(Moldes!$K$5:$K$154,MATCH(A403,Moldes!$A$5:$A$154,0))),INDEX(Moldes!$K$5:$K$154,MATCH(A403,Moldes!$A$5:$A$154,0)),Precios!$Q$12),Precios!$Q$12))*(INDEX(Precios!$F$5:$F$124,MATCH(E403,Precios!$A$5:$A$124,0))+IF(F403="Sí",Precios!$Q$10,0)),"falta $ tela"))</f>
        <v/>
      </c>
      <c r="H403" s="32" t="str">
        <f aca="false">IF(A403="","",A403&amp;"|"&amp;COUNTIF($A$5:A403,A403))</f>
        <v/>
      </c>
    </row>
    <row r="404" customFormat="false" ht="15" hidden="false" customHeight="false" outlineLevel="0" collapsed="false">
      <c r="A404" s="28"/>
      <c r="B404" s="28"/>
      <c r="C404" s="28"/>
      <c r="D404" s="31"/>
      <c r="E404" s="10"/>
      <c r="F404" s="28"/>
      <c r="G404" s="11" t="str">
        <f aca="false">IF(OR(A404="",N(D404)=0),"",IFERROR(D404*(1+IFERROR(IF(ISNUMBER(INDEX(Moldes!$K$5:$K$154,MATCH(A404,Moldes!$A$5:$A$154,0))),INDEX(Moldes!$K$5:$K$154,MATCH(A404,Moldes!$A$5:$A$154,0)),Precios!$Q$12),Precios!$Q$12))*(INDEX(Precios!$F$5:$F$124,MATCH(E404,Precios!$A$5:$A$124,0))+IF(F404="Sí",Precios!$Q$10,0)),"falta $ tela"))</f>
        <v/>
      </c>
      <c r="H404" s="32" t="str">
        <f aca="false">IF(A404="","",A404&amp;"|"&amp;COUNTIF($A$5:A404,A404))</f>
        <v/>
      </c>
    </row>
    <row r="405" customFormat="false" ht="15" hidden="false" customHeight="false" outlineLevel="0" collapsed="false">
      <c r="A405" s="28"/>
      <c r="B405" s="28"/>
      <c r="C405" s="28"/>
      <c r="D405" s="31"/>
      <c r="E405" s="10"/>
      <c r="F405" s="28"/>
      <c r="G405" s="11" t="str">
        <f aca="false">IF(OR(A405="",N(D405)=0),"",IFERROR(D405*(1+IFERROR(IF(ISNUMBER(INDEX(Moldes!$K$5:$K$154,MATCH(A405,Moldes!$A$5:$A$154,0))),INDEX(Moldes!$K$5:$K$154,MATCH(A405,Moldes!$A$5:$A$154,0)),Precios!$Q$12),Precios!$Q$12))*(INDEX(Precios!$F$5:$F$124,MATCH(E405,Precios!$A$5:$A$124,0))+IF(F405="Sí",Precios!$Q$10,0)),"falta $ tela"))</f>
        <v/>
      </c>
      <c r="H405" s="32" t="str">
        <f aca="false">IF(A405="","",A405&amp;"|"&amp;COUNTIF($A$5:A405,A405))</f>
        <v/>
      </c>
    </row>
    <row r="406" customFormat="false" ht="15" hidden="false" customHeight="false" outlineLevel="0" collapsed="false">
      <c r="A406" s="28"/>
      <c r="B406" s="28"/>
      <c r="C406" s="28"/>
      <c r="D406" s="31"/>
      <c r="E406" s="10"/>
      <c r="F406" s="28"/>
      <c r="G406" s="11" t="str">
        <f aca="false">IF(OR(A406="",N(D406)=0),"",IFERROR(D406*(1+IFERROR(IF(ISNUMBER(INDEX(Moldes!$K$5:$K$154,MATCH(A406,Moldes!$A$5:$A$154,0))),INDEX(Moldes!$K$5:$K$154,MATCH(A406,Moldes!$A$5:$A$154,0)),Precios!$Q$12),Precios!$Q$12))*(INDEX(Precios!$F$5:$F$124,MATCH(E406,Precios!$A$5:$A$124,0))+IF(F406="Sí",Precios!$Q$10,0)),"falta $ tela"))</f>
        <v/>
      </c>
      <c r="H406" s="32" t="str">
        <f aca="false">IF(A406="","",A406&amp;"|"&amp;COUNTIF($A$5:A406,A406))</f>
        <v/>
      </c>
    </row>
    <row r="407" customFormat="false" ht="15" hidden="false" customHeight="false" outlineLevel="0" collapsed="false">
      <c r="A407" s="28"/>
      <c r="B407" s="28"/>
      <c r="C407" s="28"/>
      <c r="D407" s="31"/>
      <c r="E407" s="10"/>
      <c r="F407" s="28"/>
      <c r="G407" s="11" t="str">
        <f aca="false">IF(OR(A407="",N(D407)=0),"",IFERROR(D407*(1+IFERROR(IF(ISNUMBER(INDEX(Moldes!$K$5:$K$154,MATCH(A407,Moldes!$A$5:$A$154,0))),INDEX(Moldes!$K$5:$K$154,MATCH(A407,Moldes!$A$5:$A$154,0)),Precios!$Q$12),Precios!$Q$12))*(INDEX(Precios!$F$5:$F$124,MATCH(E407,Precios!$A$5:$A$124,0))+IF(F407="Sí",Precios!$Q$10,0)),"falta $ tela"))</f>
        <v/>
      </c>
      <c r="H407" s="32" t="str">
        <f aca="false">IF(A407="","",A407&amp;"|"&amp;COUNTIF($A$5:A407,A407))</f>
        <v/>
      </c>
    </row>
    <row r="408" customFormat="false" ht="15" hidden="false" customHeight="false" outlineLevel="0" collapsed="false">
      <c r="A408" s="28"/>
      <c r="B408" s="28"/>
      <c r="C408" s="28"/>
      <c r="D408" s="31"/>
      <c r="E408" s="10"/>
      <c r="F408" s="28"/>
      <c r="G408" s="11" t="str">
        <f aca="false">IF(OR(A408="",N(D408)=0),"",IFERROR(D408*(1+IFERROR(IF(ISNUMBER(INDEX(Moldes!$K$5:$K$154,MATCH(A408,Moldes!$A$5:$A$154,0))),INDEX(Moldes!$K$5:$K$154,MATCH(A408,Moldes!$A$5:$A$154,0)),Precios!$Q$12),Precios!$Q$12))*(INDEX(Precios!$F$5:$F$124,MATCH(E408,Precios!$A$5:$A$124,0))+IF(F408="Sí",Precios!$Q$10,0)),"falta $ tela"))</f>
        <v/>
      </c>
      <c r="H408" s="32" t="str">
        <f aca="false">IF(A408="","",A408&amp;"|"&amp;COUNTIF($A$5:A408,A408))</f>
        <v/>
      </c>
    </row>
    <row r="409" customFormat="false" ht="15" hidden="false" customHeight="false" outlineLevel="0" collapsed="false">
      <c r="A409" s="28"/>
      <c r="B409" s="28"/>
      <c r="C409" s="28"/>
      <c r="D409" s="31"/>
      <c r="E409" s="10"/>
      <c r="F409" s="28"/>
      <c r="G409" s="11" t="str">
        <f aca="false">IF(OR(A409="",N(D409)=0),"",IFERROR(D409*(1+IFERROR(IF(ISNUMBER(INDEX(Moldes!$K$5:$K$154,MATCH(A409,Moldes!$A$5:$A$154,0))),INDEX(Moldes!$K$5:$K$154,MATCH(A409,Moldes!$A$5:$A$154,0)),Precios!$Q$12),Precios!$Q$12))*(INDEX(Precios!$F$5:$F$124,MATCH(E409,Precios!$A$5:$A$124,0))+IF(F409="Sí",Precios!$Q$10,0)),"falta $ tela"))</f>
        <v/>
      </c>
      <c r="H409" s="32" t="str">
        <f aca="false">IF(A409="","",A409&amp;"|"&amp;COUNTIF($A$5:A409,A409))</f>
        <v/>
      </c>
    </row>
    <row r="410" customFormat="false" ht="15" hidden="false" customHeight="false" outlineLevel="0" collapsed="false">
      <c r="A410" s="28"/>
      <c r="B410" s="28"/>
      <c r="C410" s="28"/>
      <c r="D410" s="31"/>
      <c r="E410" s="10"/>
      <c r="F410" s="28"/>
      <c r="G410" s="11" t="str">
        <f aca="false">IF(OR(A410="",N(D410)=0),"",IFERROR(D410*(1+IFERROR(IF(ISNUMBER(INDEX(Moldes!$K$5:$K$154,MATCH(A410,Moldes!$A$5:$A$154,0))),INDEX(Moldes!$K$5:$K$154,MATCH(A410,Moldes!$A$5:$A$154,0)),Precios!$Q$12),Precios!$Q$12))*(INDEX(Precios!$F$5:$F$124,MATCH(E410,Precios!$A$5:$A$124,0))+IF(F410="Sí",Precios!$Q$10,0)),"falta $ tela"))</f>
        <v/>
      </c>
      <c r="H410" s="32" t="str">
        <f aca="false">IF(A410="","",A410&amp;"|"&amp;COUNTIF($A$5:A410,A410))</f>
        <v/>
      </c>
    </row>
    <row r="411" customFormat="false" ht="15" hidden="false" customHeight="false" outlineLevel="0" collapsed="false">
      <c r="A411" s="28"/>
      <c r="B411" s="28"/>
      <c r="C411" s="28"/>
      <c r="D411" s="31"/>
      <c r="E411" s="10"/>
      <c r="F411" s="28"/>
      <c r="G411" s="11" t="str">
        <f aca="false">IF(OR(A411="",N(D411)=0),"",IFERROR(D411*(1+IFERROR(IF(ISNUMBER(INDEX(Moldes!$K$5:$K$154,MATCH(A411,Moldes!$A$5:$A$154,0))),INDEX(Moldes!$K$5:$K$154,MATCH(A411,Moldes!$A$5:$A$154,0)),Precios!$Q$12),Precios!$Q$12))*(INDEX(Precios!$F$5:$F$124,MATCH(E411,Precios!$A$5:$A$124,0))+IF(F411="Sí",Precios!$Q$10,0)),"falta $ tela"))</f>
        <v/>
      </c>
      <c r="H411" s="32" t="str">
        <f aca="false">IF(A411="","",A411&amp;"|"&amp;COUNTIF($A$5:A411,A411))</f>
        <v/>
      </c>
    </row>
    <row r="412" customFormat="false" ht="15" hidden="false" customHeight="false" outlineLevel="0" collapsed="false">
      <c r="A412" s="28"/>
      <c r="B412" s="28"/>
      <c r="C412" s="28"/>
      <c r="D412" s="31"/>
      <c r="E412" s="10"/>
      <c r="F412" s="28"/>
      <c r="G412" s="11" t="str">
        <f aca="false">IF(OR(A412="",N(D412)=0),"",IFERROR(D412*(1+IFERROR(IF(ISNUMBER(INDEX(Moldes!$K$5:$K$154,MATCH(A412,Moldes!$A$5:$A$154,0))),INDEX(Moldes!$K$5:$K$154,MATCH(A412,Moldes!$A$5:$A$154,0)),Precios!$Q$12),Precios!$Q$12))*(INDEX(Precios!$F$5:$F$124,MATCH(E412,Precios!$A$5:$A$124,0))+IF(F412="Sí",Precios!$Q$10,0)),"falta $ tela"))</f>
        <v/>
      </c>
      <c r="H412" s="32" t="str">
        <f aca="false">IF(A412="","",A412&amp;"|"&amp;COUNTIF($A$5:A412,A412))</f>
        <v/>
      </c>
    </row>
    <row r="413" customFormat="false" ht="15" hidden="false" customHeight="false" outlineLevel="0" collapsed="false">
      <c r="A413" s="28"/>
      <c r="B413" s="28"/>
      <c r="C413" s="28"/>
      <c r="D413" s="31"/>
      <c r="E413" s="10"/>
      <c r="F413" s="28"/>
      <c r="G413" s="11" t="str">
        <f aca="false">IF(OR(A413="",N(D413)=0),"",IFERROR(D413*(1+IFERROR(IF(ISNUMBER(INDEX(Moldes!$K$5:$K$154,MATCH(A413,Moldes!$A$5:$A$154,0))),INDEX(Moldes!$K$5:$K$154,MATCH(A413,Moldes!$A$5:$A$154,0)),Precios!$Q$12),Precios!$Q$12))*(INDEX(Precios!$F$5:$F$124,MATCH(E413,Precios!$A$5:$A$124,0))+IF(F413="Sí",Precios!$Q$10,0)),"falta $ tela"))</f>
        <v/>
      </c>
      <c r="H413" s="32" t="str">
        <f aca="false">IF(A413="","",A413&amp;"|"&amp;COUNTIF($A$5:A413,A413))</f>
        <v/>
      </c>
    </row>
    <row r="414" customFormat="false" ht="15" hidden="false" customHeight="false" outlineLevel="0" collapsed="false">
      <c r="A414" s="28"/>
      <c r="B414" s="28"/>
      <c r="C414" s="28"/>
      <c r="D414" s="31"/>
      <c r="E414" s="10"/>
      <c r="F414" s="28"/>
      <c r="G414" s="11" t="str">
        <f aca="false">IF(OR(A414="",N(D414)=0),"",IFERROR(D414*(1+IFERROR(IF(ISNUMBER(INDEX(Moldes!$K$5:$K$154,MATCH(A414,Moldes!$A$5:$A$154,0))),INDEX(Moldes!$K$5:$K$154,MATCH(A414,Moldes!$A$5:$A$154,0)),Precios!$Q$12),Precios!$Q$12))*(INDEX(Precios!$F$5:$F$124,MATCH(E414,Precios!$A$5:$A$124,0))+IF(F414="Sí",Precios!$Q$10,0)),"falta $ tela"))</f>
        <v/>
      </c>
      <c r="H414" s="32" t="str">
        <f aca="false">IF(A414="","",A414&amp;"|"&amp;COUNTIF($A$5:A414,A414))</f>
        <v/>
      </c>
    </row>
    <row r="415" customFormat="false" ht="15" hidden="false" customHeight="false" outlineLevel="0" collapsed="false">
      <c r="A415" s="28"/>
      <c r="B415" s="28"/>
      <c r="C415" s="28"/>
      <c r="D415" s="31"/>
      <c r="E415" s="10"/>
      <c r="F415" s="28"/>
      <c r="G415" s="11" t="str">
        <f aca="false">IF(OR(A415="",N(D415)=0),"",IFERROR(D415*(1+IFERROR(IF(ISNUMBER(INDEX(Moldes!$K$5:$K$154,MATCH(A415,Moldes!$A$5:$A$154,0))),INDEX(Moldes!$K$5:$K$154,MATCH(A415,Moldes!$A$5:$A$154,0)),Precios!$Q$12),Precios!$Q$12))*(INDEX(Precios!$F$5:$F$124,MATCH(E415,Precios!$A$5:$A$124,0))+IF(F415="Sí",Precios!$Q$10,0)),"falta $ tela"))</f>
        <v/>
      </c>
      <c r="H415" s="32" t="str">
        <f aca="false">IF(A415="","",A415&amp;"|"&amp;COUNTIF($A$5:A415,A415))</f>
        <v/>
      </c>
    </row>
    <row r="416" customFormat="false" ht="15" hidden="false" customHeight="false" outlineLevel="0" collapsed="false">
      <c r="A416" s="28"/>
      <c r="B416" s="28"/>
      <c r="C416" s="28"/>
      <c r="D416" s="31"/>
      <c r="E416" s="10"/>
      <c r="F416" s="28"/>
      <c r="G416" s="11" t="str">
        <f aca="false">IF(OR(A416="",N(D416)=0),"",IFERROR(D416*(1+IFERROR(IF(ISNUMBER(INDEX(Moldes!$K$5:$K$154,MATCH(A416,Moldes!$A$5:$A$154,0))),INDEX(Moldes!$K$5:$K$154,MATCH(A416,Moldes!$A$5:$A$154,0)),Precios!$Q$12),Precios!$Q$12))*(INDEX(Precios!$F$5:$F$124,MATCH(E416,Precios!$A$5:$A$124,0))+IF(F416="Sí",Precios!$Q$10,0)),"falta $ tela"))</f>
        <v/>
      </c>
      <c r="H416" s="32" t="str">
        <f aca="false">IF(A416="","",A416&amp;"|"&amp;COUNTIF($A$5:A416,A416))</f>
        <v/>
      </c>
    </row>
    <row r="417" customFormat="false" ht="15" hidden="false" customHeight="false" outlineLevel="0" collapsed="false">
      <c r="A417" s="28"/>
      <c r="B417" s="28"/>
      <c r="C417" s="28"/>
      <c r="D417" s="31"/>
      <c r="E417" s="10"/>
      <c r="F417" s="28"/>
      <c r="G417" s="11" t="str">
        <f aca="false">IF(OR(A417="",N(D417)=0),"",IFERROR(D417*(1+IFERROR(IF(ISNUMBER(INDEX(Moldes!$K$5:$K$154,MATCH(A417,Moldes!$A$5:$A$154,0))),INDEX(Moldes!$K$5:$K$154,MATCH(A417,Moldes!$A$5:$A$154,0)),Precios!$Q$12),Precios!$Q$12))*(INDEX(Precios!$F$5:$F$124,MATCH(E417,Precios!$A$5:$A$124,0))+IF(F417="Sí",Precios!$Q$10,0)),"falta $ tela"))</f>
        <v/>
      </c>
      <c r="H417" s="32" t="str">
        <f aca="false">IF(A417="","",A417&amp;"|"&amp;COUNTIF($A$5:A417,A417))</f>
        <v/>
      </c>
    </row>
    <row r="418" customFormat="false" ht="15" hidden="false" customHeight="false" outlineLevel="0" collapsed="false">
      <c r="A418" s="28"/>
      <c r="B418" s="28"/>
      <c r="C418" s="28"/>
      <c r="D418" s="31"/>
      <c r="E418" s="10"/>
      <c r="F418" s="28"/>
      <c r="G418" s="11" t="str">
        <f aca="false">IF(OR(A418="",N(D418)=0),"",IFERROR(D418*(1+IFERROR(IF(ISNUMBER(INDEX(Moldes!$K$5:$K$154,MATCH(A418,Moldes!$A$5:$A$154,0))),INDEX(Moldes!$K$5:$K$154,MATCH(A418,Moldes!$A$5:$A$154,0)),Precios!$Q$12),Precios!$Q$12))*(INDEX(Precios!$F$5:$F$124,MATCH(E418,Precios!$A$5:$A$124,0))+IF(F418="Sí",Precios!$Q$10,0)),"falta $ tela"))</f>
        <v/>
      </c>
      <c r="H418" s="32" t="str">
        <f aca="false">IF(A418="","",A418&amp;"|"&amp;COUNTIF($A$5:A418,A418))</f>
        <v/>
      </c>
    </row>
    <row r="419" customFormat="false" ht="15" hidden="false" customHeight="false" outlineLevel="0" collapsed="false">
      <c r="A419" s="28"/>
      <c r="B419" s="28"/>
      <c r="C419" s="28"/>
      <c r="D419" s="31"/>
      <c r="E419" s="10"/>
      <c r="F419" s="28"/>
      <c r="G419" s="11" t="str">
        <f aca="false">IF(OR(A419="",N(D419)=0),"",IFERROR(D419*(1+IFERROR(IF(ISNUMBER(INDEX(Moldes!$K$5:$K$154,MATCH(A419,Moldes!$A$5:$A$154,0))),INDEX(Moldes!$K$5:$K$154,MATCH(A419,Moldes!$A$5:$A$154,0)),Precios!$Q$12),Precios!$Q$12))*(INDEX(Precios!$F$5:$F$124,MATCH(E419,Precios!$A$5:$A$124,0))+IF(F419="Sí",Precios!$Q$10,0)),"falta $ tela"))</f>
        <v/>
      </c>
      <c r="H419" s="32" t="str">
        <f aca="false">IF(A419="","",A419&amp;"|"&amp;COUNTIF($A$5:A419,A419))</f>
        <v/>
      </c>
    </row>
    <row r="420" customFormat="false" ht="15" hidden="false" customHeight="false" outlineLevel="0" collapsed="false">
      <c r="A420" s="28"/>
      <c r="B420" s="28"/>
      <c r="C420" s="28"/>
      <c r="D420" s="31"/>
      <c r="E420" s="10"/>
      <c r="F420" s="28"/>
      <c r="G420" s="11" t="str">
        <f aca="false">IF(OR(A420="",N(D420)=0),"",IFERROR(D420*(1+IFERROR(IF(ISNUMBER(INDEX(Moldes!$K$5:$K$154,MATCH(A420,Moldes!$A$5:$A$154,0))),INDEX(Moldes!$K$5:$K$154,MATCH(A420,Moldes!$A$5:$A$154,0)),Precios!$Q$12),Precios!$Q$12))*(INDEX(Precios!$F$5:$F$124,MATCH(E420,Precios!$A$5:$A$124,0))+IF(F420="Sí",Precios!$Q$10,0)),"falta $ tela"))</f>
        <v/>
      </c>
      <c r="H420" s="32" t="str">
        <f aca="false">IF(A420="","",A420&amp;"|"&amp;COUNTIF($A$5:A420,A420))</f>
        <v/>
      </c>
    </row>
    <row r="421" customFormat="false" ht="15" hidden="false" customHeight="false" outlineLevel="0" collapsed="false">
      <c r="A421" s="28"/>
      <c r="B421" s="28"/>
      <c r="C421" s="28"/>
      <c r="D421" s="31"/>
      <c r="E421" s="10"/>
      <c r="F421" s="28"/>
      <c r="G421" s="11" t="str">
        <f aca="false">IF(OR(A421="",N(D421)=0),"",IFERROR(D421*(1+IFERROR(IF(ISNUMBER(INDEX(Moldes!$K$5:$K$154,MATCH(A421,Moldes!$A$5:$A$154,0))),INDEX(Moldes!$K$5:$K$154,MATCH(A421,Moldes!$A$5:$A$154,0)),Precios!$Q$12),Precios!$Q$12))*(INDEX(Precios!$F$5:$F$124,MATCH(E421,Precios!$A$5:$A$124,0))+IF(F421="Sí",Precios!$Q$10,0)),"falta $ tela"))</f>
        <v/>
      </c>
      <c r="H421" s="32" t="str">
        <f aca="false">IF(A421="","",A421&amp;"|"&amp;COUNTIF($A$5:A421,A421))</f>
        <v/>
      </c>
    </row>
    <row r="422" customFormat="false" ht="15" hidden="false" customHeight="false" outlineLevel="0" collapsed="false">
      <c r="A422" s="28"/>
      <c r="B422" s="28"/>
      <c r="C422" s="28"/>
      <c r="D422" s="31"/>
      <c r="E422" s="10"/>
      <c r="F422" s="28"/>
      <c r="G422" s="11" t="str">
        <f aca="false">IF(OR(A422="",N(D422)=0),"",IFERROR(D422*(1+IFERROR(IF(ISNUMBER(INDEX(Moldes!$K$5:$K$154,MATCH(A422,Moldes!$A$5:$A$154,0))),INDEX(Moldes!$K$5:$K$154,MATCH(A422,Moldes!$A$5:$A$154,0)),Precios!$Q$12),Precios!$Q$12))*(INDEX(Precios!$F$5:$F$124,MATCH(E422,Precios!$A$5:$A$124,0))+IF(F422="Sí",Precios!$Q$10,0)),"falta $ tela"))</f>
        <v/>
      </c>
      <c r="H422" s="32" t="str">
        <f aca="false">IF(A422="","",A422&amp;"|"&amp;COUNTIF($A$5:A422,A422))</f>
        <v/>
      </c>
    </row>
    <row r="423" customFormat="false" ht="15" hidden="false" customHeight="false" outlineLevel="0" collapsed="false">
      <c r="A423" s="28"/>
      <c r="B423" s="28"/>
      <c r="C423" s="28"/>
      <c r="D423" s="31"/>
      <c r="E423" s="10"/>
      <c r="F423" s="28"/>
      <c r="G423" s="11" t="str">
        <f aca="false">IF(OR(A423="",N(D423)=0),"",IFERROR(D423*(1+IFERROR(IF(ISNUMBER(INDEX(Moldes!$K$5:$K$154,MATCH(A423,Moldes!$A$5:$A$154,0))),INDEX(Moldes!$K$5:$K$154,MATCH(A423,Moldes!$A$5:$A$154,0)),Precios!$Q$12),Precios!$Q$12))*(INDEX(Precios!$F$5:$F$124,MATCH(E423,Precios!$A$5:$A$124,0))+IF(F423="Sí",Precios!$Q$10,0)),"falta $ tela"))</f>
        <v/>
      </c>
      <c r="H423" s="32" t="str">
        <f aca="false">IF(A423="","",A423&amp;"|"&amp;COUNTIF($A$5:A423,A423))</f>
        <v/>
      </c>
    </row>
    <row r="424" customFormat="false" ht="15" hidden="false" customHeight="false" outlineLevel="0" collapsed="false">
      <c r="A424" s="28"/>
      <c r="B424" s="28"/>
      <c r="C424" s="28"/>
      <c r="D424" s="31"/>
      <c r="E424" s="10"/>
      <c r="F424" s="28"/>
      <c r="G424" s="11" t="str">
        <f aca="false">IF(OR(A424="",N(D424)=0),"",IFERROR(D424*(1+IFERROR(IF(ISNUMBER(INDEX(Moldes!$K$5:$K$154,MATCH(A424,Moldes!$A$5:$A$154,0))),INDEX(Moldes!$K$5:$K$154,MATCH(A424,Moldes!$A$5:$A$154,0)),Precios!$Q$12),Precios!$Q$12))*(INDEX(Precios!$F$5:$F$124,MATCH(E424,Precios!$A$5:$A$124,0))+IF(F424="Sí",Precios!$Q$10,0)),"falta $ tela"))</f>
        <v/>
      </c>
      <c r="H424" s="32" t="str">
        <f aca="false">IF(A424="","",A424&amp;"|"&amp;COUNTIF($A$5:A424,A424))</f>
        <v/>
      </c>
    </row>
    <row r="425" customFormat="false" ht="15" hidden="false" customHeight="false" outlineLevel="0" collapsed="false">
      <c r="A425" s="28"/>
      <c r="B425" s="28"/>
      <c r="C425" s="28"/>
      <c r="D425" s="31"/>
      <c r="E425" s="10"/>
      <c r="F425" s="28"/>
      <c r="G425" s="11" t="str">
        <f aca="false">IF(OR(A425="",N(D425)=0),"",IFERROR(D425*(1+IFERROR(IF(ISNUMBER(INDEX(Moldes!$K$5:$K$154,MATCH(A425,Moldes!$A$5:$A$154,0))),INDEX(Moldes!$K$5:$K$154,MATCH(A425,Moldes!$A$5:$A$154,0)),Precios!$Q$12),Precios!$Q$12))*(INDEX(Precios!$F$5:$F$124,MATCH(E425,Precios!$A$5:$A$124,0))+IF(F425="Sí",Precios!$Q$10,0)),"falta $ tela"))</f>
        <v/>
      </c>
      <c r="H425" s="32" t="str">
        <f aca="false">IF(A425="","",A425&amp;"|"&amp;COUNTIF($A$5:A425,A425))</f>
        <v/>
      </c>
    </row>
    <row r="426" customFormat="false" ht="15" hidden="false" customHeight="false" outlineLevel="0" collapsed="false">
      <c r="A426" s="28"/>
      <c r="B426" s="28"/>
      <c r="C426" s="28"/>
      <c r="D426" s="31"/>
      <c r="E426" s="10"/>
      <c r="F426" s="28"/>
      <c r="G426" s="11" t="str">
        <f aca="false">IF(OR(A426="",N(D426)=0),"",IFERROR(D426*(1+IFERROR(IF(ISNUMBER(INDEX(Moldes!$K$5:$K$154,MATCH(A426,Moldes!$A$5:$A$154,0))),INDEX(Moldes!$K$5:$K$154,MATCH(A426,Moldes!$A$5:$A$154,0)),Precios!$Q$12),Precios!$Q$12))*(INDEX(Precios!$F$5:$F$124,MATCH(E426,Precios!$A$5:$A$124,0))+IF(F426="Sí",Precios!$Q$10,0)),"falta $ tela"))</f>
        <v/>
      </c>
      <c r="H426" s="32" t="str">
        <f aca="false">IF(A426="","",A426&amp;"|"&amp;COUNTIF($A$5:A426,A426))</f>
        <v/>
      </c>
    </row>
    <row r="427" customFormat="false" ht="15" hidden="false" customHeight="false" outlineLevel="0" collapsed="false">
      <c r="A427" s="28"/>
      <c r="B427" s="28"/>
      <c r="C427" s="28"/>
      <c r="D427" s="31"/>
      <c r="E427" s="10"/>
      <c r="F427" s="28"/>
      <c r="G427" s="11" t="str">
        <f aca="false">IF(OR(A427="",N(D427)=0),"",IFERROR(D427*(1+IFERROR(IF(ISNUMBER(INDEX(Moldes!$K$5:$K$154,MATCH(A427,Moldes!$A$5:$A$154,0))),INDEX(Moldes!$K$5:$K$154,MATCH(A427,Moldes!$A$5:$A$154,0)),Precios!$Q$12),Precios!$Q$12))*(INDEX(Precios!$F$5:$F$124,MATCH(E427,Precios!$A$5:$A$124,0))+IF(F427="Sí",Precios!$Q$10,0)),"falta $ tela"))</f>
        <v/>
      </c>
      <c r="H427" s="32" t="str">
        <f aca="false">IF(A427="","",A427&amp;"|"&amp;COUNTIF($A$5:A427,A427))</f>
        <v/>
      </c>
    </row>
    <row r="428" customFormat="false" ht="15" hidden="false" customHeight="false" outlineLevel="0" collapsed="false">
      <c r="A428" s="28"/>
      <c r="B428" s="28"/>
      <c r="C428" s="28"/>
      <c r="D428" s="31"/>
      <c r="E428" s="10"/>
      <c r="F428" s="28"/>
      <c r="G428" s="11" t="str">
        <f aca="false">IF(OR(A428="",N(D428)=0),"",IFERROR(D428*(1+IFERROR(IF(ISNUMBER(INDEX(Moldes!$K$5:$K$154,MATCH(A428,Moldes!$A$5:$A$154,0))),INDEX(Moldes!$K$5:$K$154,MATCH(A428,Moldes!$A$5:$A$154,0)),Precios!$Q$12),Precios!$Q$12))*(INDEX(Precios!$F$5:$F$124,MATCH(E428,Precios!$A$5:$A$124,0))+IF(F428="Sí",Precios!$Q$10,0)),"falta $ tela"))</f>
        <v/>
      </c>
      <c r="H428" s="32" t="str">
        <f aca="false">IF(A428="","",A428&amp;"|"&amp;COUNTIF($A$5:A428,A428))</f>
        <v/>
      </c>
    </row>
    <row r="429" customFormat="false" ht="15" hidden="false" customHeight="false" outlineLevel="0" collapsed="false">
      <c r="A429" s="28"/>
      <c r="B429" s="28"/>
      <c r="C429" s="28"/>
      <c r="D429" s="31"/>
      <c r="E429" s="10"/>
      <c r="F429" s="28"/>
      <c r="G429" s="11" t="str">
        <f aca="false">IF(OR(A429="",N(D429)=0),"",IFERROR(D429*(1+IFERROR(IF(ISNUMBER(INDEX(Moldes!$K$5:$K$154,MATCH(A429,Moldes!$A$5:$A$154,0))),INDEX(Moldes!$K$5:$K$154,MATCH(A429,Moldes!$A$5:$A$154,0)),Precios!$Q$12),Precios!$Q$12))*(INDEX(Precios!$F$5:$F$124,MATCH(E429,Precios!$A$5:$A$124,0))+IF(F429="Sí",Precios!$Q$10,0)),"falta $ tela"))</f>
        <v/>
      </c>
      <c r="H429" s="32" t="str">
        <f aca="false">IF(A429="","",A429&amp;"|"&amp;COUNTIF($A$5:A429,A429))</f>
        <v/>
      </c>
    </row>
    <row r="430" customFormat="false" ht="15" hidden="false" customHeight="false" outlineLevel="0" collapsed="false">
      <c r="A430" s="28"/>
      <c r="B430" s="28"/>
      <c r="C430" s="28"/>
      <c r="D430" s="31"/>
      <c r="E430" s="10"/>
      <c r="F430" s="28"/>
      <c r="G430" s="11" t="str">
        <f aca="false">IF(OR(A430="",N(D430)=0),"",IFERROR(D430*(1+IFERROR(IF(ISNUMBER(INDEX(Moldes!$K$5:$K$154,MATCH(A430,Moldes!$A$5:$A$154,0))),INDEX(Moldes!$K$5:$K$154,MATCH(A430,Moldes!$A$5:$A$154,0)),Precios!$Q$12),Precios!$Q$12))*(INDEX(Precios!$F$5:$F$124,MATCH(E430,Precios!$A$5:$A$124,0))+IF(F430="Sí",Precios!$Q$10,0)),"falta $ tela"))</f>
        <v/>
      </c>
      <c r="H430" s="32" t="str">
        <f aca="false">IF(A430="","",A430&amp;"|"&amp;COUNTIF($A$5:A430,A430))</f>
        <v/>
      </c>
    </row>
    <row r="431" customFormat="false" ht="15" hidden="false" customHeight="false" outlineLevel="0" collapsed="false">
      <c r="A431" s="28"/>
      <c r="B431" s="28"/>
      <c r="C431" s="28"/>
      <c r="D431" s="31"/>
      <c r="E431" s="10"/>
      <c r="F431" s="28"/>
      <c r="G431" s="11" t="str">
        <f aca="false">IF(OR(A431="",N(D431)=0),"",IFERROR(D431*(1+IFERROR(IF(ISNUMBER(INDEX(Moldes!$K$5:$K$154,MATCH(A431,Moldes!$A$5:$A$154,0))),INDEX(Moldes!$K$5:$K$154,MATCH(A431,Moldes!$A$5:$A$154,0)),Precios!$Q$12),Precios!$Q$12))*(INDEX(Precios!$F$5:$F$124,MATCH(E431,Precios!$A$5:$A$124,0))+IF(F431="Sí",Precios!$Q$10,0)),"falta $ tela"))</f>
        <v/>
      </c>
      <c r="H431" s="32" t="str">
        <f aca="false">IF(A431="","",A431&amp;"|"&amp;COUNTIF($A$5:A431,A431))</f>
        <v/>
      </c>
    </row>
    <row r="432" customFormat="false" ht="15" hidden="false" customHeight="false" outlineLevel="0" collapsed="false">
      <c r="A432" s="28"/>
      <c r="B432" s="28"/>
      <c r="C432" s="28"/>
      <c r="D432" s="31"/>
      <c r="E432" s="10"/>
      <c r="F432" s="28"/>
      <c r="G432" s="11" t="str">
        <f aca="false">IF(OR(A432="",N(D432)=0),"",IFERROR(D432*(1+IFERROR(IF(ISNUMBER(INDEX(Moldes!$K$5:$K$154,MATCH(A432,Moldes!$A$5:$A$154,0))),INDEX(Moldes!$K$5:$K$154,MATCH(A432,Moldes!$A$5:$A$154,0)),Precios!$Q$12),Precios!$Q$12))*(INDEX(Precios!$F$5:$F$124,MATCH(E432,Precios!$A$5:$A$124,0))+IF(F432="Sí",Precios!$Q$10,0)),"falta $ tela"))</f>
        <v/>
      </c>
      <c r="H432" s="32" t="str">
        <f aca="false">IF(A432="","",A432&amp;"|"&amp;COUNTIF($A$5:A432,A432))</f>
        <v/>
      </c>
    </row>
    <row r="433" customFormat="false" ht="15" hidden="false" customHeight="false" outlineLevel="0" collapsed="false">
      <c r="A433" s="28"/>
      <c r="B433" s="28"/>
      <c r="C433" s="28"/>
      <c r="D433" s="31"/>
      <c r="E433" s="10"/>
      <c r="F433" s="28"/>
      <c r="G433" s="11" t="str">
        <f aca="false">IF(OR(A433="",N(D433)=0),"",IFERROR(D433*(1+IFERROR(IF(ISNUMBER(INDEX(Moldes!$K$5:$K$154,MATCH(A433,Moldes!$A$5:$A$154,0))),INDEX(Moldes!$K$5:$K$154,MATCH(A433,Moldes!$A$5:$A$154,0)),Precios!$Q$12),Precios!$Q$12))*(INDEX(Precios!$F$5:$F$124,MATCH(E433,Precios!$A$5:$A$124,0))+IF(F433="Sí",Precios!$Q$10,0)),"falta $ tela"))</f>
        <v/>
      </c>
      <c r="H433" s="32" t="str">
        <f aca="false">IF(A433="","",A433&amp;"|"&amp;COUNTIF($A$5:A433,A433))</f>
        <v/>
      </c>
    </row>
    <row r="434" customFormat="false" ht="15" hidden="false" customHeight="false" outlineLevel="0" collapsed="false">
      <c r="A434" s="28"/>
      <c r="B434" s="28"/>
      <c r="C434" s="28"/>
      <c r="D434" s="31"/>
      <c r="E434" s="10"/>
      <c r="F434" s="28"/>
      <c r="G434" s="11" t="str">
        <f aca="false">IF(OR(A434="",N(D434)=0),"",IFERROR(D434*(1+IFERROR(IF(ISNUMBER(INDEX(Moldes!$K$5:$K$154,MATCH(A434,Moldes!$A$5:$A$154,0))),INDEX(Moldes!$K$5:$K$154,MATCH(A434,Moldes!$A$5:$A$154,0)),Precios!$Q$12),Precios!$Q$12))*(INDEX(Precios!$F$5:$F$124,MATCH(E434,Precios!$A$5:$A$124,0))+IF(F434="Sí",Precios!$Q$10,0)),"falta $ tela"))</f>
        <v/>
      </c>
      <c r="H434" s="32" t="str">
        <f aca="false">IF(A434="","",A434&amp;"|"&amp;COUNTIF($A$5:A434,A434))</f>
        <v/>
      </c>
    </row>
    <row r="435" customFormat="false" ht="15" hidden="false" customHeight="false" outlineLevel="0" collapsed="false">
      <c r="A435" s="28"/>
      <c r="B435" s="28"/>
      <c r="C435" s="28"/>
      <c r="D435" s="31"/>
      <c r="E435" s="10"/>
      <c r="F435" s="28"/>
      <c r="G435" s="11" t="str">
        <f aca="false">IF(OR(A435="",N(D435)=0),"",IFERROR(D435*(1+IFERROR(IF(ISNUMBER(INDEX(Moldes!$K$5:$K$154,MATCH(A435,Moldes!$A$5:$A$154,0))),INDEX(Moldes!$K$5:$K$154,MATCH(A435,Moldes!$A$5:$A$154,0)),Precios!$Q$12),Precios!$Q$12))*(INDEX(Precios!$F$5:$F$124,MATCH(E435,Precios!$A$5:$A$124,0))+IF(F435="Sí",Precios!$Q$10,0)),"falta $ tela"))</f>
        <v/>
      </c>
      <c r="H435" s="32" t="str">
        <f aca="false">IF(A435="","",A435&amp;"|"&amp;COUNTIF($A$5:A435,A435))</f>
        <v/>
      </c>
    </row>
    <row r="436" customFormat="false" ht="15" hidden="false" customHeight="false" outlineLevel="0" collapsed="false">
      <c r="A436" s="28"/>
      <c r="B436" s="28"/>
      <c r="C436" s="28"/>
      <c r="D436" s="31"/>
      <c r="E436" s="10"/>
      <c r="F436" s="28"/>
      <c r="G436" s="11" t="str">
        <f aca="false">IF(OR(A436="",N(D436)=0),"",IFERROR(D436*(1+IFERROR(IF(ISNUMBER(INDEX(Moldes!$K$5:$K$154,MATCH(A436,Moldes!$A$5:$A$154,0))),INDEX(Moldes!$K$5:$K$154,MATCH(A436,Moldes!$A$5:$A$154,0)),Precios!$Q$12),Precios!$Q$12))*(INDEX(Precios!$F$5:$F$124,MATCH(E436,Precios!$A$5:$A$124,0))+IF(F436="Sí",Precios!$Q$10,0)),"falta $ tela"))</f>
        <v/>
      </c>
      <c r="H436" s="32" t="str">
        <f aca="false">IF(A436="","",A436&amp;"|"&amp;COUNTIF($A$5:A436,A436))</f>
        <v/>
      </c>
    </row>
    <row r="437" customFormat="false" ht="15" hidden="false" customHeight="false" outlineLevel="0" collapsed="false">
      <c r="A437" s="28"/>
      <c r="B437" s="28"/>
      <c r="C437" s="28"/>
      <c r="D437" s="31"/>
      <c r="E437" s="10"/>
      <c r="F437" s="28"/>
      <c r="G437" s="11" t="str">
        <f aca="false">IF(OR(A437="",N(D437)=0),"",IFERROR(D437*(1+IFERROR(IF(ISNUMBER(INDEX(Moldes!$K$5:$K$154,MATCH(A437,Moldes!$A$5:$A$154,0))),INDEX(Moldes!$K$5:$K$154,MATCH(A437,Moldes!$A$5:$A$154,0)),Precios!$Q$12),Precios!$Q$12))*(INDEX(Precios!$F$5:$F$124,MATCH(E437,Precios!$A$5:$A$124,0))+IF(F437="Sí",Precios!$Q$10,0)),"falta $ tela"))</f>
        <v/>
      </c>
      <c r="H437" s="32" t="str">
        <f aca="false">IF(A437="","",A437&amp;"|"&amp;COUNTIF($A$5:A437,A437))</f>
        <v/>
      </c>
    </row>
    <row r="438" customFormat="false" ht="15" hidden="false" customHeight="false" outlineLevel="0" collapsed="false">
      <c r="A438" s="28"/>
      <c r="B438" s="28"/>
      <c r="C438" s="28"/>
      <c r="D438" s="31"/>
      <c r="E438" s="10"/>
      <c r="F438" s="28"/>
      <c r="G438" s="11" t="str">
        <f aca="false">IF(OR(A438="",N(D438)=0),"",IFERROR(D438*(1+IFERROR(IF(ISNUMBER(INDEX(Moldes!$K$5:$K$154,MATCH(A438,Moldes!$A$5:$A$154,0))),INDEX(Moldes!$K$5:$K$154,MATCH(A438,Moldes!$A$5:$A$154,0)),Precios!$Q$12),Precios!$Q$12))*(INDEX(Precios!$F$5:$F$124,MATCH(E438,Precios!$A$5:$A$124,0))+IF(F438="Sí",Precios!$Q$10,0)),"falta $ tela"))</f>
        <v/>
      </c>
      <c r="H438" s="32" t="str">
        <f aca="false">IF(A438="","",A438&amp;"|"&amp;COUNTIF($A$5:A438,A438))</f>
        <v/>
      </c>
    </row>
    <row r="439" customFormat="false" ht="15" hidden="false" customHeight="false" outlineLevel="0" collapsed="false">
      <c r="A439" s="28"/>
      <c r="B439" s="28"/>
      <c r="C439" s="28"/>
      <c r="D439" s="31"/>
      <c r="E439" s="10"/>
      <c r="F439" s="28"/>
      <c r="G439" s="11" t="str">
        <f aca="false">IF(OR(A439="",N(D439)=0),"",IFERROR(D439*(1+IFERROR(IF(ISNUMBER(INDEX(Moldes!$K$5:$K$154,MATCH(A439,Moldes!$A$5:$A$154,0))),INDEX(Moldes!$K$5:$K$154,MATCH(A439,Moldes!$A$5:$A$154,0)),Precios!$Q$12),Precios!$Q$12))*(INDEX(Precios!$F$5:$F$124,MATCH(E439,Precios!$A$5:$A$124,0))+IF(F439="Sí",Precios!$Q$10,0)),"falta $ tela"))</f>
        <v/>
      </c>
      <c r="H439" s="32" t="str">
        <f aca="false">IF(A439="","",A439&amp;"|"&amp;COUNTIF($A$5:A439,A439))</f>
        <v/>
      </c>
    </row>
    <row r="440" customFormat="false" ht="15" hidden="false" customHeight="false" outlineLevel="0" collapsed="false">
      <c r="A440" s="28"/>
      <c r="B440" s="28"/>
      <c r="C440" s="28"/>
      <c r="D440" s="31"/>
      <c r="E440" s="10"/>
      <c r="F440" s="28"/>
      <c r="G440" s="11" t="str">
        <f aca="false">IF(OR(A440="",N(D440)=0),"",IFERROR(D440*(1+IFERROR(IF(ISNUMBER(INDEX(Moldes!$K$5:$K$154,MATCH(A440,Moldes!$A$5:$A$154,0))),INDEX(Moldes!$K$5:$K$154,MATCH(A440,Moldes!$A$5:$A$154,0)),Precios!$Q$12),Precios!$Q$12))*(INDEX(Precios!$F$5:$F$124,MATCH(E440,Precios!$A$5:$A$124,0))+IF(F440="Sí",Precios!$Q$10,0)),"falta $ tela"))</f>
        <v/>
      </c>
      <c r="H440" s="32" t="str">
        <f aca="false">IF(A440="","",A440&amp;"|"&amp;COUNTIF($A$5:A440,A440))</f>
        <v/>
      </c>
    </row>
    <row r="441" customFormat="false" ht="15" hidden="false" customHeight="false" outlineLevel="0" collapsed="false">
      <c r="A441" s="28"/>
      <c r="B441" s="28"/>
      <c r="C441" s="28"/>
      <c r="D441" s="31"/>
      <c r="E441" s="10"/>
      <c r="F441" s="28"/>
      <c r="G441" s="11" t="str">
        <f aca="false">IF(OR(A441="",N(D441)=0),"",IFERROR(D441*(1+IFERROR(IF(ISNUMBER(INDEX(Moldes!$K$5:$K$154,MATCH(A441,Moldes!$A$5:$A$154,0))),INDEX(Moldes!$K$5:$K$154,MATCH(A441,Moldes!$A$5:$A$154,0)),Precios!$Q$12),Precios!$Q$12))*(INDEX(Precios!$F$5:$F$124,MATCH(E441,Precios!$A$5:$A$124,0))+IF(F441="Sí",Precios!$Q$10,0)),"falta $ tela"))</f>
        <v/>
      </c>
      <c r="H441" s="32" t="str">
        <f aca="false">IF(A441="","",A441&amp;"|"&amp;COUNTIF($A$5:A441,A441))</f>
        <v/>
      </c>
    </row>
    <row r="442" customFormat="false" ht="15" hidden="false" customHeight="false" outlineLevel="0" collapsed="false">
      <c r="A442" s="28"/>
      <c r="B442" s="28"/>
      <c r="C442" s="28"/>
      <c r="D442" s="31"/>
      <c r="E442" s="10"/>
      <c r="F442" s="28"/>
      <c r="G442" s="11" t="str">
        <f aca="false">IF(OR(A442="",N(D442)=0),"",IFERROR(D442*(1+IFERROR(IF(ISNUMBER(INDEX(Moldes!$K$5:$K$154,MATCH(A442,Moldes!$A$5:$A$154,0))),INDEX(Moldes!$K$5:$K$154,MATCH(A442,Moldes!$A$5:$A$154,0)),Precios!$Q$12),Precios!$Q$12))*(INDEX(Precios!$F$5:$F$124,MATCH(E442,Precios!$A$5:$A$124,0))+IF(F442="Sí",Precios!$Q$10,0)),"falta $ tela"))</f>
        <v/>
      </c>
      <c r="H442" s="32" t="str">
        <f aca="false">IF(A442="","",A442&amp;"|"&amp;COUNTIF($A$5:A442,A442))</f>
        <v/>
      </c>
    </row>
    <row r="443" customFormat="false" ht="15" hidden="false" customHeight="false" outlineLevel="0" collapsed="false">
      <c r="A443" s="28"/>
      <c r="B443" s="28"/>
      <c r="C443" s="28"/>
      <c r="D443" s="31"/>
      <c r="E443" s="10"/>
      <c r="F443" s="28"/>
      <c r="G443" s="11" t="str">
        <f aca="false">IF(OR(A443="",N(D443)=0),"",IFERROR(D443*(1+IFERROR(IF(ISNUMBER(INDEX(Moldes!$K$5:$K$154,MATCH(A443,Moldes!$A$5:$A$154,0))),INDEX(Moldes!$K$5:$K$154,MATCH(A443,Moldes!$A$5:$A$154,0)),Precios!$Q$12),Precios!$Q$12))*(INDEX(Precios!$F$5:$F$124,MATCH(E443,Precios!$A$5:$A$124,0))+IF(F443="Sí",Precios!$Q$10,0)),"falta $ tela"))</f>
        <v/>
      </c>
      <c r="H443" s="32" t="str">
        <f aca="false">IF(A443="","",A443&amp;"|"&amp;COUNTIF($A$5:A443,A443))</f>
        <v/>
      </c>
    </row>
    <row r="444" customFormat="false" ht="15" hidden="false" customHeight="false" outlineLevel="0" collapsed="false">
      <c r="A444" s="28"/>
      <c r="B444" s="28"/>
      <c r="C444" s="28"/>
      <c r="D444" s="31"/>
      <c r="E444" s="10"/>
      <c r="F444" s="28"/>
      <c r="G444" s="11" t="str">
        <f aca="false">IF(OR(A444="",N(D444)=0),"",IFERROR(D444*(1+IFERROR(IF(ISNUMBER(INDEX(Moldes!$K$5:$K$154,MATCH(A444,Moldes!$A$5:$A$154,0))),INDEX(Moldes!$K$5:$K$154,MATCH(A444,Moldes!$A$5:$A$154,0)),Precios!$Q$12),Precios!$Q$12))*(INDEX(Precios!$F$5:$F$124,MATCH(E444,Precios!$A$5:$A$124,0))+IF(F444="Sí",Precios!$Q$10,0)),"falta $ tela"))</f>
        <v/>
      </c>
      <c r="H444" s="32" t="str">
        <f aca="false">IF(A444="","",A444&amp;"|"&amp;COUNTIF($A$5:A444,A444))</f>
        <v/>
      </c>
    </row>
    <row r="445" customFormat="false" ht="15" hidden="false" customHeight="false" outlineLevel="0" collapsed="false">
      <c r="A445" s="28"/>
      <c r="B445" s="28"/>
      <c r="C445" s="28"/>
      <c r="D445" s="31"/>
      <c r="E445" s="10"/>
      <c r="F445" s="28"/>
      <c r="G445" s="11" t="str">
        <f aca="false">IF(OR(A445="",N(D445)=0),"",IFERROR(D445*(1+IFERROR(IF(ISNUMBER(INDEX(Moldes!$K$5:$K$154,MATCH(A445,Moldes!$A$5:$A$154,0))),INDEX(Moldes!$K$5:$K$154,MATCH(A445,Moldes!$A$5:$A$154,0)),Precios!$Q$12),Precios!$Q$12))*(INDEX(Precios!$F$5:$F$124,MATCH(E445,Precios!$A$5:$A$124,0))+IF(F445="Sí",Precios!$Q$10,0)),"falta $ tela"))</f>
        <v/>
      </c>
      <c r="H445" s="32" t="str">
        <f aca="false">IF(A445="","",A445&amp;"|"&amp;COUNTIF($A$5:A445,A445))</f>
        <v/>
      </c>
    </row>
    <row r="446" customFormat="false" ht="15" hidden="false" customHeight="false" outlineLevel="0" collapsed="false">
      <c r="A446" s="28"/>
      <c r="B446" s="28"/>
      <c r="C446" s="28"/>
      <c r="D446" s="31"/>
      <c r="E446" s="10"/>
      <c r="F446" s="28"/>
      <c r="G446" s="11" t="str">
        <f aca="false">IF(OR(A446="",N(D446)=0),"",IFERROR(D446*(1+IFERROR(IF(ISNUMBER(INDEX(Moldes!$K$5:$K$154,MATCH(A446,Moldes!$A$5:$A$154,0))),INDEX(Moldes!$K$5:$K$154,MATCH(A446,Moldes!$A$5:$A$154,0)),Precios!$Q$12),Precios!$Q$12))*(INDEX(Precios!$F$5:$F$124,MATCH(E446,Precios!$A$5:$A$124,0))+IF(F446="Sí",Precios!$Q$10,0)),"falta $ tela"))</f>
        <v/>
      </c>
      <c r="H446" s="32" t="str">
        <f aca="false">IF(A446="","",A446&amp;"|"&amp;COUNTIF($A$5:A446,A446))</f>
        <v/>
      </c>
    </row>
    <row r="447" customFormat="false" ht="15" hidden="false" customHeight="false" outlineLevel="0" collapsed="false">
      <c r="A447" s="28"/>
      <c r="B447" s="28"/>
      <c r="C447" s="28"/>
      <c r="D447" s="31"/>
      <c r="E447" s="10"/>
      <c r="F447" s="28"/>
      <c r="G447" s="11" t="str">
        <f aca="false">IF(OR(A447="",N(D447)=0),"",IFERROR(D447*(1+IFERROR(IF(ISNUMBER(INDEX(Moldes!$K$5:$K$154,MATCH(A447,Moldes!$A$5:$A$154,0))),INDEX(Moldes!$K$5:$K$154,MATCH(A447,Moldes!$A$5:$A$154,0)),Precios!$Q$12),Precios!$Q$12))*(INDEX(Precios!$F$5:$F$124,MATCH(E447,Precios!$A$5:$A$124,0))+IF(F447="Sí",Precios!$Q$10,0)),"falta $ tela"))</f>
        <v/>
      </c>
      <c r="H447" s="32" t="str">
        <f aca="false">IF(A447="","",A447&amp;"|"&amp;COUNTIF($A$5:A447,A447))</f>
        <v/>
      </c>
    </row>
    <row r="448" customFormat="false" ht="15" hidden="false" customHeight="false" outlineLevel="0" collapsed="false">
      <c r="A448" s="28"/>
      <c r="B448" s="28"/>
      <c r="C448" s="28"/>
      <c r="D448" s="31"/>
      <c r="E448" s="10"/>
      <c r="F448" s="28"/>
      <c r="G448" s="11" t="str">
        <f aca="false">IF(OR(A448="",N(D448)=0),"",IFERROR(D448*(1+IFERROR(IF(ISNUMBER(INDEX(Moldes!$K$5:$K$154,MATCH(A448,Moldes!$A$5:$A$154,0))),INDEX(Moldes!$K$5:$K$154,MATCH(A448,Moldes!$A$5:$A$154,0)),Precios!$Q$12),Precios!$Q$12))*(INDEX(Precios!$F$5:$F$124,MATCH(E448,Precios!$A$5:$A$124,0))+IF(F448="Sí",Precios!$Q$10,0)),"falta $ tela"))</f>
        <v/>
      </c>
      <c r="H448" s="32" t="str">
        <f aca="false">IF(A448="","",A448&amp;"|"&amp;COUNTIF($A$5:A448,A448))</f>
        <v/>
      </c>
    </row>
    <row r="449" customFormat="false" ht="15" hidden="false" customHeight="false" outlineLevel="0" collapsed="false">
      <c r="A449" s="28"/>
      <c r="B449" s="28"/>
      <c r="C449" s="28"/>
      <c r="D449" s="31"/>
      <c r="E449" s="10"/>
      <c r="F449" s="28"/>
      <c r="G449" s="11" t="str">
        <f aca="false">IF(OR(A449="",N(D449)=0),"",IFERROR(D449*(1+IFERROR(IF(ISNUMBER(INDEX(Moldes!$K$5:$K$154,MATCH(A449,Moldes!$A$5:$A$154,0))),INDEX(Moldes!$K$5:$K$154,MATCH(A449,Moldes!$A$5:$A$154,0)),Precios!$Q$12),Precios!$Q$12))*(INDEX(Precios!$F$5:$F$124,MATCH(E449,Precios!$A$5:$A$124,0))+IF(F449="Sí",Precios!$Q$10,0)),"falta $ tela"))</f>
        <v/>
      </c>
      <c r="H449" s="32" t="str">
        <f aca="false">IF(A449="","",A449&amp;"|"&amp;COUNTIF($A$5:A449,A449))</f>
        <v/>
      </c>
    </row>
    <row r="450" customFormat="false" ht="15" hidden="false" customHeight="false" outlineLevel="0" collapsed="false">
      <c r="A450" s="28"/>
      <c r="B450" s="28"/>
      <c r="C450" s="28"/>
      <c r="D450" s="31"/>
      <c r="E450" s="10"/>
      <c r="F450" s="28"/>
      <c r="G450" s="11" t="str">
        <f aca="false">IF(OR(A450="",N(D450)=0),"",IFERROR(D450*(1+IFERROR(IF(ISNUMBER(INDEX(Moldes!$K$5:$K$154,MATCH(A450,Moldes!$A$5:$A$154,0))),INDEX(Moldes!$K$5:$K$154,MATCH(A450,Moldes!$A$5:$A$154,0)),Precios!$Q$12),Precios!$Q$12))*(INDEX(Precios!$F$5:$F$124,MATCH(E450,Precios!$A$5:$A$124,0))+IF(F450="Sí",Precios!$Q$10,0)),"falta $ tela"))</f>
        <v/>
      </c>
      <c r="H450" s="32" t="str">
        <f aca="false">IF(A450="","",A450&amp;"|"&amp;COUNTIF($A$5:A450,A450))</f>
        <v/>
      </c>
    </row>
    <row r="451" customFormat="false" ht="15" hidden="false" customHeight="false" outlineLevel="0" collapsed="false">
      <c r="A451" s="28"/>
      <c r="B451" s="28"/>
      <c r="C451" s="28"/>
      <c r="D451" s="31"/>
      <c r="E451" s="10"/>
      <c r="F451" s="28"/>
      <c r="G451" s="11" t="str">
        <f aca="false">IF(OR(A451="",N(D451)=0),"",IFERROR(D451*(1+IFERROR(IF(ISNUMBER(INDEX(Moldes!$K$5:$K$154,MATCH(A451,Moldes!$A$5:$A$154,0))),INDEX(Moldes!$K$5:$K$154,MATCH(A451,Moldes!$A$5:$A$154,0)),Precios!$Q$12),Precios!$Q$12))*(INDEX(Precios!$F$5:$F$124,MATCH(E451,Precios!$A$5:$A$124,0))+IF(F451="Sí",Precios!$Q$10,0)),"falta $ tela"))</f>
        <v/>
      </c>
      <c r="H451" s="32" t="str">
        <f aca="false">IF(A451="","",A451&amp;"|"&amp;COUNTIF($A$5:A451,A451))</f>
        <v/>
      </c>
    </row>
    <row r="452" customFormat="false" ht="15" hidden="false" customHeight="false" outlineLevel="0" collapsed="false">
      <c r="A452" s="28"/>
      <c r="B452" s="28"/>
      <c r="C452" s="28"/>
      <c r="D452" s="31"/>
      <c r="E452" s="10"/>
      <c r="F452" s="28"/>
      <c r="G452" s="11" t="str">
        <f aca="false">IF(OR(A452="",N(D452)=0),"",IFERROR(D452*(1+IFERROR(IF(ISNUMBER(INDEX(Moldes!$K$5:$K$154,MATCH(A452,Moldes!$A$5:$A$154,0))),INDEX(Moldes!$K$5:$K$154,MATCH(A452,Moldes!$A$5:$A$154,0)),Precios!$Q$12),Precios!$Q$12))*(INDEX(Precios!$F$5:$F$124,MATCH(E452,Precios!$A$5:$A$124,0))+IF(F452="Sí",Precios!$Q$10,0)),"falta $ tela"))</f>
        <v/>
      </c>
      <c r="H452" s="32" t="str">
        <f aca="false">IF(A452="","",A452&amp;"|"&amp;COUNTIF($A$5:A452,A452))</f>
        <v/>
      </c>
    </row>
    <row r="453" customFormat="false" ht="15" hidden="false" customHeight="false" outlineLevel="0" collapsed="false">
      <c r="A453" s="28"/>
      <c r="B453" s="28"/>
      <c r="C453" s="28"/>
      <c r="D453" s="31"/>
      <c r="E453" s="10"/>
      <c r="F453" s="28"/>
      <c r="G453" s="11" t="str">
        <f aca="false">IF(OR(A453="",N(D453)=0),"",IFERROR(D453*(1+IFERROR(IF(ISNUMBER(INDEX(Moldes!$K$5:$K$154,MATCH(A453,Moldes!$A$5:$A$154,0))),INDEX(Moldes!$K$5:$K$154,MATCH(A453,Moldes!$A$5:$A$154,0)),Precios!$Q$12),Precios!$Q$12))*(INDEX(Precios!$F$5:$F$124,MATCH(E453,Precios!$A$5:$A$124,0))+IF(F453="Sí",Precios!$Q$10,0)),"falta $ tela"))</f>
        <v/>
      </c>
      <c r="H453" s="32" t="str">
        <f aca="false">IF(A453="","",A453&amp;"|"&amp;COUNTIF($A$5:A453,A453))</f>
        <v/>
      </c>
    </row>
    <row r="454" customFormat="false" ht="15" hidden="false" customHeight="false" outlineLevel="0" collapsed="false">
      <c r="A454" s="28"/>
      <c r="B454" s="28"/>
      <c r="C454" s="28"/>
      <c r="D454" s="31"/>
      <c r="E454" s="10"/>
      <c r="F454" s="28"/>
      <c r="G454" s="11" t="str">
        <f aca="false">IF(OR(A454="",N(D454)=0),"",IFERROR(D454*(1+IFERROR(IF(ISNUMBER(INDEX(Moldes!$K$5:$K$154,MATCH(A454,Moldes!$A$5:$A$154,0))),INDEX(Moldes!$K$5:$K$154,MATCH(A454,Moldes!$A$5:$A$154,0)),Precios!$Q$12),Precios!$Q$12))*(INDEX(Precios!$F$5:$F$124,MATCH(E454,Precios!$A$5:$A$124,0))+IF(F454="Sí",Precios!$Q$10,0)),"falta $ tela"))</f>
        <v/>
      </c>
      <c r="H454" s="32" t="str">
        <f aca="false">IF(A454="","",A454&amp;"|"&amp;COUNTIF($A$5:A454,A454))</f>
        <v/>
      </c>
    </row>
    <row r="455" customFormat="false" ht="15" hidden="false" customHeight="false" outlineLevel="0" collapsed="false">
      <c r="A455" s="28"/>
      <c r="B455" s="28"/>
      <c r="C455" s="28"/>
      <c r="D455" s="31"/>
      <c r="E455" s="10"/>
      <c r="F455" s="28"/>
      <c r="G455" s="11" t="str">
        <f aca="false">IF(OR(A455="",N(D455)=0),"",IFERROR(D455*(1+IFERROR(IF(ISNUMBER(INDEX(Moldes!$K$5:$K$154,MATCH(A455,Moldes!$A$5:$A$154,0))),INDEX(Moldes!$K$5:$K$154,MATCH(A455,Moldes!$A$5:$A$154,0)),Precios!$Q$12),Precios!$Q$12))*(INDEX(Precios!$F$5:$F$124,MATCH(E455,Precios!$A$5:$A$124,0))+IF(F455="Sí",Precios!$Q$10,0)),"falta $ tela"))</f>
        <v/>
      </c>
      <c r="H455" s="32" t="str">
        <f aca="false">IF(A455="","",A455&amp;"|"&amp;COUNTIF($A$5:A455,A455))</f>
        <v/>
      </c>
    </row>
    <row r="456" customFormat="false" ht="15" hidden="false" customHeight="false" outlineLevel="0" collapsed="false">
      <c r="A456" s="28"/>
      <c r="B456" s="28"/>
      <c r="C456" s="28"/>
      <c r="D456" s="31"/>
      <c r="E456" s="10"/>
      <c r="F456" s="28"/>
      <c r="G456" s="11" t="str">
        <f aca="false">IF(OR(A456="",N(D456)=0),"",IFERROR(D456*(1+IFERROR(IF(ISNUMBER(INDEX(Moldes!$K$5:$K$154,MATCH(A456,Moldes!$A$5:$A$154,0))),INDEX(Moldes!$K$5:$K$154,MATCH(A456,Moldes!$A$5:$A$154,0)),Precios!$Q$12),Precios!$Q$12))*(INDEX(Precios!$F$5:$F$124,MATCH(E456,Precios!$A$5:$A$124,0))+IF(F456="Sí",Precios!$Q$10,0)),"falta $ tela"))</f>
        <v/>
      </c>
      <c r="H456" s="32" t="str">
        <f aca="false">IF(A456="","",A456&amp;"|"&amp;COUNTIF($A$5:A456,A456))</f>
        <v/>
      </c>
    </row>
    <row r="457" customFormat="false" ht="15" hidden="false" customHeight="false" outlineLevel="0" collapsed="false">
      <c r="A457" s="28"/>
      <c r="B457" s="28"/>
      <c r="C457" s="28"/>
      <c r="D457" s="31"/>
      <c r="E457" s="10"/>
      <c r="F457" s="28"/>
      <c r="G457" s="11" t="str">
        <f aca="false">IF(OR(A457="",N(D457)=0),"",IFERROR(D457*(1+IFERROR(IF(ISNUMBER(INDEX(Moldes!$K$5:$K$154,MATCH(A457,Moldes!$A$5:$A$154,0))),INDEX(Moldes!$K$5:$K$154,MATCH(A457,Moldes!$A$5:$A$154,0)),Precios!$Q$12),Precios!$Q$12))*(INDEX(Precios!$F$5:$F$124,MATCH(E457,Precios!$A$5:$A$124,0))+IF(F457="Sí",Precios!$Q$10,0)),"falta $ tela"))</f>
        <v/>
      </c>
      <c r="H457" s="32" t="str">
        <f aca="false">IF(A457="","",A457&amp;"|"&amp;COUNTIF($A$5:A457,A457))</f>
        <v/>
      </c>
    </row>
    <row r="458" customFormat="false" ht="15" hidden="false" customHeight="false" outlineLevel="0" collapsed="false">
      <c r="A458" s="28"/>
      <c r="B458" s="28"/>
      <c r="C458" s="28"/>
      <c r="D458" s="31"/>
      <c r="E458" s="10"/>
      <c r="F458" s="28"/>
      <c r="G458" s="11" t="str">
        <f aca="false">IF(OR(A458="",N(D458)=0),"",IFERROR(D458*(1+IFERROR(IF(ISNUMBER(INDEX(Moldes!$K$5:$K$154,MATCH(A458,Moldes!$A$5:$A$154,0))),INDEX(Moldes!$K$5:$K$154,MATCH(A458,Moldes!$A$5:$A$154,0)),Precios!$Q$12),Precios!$Q$12))*(INDEX(Precios!$F$5:$F$124,MATCH(E458,Precios!$A$5:$A$124,0))+IF(F458="Sí",Precios!$Q$10,0)),"falta $ tela"))</f>
        <v/>
      </c>
      <c r="H458" s="32" t="str">
        <f aca="false">IF(A458="","",A458&amp;"|"&amp;COUNTIF($A$5:A458,A458))</f>
        <v/>
      </c>
    </row>
    <row r="459" customFormat="false" ht="15" hidden="false" customHeight="false" outlineLevel="0" collapsed="false">
      <c r="A459" s="28"/>
      <c r="B459" s="28"/>
      <c r="C459" s="28"/>
      <c r="D459" s="31"/>
      <c r="E459" s="10"/>
      <c r="F459" s="28"/>
      <c r="G459" s="11" t="str">
        <f aca="false">IF(OR(A459="",N(D459)=0),"",IFERROR(D459*(1+IFERROR(IF(ISNUMBER(INDEX(Moldes!$K$5:$K$154,MATCH(A459,Moldes!$A$5:$A$154,0))),INDEX(Moldes!$K$5:$K$154,MATCH(A459,Moldes!$A$5:$A$154,0)),Precios!$Q$12),Precios!$Q$12))*(INDEX(Precios!$F$5:$F$124,MATCH(E459,Precios!$A$5:$A$124,0))+IF(F459="Sí",Precios!$Q$10,0)),"falta $ tela"))</f>
        <v/>
      </c>
      <c r="H459" s="32" t="str">
        <f aca="false">IF(A459="","",A459&amp;"|"&amp;COUNTIF($A$5:A459,A459))</f>
        <v/>
      </c>
    </row>
    <row r="460" customFormat="false" ht="15" hidden="false" customHeight="false" outlineLevel="0" collapsed="false">
      <c r="A460" s="28"/>
      <c r="B460" s="28"/>
      <c r="C460" s="28"/>
      <c r="D460" s="31"/>
      <c r="E460" s="10"/>
      <c r="F460" s="28"/>
      <c r="G460" s="11" t="str">
        <f aca="false">IF(OR(A460="",N(D460)=0),"",IFERROR(D460*(1+IFERROR(IF(ISNUMBER(INDEX(Moldes!$K$5:$K$154,MATCH(A460,Moldes!$A$5:$A$154,0))),INDEX(Moldes!$K$5:$K$154,MATCH(A460,Moldes!$A$5:$A$154,0)),Precios!$Q$12),Precios!$Q$12))*(INDEX(Precios!$F$5:$F$124,MATCH(E460,Precios!$A$5:$A$124,0))+IF(F460="Sí",Precios!$Q$10,0)),"falta $ tela"))</f>
        <v/>
      </c>
      <c r="H460" s="32" t="str">
        <f aca="false">IF(A460="","",A460&amp;"|"&amp;COUNTIF($A$5:A460,A460))</f>
        <v/>
      </c>
    </row>
    <row r="461" customFormat="false" ht="15" hidden="false" customHeight="false" outlineLevel="0" collapsed="false">
      <c r="A461" s="28"/>
      <c r="B461" s="28"/>
      <c r="C461" s="28"/>
      <c r="D461" s="31"/>
      <c r="E461" s="10"/>
      <c r="F461" s="28"/>
      <c r="G461" s="11" t="str">
        <f aca="false">IF(OR(A461="",N(D461)=0),"",IFERROR(D461*(1+IFERROR(IF(ISNUMBER(INDEX(Moldes!$K$5:$K$154,MATCH(A461,Moldes!$A$5:$A$154,0))),INDEX(Moldes!$K$5:$K$154,MATCH(A461,Moldes!$A$5:$A$154,0)),Precios!$Q$12),Precios!$Q$12))*(INDEX(Precios!$F$5:$F$124,MATCH(E461,Precios!$A$5:$A$124,0))+IF(F461="Sí",Precios!$Q$10,0)),"falta $ tela"))</f>
        <v/>
      </c>
      <c r="H461" s="32" t="str">
        <f aca="false">IF(A461="","",A461&amp;"|"&amp;COUNTIF($A$5:A461,A461))</f>
        <v/>
      </c>
    </row>
    <row r="462" customFormat="false" ht="15" hidden="false" customHeight="false" outlineLevel="0" collapsed="false">
      <c r="A462" s="28"/>
      <c r="B462" s="28"/>
      <c r="C462" s="28"/>
      <c r="D462" s="31"/>
      <c r="E462" s="10"/>
      <c r="F462" s="28"/>
      <c r="G462" s="11" t="str">
        <f aca="false">IF(OR(A462="",N(D462)=0),"",IFERROR(D462*(1+IFERROR(IF(ISNUMBER(INDEX(Moldes!$K$5:$K$154,MATCH(A462,Moldes!$A$5:$A$154,0))),INDEX(Moldes!$K$5:$K$154,MATCH(A462,Moldes!$A$5:$A$154,0)),Precios!$Q$12),Precios!$Q$12))*(INDEX(Precios!$F$5:$F$124,MATCH(E462,Precios!$A$5:$A$124,0))+IF(F462="Sí",Precios!$Q$10,0)),"falta $ tela"))</f>
        <v/>
      </c>
      <c r="H462" s="32" t="str">
        <f aca="false">IF(A462="","",A462&amp;"|"&amp;COUNTIF($A$5:A462,A462))</f>
        <v/>
      </c>
    </row>
    <row r="463" customFormat="false" ht="15" hidden="false" customHeight="false" outlineLevel="0" collapsed="false">
      <c r="A463" s="28"/>
      <c r="B463" s="28"/>
      <c r="C463" s="28"/>
      <c r="D463" s="31"/>
      <c r="E463" s="10"/>
      <c r="F463" s="28"/>
      <c r="G463" s="11" t="str">
        <f aca="false">IF(OR(A463="",N(D463)=0),"",IFERROR(D463*(1+IFERROR(IF(ISNUMBER(INDEX(Moldes!$K$5:$K$154,MATCH(A463,Moldes!$A$5:$A$154,0))),INDEX(Moldes!$K$5:$K$154,MATCH(A463,Moldes!$A$5:$A$154,0)),Precios!$Q$12),Precios!$Q$12))*(INDEX(Precios!$F$5:$F$124,MATCH(E463,Precios!$A$5:$A$124,0))+IF(F463="Sí",Precios!$Q$10,0)),"falta $ tela"))</f>
        <v/>
      </c>
      <c r="H463" s="32" t="str">
        <f aca="false">IF(A463="","",A463&amp;"|"&amp;COUNTIF($A$5:A463,A463))</f>
        <v/>
      </c>
    </row>
    <row r="464" customFormat="false" ht="15" hidden="false" customHeight="false" outlineLevel="0" collapsed="false">
      <c r="A464" s="28"/>
      <c r="B464" s="28"/>
      <c r="C464" s="28"/>
      <c r="D464" s="31"/>
      <c r="E464" s="10"/>
      <c r="F464" s="28"/>
      <c r="G464" s="11" t="str">
        <f aca="false">IF(OR(A464="",N(D464)=0),"",IFERROR(D464*(1+IFERROR(IF(ISNUMBER(INDEX(Moldes!$K$5:$K$154,MATCH(A464,Moldes!$A$5:$A$154,0))),INDEX(Moldes!$K$5:$K$154,MATCH(A464,Moldes!$A$5:$A$154,0)),Precios!$Q$12),Precios!$Q$12))*(INDEX(Precios!$F$5:$F$124,MATCH(E464,Precios!$A$5:$A$124,0))+IF(F464="Sí",Precios!$Q$10,0)),"falta $ tela"))</f>
        <v/>
      </c>
      <c r="H464" s="32" t="str">
        <f aca="false">IF(A464="","",A464&amp;"|"&amp;COUNTIF($A$5:A464,A464))</f>
        <v/>
      </c>
    </row>
    <row r="465" customFormat="false" ht="15" hidden="false" customHeight="false" outlineLevel="0" collapsed="false">
      <c r="A465" s="28"/>
      <c r="B465" s="28"/>
      <c r="C465" s="28"/>
      <c r="D465" s="31"/>
      <c r="E465" s="10"/>
      <c r="F465" s="28"/>
      <c r="G465" s="11" t="str">
        <f aca="false">IF(OR(A465="",N(D465)=0),"",IFERROR(D465*(1+IFERROR(IF(ISNUMBER(INDEX(Moldes!$K$5:$K$154,MATCH(A465,Moldes!$A$5:$A$154,0))),INDEX(Moldes!$K$5:$K$154,MATCH(A465,Moldes!$A$5:$A$154,0)),Precios!$Q$12),Precios!$Q$12))*(INDEX(Precios!$F$5:$F$124,MATCH(E465,Precios!$A$5:$A$124,0))+IF(F465="Sí",Precios!$Q$10,0)),"falta $ tela"))</f>
        <v/>
      </c>
      <c r="H465" s="32" t="str">
        <f aca="false">IF(A465="","",A465&amp;"|"&amp;COUNTIF($A$5:A465,A465))</f>
        <v/>
      </c>
    </row>
    <row r="466" customFormat="false" ht="15" hidden="false" customHeight="false" outlineLevel="0" collapsed="false">
      <c r="A466" s="28"/>
      <c r="B466" s="28"/>
      <c r="C466" s="28"/>
      <c r="D466" s="31"/>
      <c r="E466" s="10"/>
      <c r="F466" s="28"/>
      <c r="G466" s="11" t="str">
        <f aca="false">IF(OR(A466="",N(D466)=0),"",IFERROR(D466*(1+IFERROR(IF(ISNUMBER(INDEX(Moldes!$K$5:$K$154,MATCH(A466,Moldes!$A$5:$A$154,0))),INDEX(Moldes!$K$5:$K$154,MATCH(A466,Moldes!$A$5:$A$154,0)),Precios!$Q$12),Precios!$Q$12))*(INDEX(Precios!$F$5:$F$124,MATCH(E466,Precios!$A$5:$A$124,0))+IF(F466="Sí",Precios!$Q$10,0)),"falta $ tela"))</f>
        <v/>
      </c>
      <c r="H466" s="32" t="str">
        <f aca="false">IF(A466="","",A466&amp;"|"&amp;COUNTIF($A$5:A466,A466))</f>
        <v/>
      </c>
    </row>
    <row r="467" customFormat="false" ht="15" hidden="false" customHeight="false" outlineLevel="0" collapsed="false">
      <c r="A467" s="28"/>
      <c r="B467" s="28"/>
      <c r="C467" s="28"/>
      <c r="D467" s="31"/>
      <c r="E467" s="10"/>
      <c r="F467" s="28"/>
      <c r="G467" s="11" t="str">
        <f aca="false">IF(OR(A467="",N(D467)=0),"",IFERROR(D467*(1+IFERROR(IF(ISNUMBER(INDEX(Moldes!$K$5:$K$154,MATCH(A467,Moldes!$A$5:$A$154,0))),INDEX(Moldes!$K$5:$K$154,MATCH(A467,Moldes!$A$5:$A$154,0)),Precios!$Q$12),Precios!$Q$12))*(INDEX(Precios!$F$5:$F$124,MATCH(E467,Precios!$A$5:$A$124,0))+IF(F467="Sí",Precios!$Q$10,0)),"falta $ tela"))</f>
        <v/>
      </c>
      <c r="H467" s="32" t="str">
        <f aca="false">IF(A467="","",A467&amp;"|"&amp;COUNTIF($A$5:A467,A467))</f>
        <v/>
      </c>
    </row>
    <row r="468" customFormat="false" ht="15" hidden="false" customHeight="false" outlineLevel="0" collapsed="false">
      <c r="A468" s="28"/>
      <c r="B468" s="28"/>
      <c r="C468" s="28"/>
      <c r="D468" s="31"/>
      <c r="E468" s="10"/>
      <c r="F468" s="28"/>
      <c r="G468" s="11" t="str">
        <f aca="false">IF(OR(A468="",N(D468)=0),"",IFERROR(D468*(1+IFERROR(IF(ISNUMBER(INDEX(Moldes!$K$5:$K$154,MATCH(A468,Moldes!$A$5:$A$154,0))),INDEX(Moldes!$K$5:$K$154,MATCH(A468,Moldes!$A$5:$A$154,0)),Precios!$Q$12),Precios!$Q$12))*(INDEX(Precios!$F$5:$F$124,MATCH(E468,Precios!$A$5:$A$124,0))+IF(F468="Sí",Precios!$Q$10,0)),"falta $ tela"))</f>
        <v/>
      </c>
      <c r="H468" s="32" t="str">
        <f aca="false">IF(A468="","",A468&amp;"|"&amp;COUNTIF($A$5:A468,A468))</f>
        <v/>
      </c>
    </row>
    <row r="469" customFormat="false" ht="15" hidden="false" customHeight="false" outlineLevel="0" collapsed="false">
      <c r="A469" s="28"/>
      <c r="B469" s="28"/>
      <c r="C469" s="28"/>
      <c r="D469" s="31"/>
      <c r="E469" s="10"/>
      <c r="F469" s="28"/>
      <c r="G469" s="11" t="str">
        <f aca="false">IF(OR(A469="",N(D469)=0),"",IFERROR(D469*(1+IFERROR(IF(ISNUMBER(INDEX(Moldes!$K$5:$K$154,MATCH(A469,Moldes!$A$5:$A$154,0))),INDEX(Moldes!$K$5:$K$154,MATCH(A469,Moldes!$A$5:$A$154,0)),Precios!$Q$12),Precios!$Q$12))*(INDEX(Precios!$F$5:$F$124,MATCH(E469,Precios!$A$5:$A$124,0))+IF(F469="Sí",Precios!$Q$10,0)),"falta $ tela"))</f>
        <v/>
      </c>
      <c r="H469" s="32" t="str">
        <f aca="false">IF(A469="","",A469&amp;"|"&amp;COUNTIF($A$5:A469,A469))</f>
        <v/>
      </c>
    </row>
    <row r="470" customFormat="false" ht="15" hidden="false" customHeight="false" outlineLevel="0" collapsed="false">
      <c r="A470" s="28"/>
      <c r="B470" s="28"/>
      <c r="C470" s="28"/>
      <c r="D470" s="31"/>
      <c r="E470" s="10"/>
      <c r="F470" s="28"/>
      <c r="G470" s="11" t="str">
        <f aca="false">IF(OR(A470="",N(D470)=0),"",IFERROR(D470*(1+IFERROR(IF(ISNUMBER(INDEX(Moldes!$K$5:$K$154,MATCH(A470,Moldes!$A$5:$A$154,0))),INDEX(Moldes!$K$5:$K$154,MATCH(A470,Moldes!$A$5:$A$154,0)),Precios!$Q$12),Precios!$Q$12))*(INDEX(Precios!$F$5:$F$124,MATCH(E470,Precios!$A$5:$A$124,0))+IF(F470="Sí",Precios!$Q$10,0)),"falta $ tela"))</f>
        <v/>
      </c>
      <c r="H470" s="32" t="str">
        <f aca="false">IF(A470="","",A470&amp;"|"&amp;COUNTIF($A$5:A470,A470))</f>
        <v/>
      </c>
    </row>
    <row r="471" customFormat="false" ht="15" hidden="false" customHeight="false" outlineLevel="0" collapsed="false">
      <c r="A471" s="28"/>
      <c r="B471" s="28"/>
      <c r="C471" s="28"/>
      <c r="D471" s="31"/>
      <c r="E471" s="10"/>
      <c r="F471" s="28"/>
      <c r="G471" s="11" t="str">
        <f aca="false">IF(OR(A471="",N(D471)=0),"",IFERROR(D471*(1+IFERROR(IF(ISNUMBER(INDEX(Moldes!$K$5:$K$154,MATCH(A471,Moldes!$A$5:$A$154,0))),INDEX(Moldes!$K$5:$K$154,MATCH(A471,Moldes!$A$5:$A$154,0)),Precios!$Q$12),Precios!$Q$12))*(INDEX(Precios!$F$5:$F$124,MATCH(E471,Precios!$A$5:$A$124,0))+IF(F471="Sí",Precios!$Q$10,0)),"falta $ tela"))</f>
        <v/>
      </c>
      <c r="H471" s="32" t="str">
        <f aca="false">IF(A471="","",A471&amp;"|"&amp;COUNTIF($A$5:A471,A471))</f>
        <v/>
      </c>
    </row>
    <row r="472" customFormat="false" ht="15" hidden="false" customHeight="false" outlineLevel="0" collapsed="false">
      <c r="A472" s="28"/>
      <c r="B472" s="28"/>
      <c r="C472" s="28"/>
      <c r="D472" s="31"/>
      <c r="E472" s="10"/>
      <c r="F472" s="28"/>
      <c r="G472" s="11" t="str">
        <f aca="false">IF(OR(A472="",N(D472)=0),"",IFERROR(D472*(1+IFERROR(IF(ISNUMBER(INDEX(Moldes!$K$5:$K$154,MATCH(A472,Moldes!$A$5:$A$154,0))),INDEX(Moldes!$K$5:$K$154,MATCH(A472,Moldes!$A$5:$A$154,0)),Precios!$Q$12),Precios!$Q$12))*(INDEX(Precios!$F$5:$F$124,MATCH(E472,Precios!$A$5:$A$124,0))+IF(F472="Sí",Precios!$Q$10,0)),"falta $ tela"))</f>
        <v/>
      </c>
      <c r="H472" s="32" t="str">
        <f aca="false">IF(A472="","",A472&amp;"|"&amp;COUNTIF($A$5:A472,A472))</f>
        <v/>
      </c>
    </row>
    <row r="473" customFormat="false" ht="15" hidden="false" customHeight="false" outlineLevel="0" collapsed="false">
      <c r="A473" s="28"/>
      <c r="B473" s="28"/>
      <c r="C473" s="28"/>
      <c r="D473" s="31"/>
      <c r="E473" s="10"/>
      <c r="F473" s="28"/>
      <c r="G473" s="11" t="str">
        <f aca="false">IF(OR(A473="",N(D473)=0),"",IFERROR(D473*(1+IFERROR(IF(ISNUMBER(INDEX(Moldes!$K$5:$K$154,MATCH(A473,Moldes!$A$5:$A$154,0))),INDEX(Moldes!$K$5:$K$154,MATCH(A473,Moldes!$A$5:$A$154,0)),Precios!$Q$12),Precios!$Q$12))*(INDEX(Precios!$F$5:$F$124,MATCH(E473,Precios!$A$5:$A$124,0))+IF(F473="Sí",Precios!$Q$10,0)),"falta $ tela"))</f>
        <v/>
      </c>
      <c r="H473" s="32" t="str">
        <f aca="false">IF(A473="","",A473&amp;"|"&amp;COUNTIF($A$5:A473,A473))</f>
        <v/>
      </c>
    </row>
    <row r="474" customFormat="false" ht="15" hidden="false" customHeight="false" outlineLevel="0" collapsed="false">
      <c r="A474" s="28"/>
      <c r="B474" s="28"/>
      <c r="C474" s="28"/>
      <c r="D474" s="31"/>
      <c r="E474" s="10"/>
      <c r="F474" s="28"/>
      <c r="G474" s="11" t="str">
        <f aca="false">IF(OR(A474="",N(D474)=0),"",IFERROR(D474*(1+IFERROR(IF(ISNUMBER(INDEX(Moldes!$K$5:$K$154,MATCH(A474,Moldes!$A$5:$A$154,0))),INDEX(Moldes!$K$5:$K$154,MATCH(A474,Moldes!$A$5:$A$154,0)),Precios!$Q$12),Precios!$Q$12))*(INDEX(Precios!$F$5:$F$124,MATCH(E474,Precios!$A$5:$A$124,0))+IF(F474="Sí",Precios!$Q$10,0)),"falta $ tela"))</f>
        <v/>
      </c>
      <c r="H474" s="32" t="str">
        <f aca="false">IF(A474="","",A474&amp;"|"&amp;COUNTIF($A$5:A474,A474))</f>
        <v/>
      </c>
    </row>
    <row r="475" customFormat="false" ht="15" hidden="false" customHeight="false" outlineLevel="0" collapsed="false">
      <c r="A475" s="28"/>
      <c r="B475" s="28"/>
      <c r="C475" s="28"/>
      <c r="D475" s="31"/>
      <c r="E475" s="10"/>
      <c r="F475" s="28"/>
      <c r="G475" s="11" t="str">
        <f aca="false">IF(OR(A475="",N(D475)=0),"",IFERROR(D475*(1+IFERROR(IF(ISNUMBER(INDEX(Moldes!$K$5:$K$154,MATCH(A475,Moldes!$A$5:$A$154,0))),INDEX(Moldes!$K$5:$K$154,MATCH(A475,Moldes!$A$5:$A$154,0)),Precios!$Q$12),Precios!$Q$12))*(INDEX(Precios!$F$5:$F$124,MATCH(E475,Precios!$A$5:$A$124,0))+IF(F475="Sí",Precios!$Q$10,0)),"falta $ tela"))</f>
        <v/>
      </c>
      <c r="H475" s="32" t="str">
        <f aca="false">IF(A475="","",A475&amp;"|"&amp;COUNTIF($A$5:A475,A475))</f>
        <v/>
      </c>
    </row>
    <row r="476" customFormat="false" ht="15" hidden="false" customHeight="false" outlineLevel="0" collapsed="false">
      <c r="A476" s="28"/>
      <c r="B476" s="28"/>
      <c r="C476" s="28"/>
      <c r="D476" s="31"/>
      <c r="E476" s="10"/>
      <c r="F476" s="28"/>
      <c r="G476" s="11" t="str">
        <f aca="false">IF(OR(A476="",N(D476)=0),"",IFERROR(D476*(1+IFERROR(IF(ISNUMBER(INDEX(Moldes!$K$5:$K$154,MATCH(A476,Moldes!$A$5:$A$154,0))),INDEX(Moldes!$K$5:$K$154,MATCH(A476,Moldes!$A$5:$A$154,0)),Precios!$Q$12),Precios!$Q$12))*(INDEX(Precios!$F$5:$F$124,MATCH(E476,Precios!$A$5:$A$124,0))+IF(F476="Sí",Precios!$Q$10,0)),"falta $ tela"))</f>
        <v/>
      </c>
      <c r="H476" s="32" t="str">
        <f aca="false">IF(A476="","",A476&amp;"|"&amp;COUNTIF($A$5:A476,A476))</f>
        <v/>
      </c>
    </row>
    <row r="477" customFormat="false" ht="15" hidden="false" customHeight="false" outlineLevel="0" collapsed="false">
      <c r="A477" s="28"/>
      <c r="B477" s="28"/>
      <c r="C477" s="28"/>
      <c r="D477" s="31"/>
      <c r="E477" s="10"/>
      <c r="F477" s="28"/>
      <c r="G477" s="11" t="str">
        <f aca="false">IF(OR(A477="",N(D477)=0),"",IFERROR(D477*(1+IFERROR(IF(ISNUMBER(INDEX(Moldes!$K$5:$K$154,MATCH(A477,Moldes!$A$5:$A$154,0))),INDEX(Moldes!$K$5:$K$154,MATCH(A477,Moldes!$A$5:$A$154,0)),Precios!$Q$12),Precios!$Q$12))*(INDEX(Precios!$F$5:$F$124,MATCH(E477,Precios!$A$5:$A$124,0))+IF(F477="Sí",Precios!$Q$10,0)),"falta $ tela"))</f>
        <v/>
      </c>
      <c r="H477" s="32" t="str">
        <f aca="false">IF(A477="","",A477&amp;"|"&amp;COUNTIF($A$5:A477,A477))</f>
        <v/>
      </c>
    </row>
    <row r="478" customFormat="false" ht="15" hidden="false" customHeight="false" outlineLevel="0" collapsed="false">
      <c r="A478" s="28"/>
      <c r="B478" s="28"/>
      <c r="C478" s="28"/>
      <c r="D478" s="31"/>
      <c r="E478" s="10"/>
      <c r="F478" s="28"/>
      <c r="G478" s="11" t="str">
        <f aca="false">IF(OR(A478="",N(D478)=0),"",IFERROR(D478*(1+IFERROR(IF(ISNUMBER(INDEX(Moldes!$K$5:$K$154,MATCH(A478,Moldes!$A$5:$A$154,0))),INDEX(Moldes!$K$5:$K$154,MATCH(A478,Moldes!$A$5:$A$154,0)),Precios!$Q$12),Precios!$Q$12))*(INDEX(Precios!$F$5:$F$124,MATCH(E478,Precios!$A$5:$A$124,0))+IF(F478="Sí",Precios!$Q$10,0)),"falta $ tela"))</f>
        <v/>
      </c>
      <c r="H478" s="32" t="str">
        <f aca="false">IF(A478="","",A478&amp;"|"&amp;COUNTIF($A$5:A478,A478))</f>
        <v/>
      </c>
    </row>
    <row r="479" customFormat="false" ht="15" hidden="false" customHeight="false" outlineLevel="0" collapsed="false">
      <c r="A479" s="28"/>
      <c r="B479" s="28"/>
      <c r="C479" s="28"/>
      <c r="D479" s="31"/>
      <c r="E479" s="10"/>
      <c r="F479" s="28"/>
      <c r="G479" s="11" t="str">
        <f aca="false">IF(OR(A479="",N(D479)=0),"",IFERROR(D479*(1+IFERROR(IF(ISNUMBER(INDEX(Moldes!$K$5:$K$154,MATCH(A479,Moldes!$A$5:$A$154,0))),INDEX(Moldes!$K$5:$K$154,MATCH(A479,Moldes!$A$5:$A$154,0)),Precios!$Q$12),Precios!$Q$12))*(INDEX(Precios!$F$5:$F$124,MATCH(E479,Precios!$A$5:$A$124,0))+IF(F479="Sí",Precios!$Q$10,0)),"falta $ tela"))</f>
        <v/>
      </c>
      <c r="H479" s="32" t="str">
        <f aca="false">IF(A479="","",A479&amp;"|"&amp;COUNTIF($A$5:A479,A479))</f>
        <v/>
      </c>
    </row>
    <row r="480" customFormat="false" ht="15" hidden="false" customHeight="false" outlineLevel="0" collapsed="false">
      <c r="A480" s="28"/>
      <c r="B480" s="28"/>
      <c r="C480" s="28"/>
      <c r="D480" s="31"/>
      <c r="E480" s="10"/>
      <c r="F480" s="28"/>
      <c r="G480" s="11" t="str">
        <f aca="false">IF(OR(A480="",N(D480)=0),"",IFERROR(D480*(1+IFERROR(IF(ISNUMBER(INDEX(Moldes!$K$5:$K$154,MATCH(A480,Moldes!$A$5:$A$154,0))),INDEX(Moldes!$K$5:$K$154,MATCH(A480,Moldes!$A$5:$A$154,0)),Precios!$Q$12),Precios!$Q$12))*(INDEX(Precios!$F$5:$F$124,MATCH(E480,Precios!$A$5:$A$124,0))+IF(F480="Sí",Precios!$Q$10,0)),"falta $ tela"))</f>
        <v/>
      </c>
      <c r="H480" s="32" t="str">
        <f aca="false">IF(A480="","",A480&amp;"|"&amp;COUNTIF($A$5:A480,A480))</f>
        <v/>
      </c>
    </row>
    <row r="481" customFormat="false" ht="15" hidden="false" customHeight="false" outlineLevel="0" collapsed="false">
      <c r="A481" s="28"/>
      <c r="B481" s="28"/>
      <c r="C481" s="28"/>
      <c r="D481" s="31"/>
      <c r="E481" s="10"/>
      <c r="F481" s="28"/>
      <c r="G481" s="11" t="str">
        <f aca="false">IF(OR(A481="",N(D481)=0),"",IFERROR(D481*(1+IFERROR(IF(ISNUMBER(INDEX(Moldes!$K$5:$K$154,MATCH(A481,Moldes!$A$5:$A$154,0))),INDEX(Moldes!$K$5:$K$154,MATCH(A481,Moldes!$A$5:$A$154,0)),Precios!$Q$12),Precios!$Q$12))*(INDEX(Precios!$F$5:$F$124,MATCH(E481,Precios!$A$5:$A$124,0))+IF(F481="Sí",Precios!$Q$10,0)),"falta $ tela"))</f>
        <v/>
      </c>
      <c r="H481" s="32" t="str">
        <f aca="false">IF(A481="","",A481&amp;"|"&amp;COUNTIF($A$5:A481,A481))</f>
        <v/>
      </c>
    </row>
    <row r="482" customFormat="false" ht="15" hidden="false" customHeight="false" outlineLevel="0" collapsed="false">
      <c r="A482" s="28"/>
      <c r="B482" s="28"/>
      <c r="C482" s="28"/>
      <c r="D482" s="31"/>
      <c r="E482" s="10"/>
      <c r="F482" s="28"/>
      <c r="G482" s="11" t="str">
        <f aca="false">IF(OR(A482="",N(D482)=0),"",IFERROR(D482*(1+IFERROR(IF(ISNUMBER(INDEX(Moldes!$K$5:$K$154,MATCH(A482,Moldes!$A$5:$A$154,0))),INDEX(Moldes!$K$5:$K$154,MATCH(A482,Moldes!$A$5:$A$154,0)),Precios!$Q$12),Precios!$Q$12))*(INDEX(Precios!$F$5:$F$124,MATCH(E482,Precios!$A$5:$A$124,0))+IF(F482="Sí",Precios!$Q$10,0)),"falta $ tela"))</f>
        <v/>
      </c>
      <c r="H482" s="32" t="str">
        <f aca="false">IF(A482="","",A482&amp;"|"&amp;COUNTIF($A$5:A482,A482))</f>
        <v/>
      </c>
    </row>
    <row r="483" customFormat="false" ht="15" hidden="false" customHeight="false" outlineLevel="0" collapsed="false">
      <c r="A483" s="28"/>
      <c r="B483" s="28"/>
      <c r="C483" s="28"/>
      <c r="D483" s="31"/>
      <c r="E483" s="10"/>
      <c r="F483" s="28"/>
      <c r="G483" s="11" t="str">
        <f aca="false">IF(OR(A483="",N(D483)=0),"",IFERROR(D483*(1+IFERROR(IF(ISNUMBER(INDEX(Moldes!$K$5:$K$154,MATCH(A483,Moldes!$A$5:$A$154,0))),INDEX(Moldes!$K$5:$K$154,MATCH(A483,Moldes!$A$5:$A$154,0)),Precios!$Q$12),Precios!$Q$12))*(INDEX(Precios!$F$5:$F$124,MATCH(E483,Precios!$A$5:$A$124,0))+IF(F483="Sí",Precios!$Q$10,0)),"falta $ tela"))</f>
        <v/>
      </c>
      <c r="H483" s="32" t="str">
        <f aca="false">IF(A483="","",A483&amp;"|"&amp;COUNTIF($A$5:A483,A483))</f>
        <v/>
      </c>
    </row>
    <row r="484" customFormat="false" ht="15" hidden="false" customHeight="false" outlineLevel="0" collapsed="false">
      <c r="A484" s="28"/>
      <c r="B484" s="28"/>
      <c r="C484" s="28"/>
      <c r="D484" s="31"/>
      <c r="E484" s="10"/>
      <c r="F484" s="28"/>
      <c r="G484" s="11" t="str">
        <f aca="false">IF(OR(A484="",N(D484)=0),"",IFERROR(D484*(1+IFERROR(IF(ISNUMBER(INDEX(Moldes!$K$5:$K$154,MATCH(A484,Moldes!$A$5:$A$154,0))),INDEX(Moldes!$K$5:$K$154,MATCH(A484,Moldes!$A$5:$A$154,0)),Precios!$Q$12),Precios!$Q$12))*(INDEX(Precios!$F$5:$F$124,MATCH(E484,Precios!$A$5:$A$124,0))+IF(F484="Sí",Precios!$Q$10,0)),"falta $ tela"))</f>
        <v/>
      </c>
      <c r="H484" s="32" t="str">
        <f aca="false">IF(A484="","",A484&amp;"|"&amp;COUNTIF($A$5:A484,A484))</f>
        <v/>
      </c>
    </row>
    <row r="485" customFormat="false" ht="15" hidden="false" customHeight="false" outlineLevel="0" collapsed="false">
      <c r="A485" s="28"/>
      <c r="B485" s="28"/>
      <c r="C485" s="28"/>
      <c r="D485" s="31"/>
      <c r="E485" s="10"/>
      <c r="F485" s="28"/>
      <c r="G485" s="11" t="str">
        <f aca="false">IF(OR(A485="",N(D485)=0),"",IFERROR(D485*(1+IFERROR(IF(ISNUMBER(INDEX(Moldes!$K$5:$K$154,MATCH(A485,Moldes!$A$5:$A$154,0))),INDEX(Moldes!$K$5:$K$154,MATCH(A485,Moldes!$A$5:$A$154,0)),Precios!$Q$12),Precios!$Q$12))*(INDEX(Precios!$F$5:$F$124,MATCH(E485,Precios!$A$5:$A$124,0))+IF(F485="Sí",Precios!$Q$10,0)),"falta $ tela"))</f>
        <v/>
      </c>
      <c r="H485" s="32" t="str">
        <f aca="false">IF(A485="","",A485&amp;"|"&amp;COUNTIF($A$5:A485,A485))</f>
        <v/>
      </c>
    </row>
    <row r="486" customFormat="false" ht="15" hidden="false" customHeight="false" outlineLevel="0" collapsed="false">
      <c r="A486" s="28"/>
      <c r="B486" s="28"/>
      <c r="C486" s="28"/>
      <c r="D486" s="31"/>
      <c r="E486" s="10"/>
      <c r="F486" s="28"/>
      <c r="G486" s="11" t="str">
        <f aca="false">IF(OR(A486="",N(D486)=0),"",IFERROR(D486*(1+IFERROR(IF(ISNUMBER(INDEX(Moldes!$K$5:$K$154,MATCH(A486,Moldes!$A$5:$A$154,0))),INDEX(Moldes!$K$5:$K$154,MATCH(A486,Moldes!$A$5:$A$154,0)),Precios!$Q$12),Precios!$Q$12))*(INDEX(Precios!$F$5:$F$124,MATCH(E486,Precios!$A$5:$A$124,0))+IF(F486="Sí",Precios!$Q$10,0)),"falta $ tela"))</f>
        <v/>
      </c>
      <c r="H486" s="32" t="str">
        <f aca="false">IF(A486="","",A486&amp;"|"&amp;COUNTIF($A$5:A486,A486))</f>
        <v/>
      </c>
    </row>
    <row r="487" customFormat="false" ht="15" hidden="false" customHeight="false" outlineLevel="0" collapsed="false">
      <c r="A487" s="28"/>
      <c r="B487" s="28"/>
      <c r="C487" s="28"/>
      <c r="D487" s="31"/>
      <c r="E487" s="10"/>
      <c r="F487" s="28"/>
      <c r="G487" s="11" t="str">
        <f aca="false">IF(OR(A487="",N(D487)=0),"",IFERROR(D487*(1+IFERROR(IF(ISNUMBER(INDEX(Moldes!$K$5:$K$154,MATCH(A487,Moldes!$A$5:$A$154,0))),INDEX(Moldes!$K$5:$K$154,MATCH(A487,Moldes!$A$5:$A$154,0)),Precios!$Q$12),Precios!$Q$12))*(INDEX(Precios!$F$5:$F$124,MATCH(E487,Precios!$A$5:$A$124,0))+IF(F487="Sí",Precios!$Q$10,0)),"falta $ tela"))</f>
        <v/>
      </c>
      <c r="H487" s="32" t="str">
        <f aca="false">IF(A487="","",A487&amp;"|"&amp;COUNTIF($A$5:A487,A487))</f>
        <v/>
      </c>
    </row>
    <row r="488" customFormat="false" ht="15" hidden="false" customHeight="false" outlineLevel="0" collapsed="false">
      <c r="A488" s="28"/>
      <c r="B488" s="28"/>
      <c r="C488" s="28"/>
      <c r="D488" s="31"/>
      <c r="E488" s="10"/>
      <c r="F488" s="28"/>
      <c r="G488" s="11" t="str">
        <f aca="false">IF(OR(A488="",N(D488)=0),"",IFERROR(D488*(1+IFERROR(IF(ISNUMBER(INDEX(Moldes!$K$5:$K$154,MATCH(A488,Moldes!$A$5:$A$154,0))),INDEX(Moldes!$K$5:$K$154,MATCH(A488,Moldes!$A$5:$A$154,0)),Precios!$Q$12),Precios!$Q$12))*(INDEX(Precios!$F$5:$F$124,MATCH(E488,Precios!$A$5:$A$124,0))+IF(F488="Sí",Precios!$Q$10,0)),"falta $ tela"))</f>
        <v/>
      </c>
      <c r="H488" s="32" t="str">
        <f aca="false">IF(A488="","",A488&amp;"|"&amp;COUNTIF($A$5:A488,A488))</f>
        <v/>
      </c>
    </row>
    <row r="489" customFormat="false" ht="15" hidden="false" customHeight="false" outlineLevel="0" collapsed="false">
      <c r="A489" s="28"/>
      <c r="B489" s="28"/>
      <c r="C489" s="28"/>
      <c r="D489" s="31"/>
      <c r="E489" s="10"/>
      <c r="F489" s="28"/>
      <c r="G489" s="11" t="str">
        <f aca="false">IF(OR(A489="",N(D489)=0),"",IFERROR(D489*(1+IFERROR(IF(ISNUMBER(INDEX(Moldes!$K$5:$K$154,MATCH(A489,Moldes!$A$5:$A$154,0))),INDEX(Moldes!$K$5:$K$154,MATCH(A489,Moldes!$A$5:$A$154,0)),Precios!$Q$12),Precios!$Q$12))*(INDEX(Precios!$F$5:$F$124,MATCH(E489,Precios!$A$5:$A$124,0))+IF(F489="Sí",Precios!$Q$10,0)),"falta $ tela"))</f>
        <v/>
      </c>
      <c r="H489" s="32" t="str">
        <f aca="false">IF(A489="","",A489&amp;"|"&amp;COUNTIF($A$5:A489,A489))</f>
        <v/>
      </c>
    </row>
    <row r="490" customFormat="false" ht="15" hidden="false" customHeight="false" outlineLevel="0" collapsed="false">
      <c r="A490" s="28"/>
      <c r="B490" s="28"/>
      <c r="C490" s="28"/>
      <c r="D490" s="31"/>
      <c r="E490" s="10"/>
      <c r="F490" s="28"/>
      <c r="G490" s="11" t="str">
        <f aca="false">IF(OR(A490="",N(D490)=0),"",IFERROR(D490*(1+IFERROR(IF(ISNUMBER(INDEX(Moldes!$K$5:$K$154,MATCH(A490,Moldes!$A$5:$A$154,0))),INDEX(Moldes!$K$5:$K$154,MATCH(A490,Moldes!$A$5:$A$154,0)),Precios!$Q$12),Precios!$Q$12))*(INDEX(Precios!$F$5:$F$124,MATCH(E490,Precios!$A$5:$A$124,0))+IF(F490="Sí",Precios!$Q$10,0)),"falta $ tela"))</f>
        <v/>
      </c>
      <c r="H490" s="32" t="str">
        <f aca="false">IF(A490="","",A490&amp;"|"&amp;COUNTIF($A$5:A490,A490))</f>
        <v/>
      </c>
    </row>
    <row r="491" customFormat="false" ht="15" hidden="false" customHeight="false" outlineLevel="0" collapsed="false">
      <c r="A491" s="28"/>
      <c r="B491" s="28"/>
      <c r="C491" s="28"/>
      <c r="D491" s="31"/>
      <c r="E491" s="10"/>
      <c r="F491" s="28"/>
      <c r="G491" s="11" t="str">
        <f aca="false">IF(OR(A491="",N(D491)=0),"",IFERROR(D491*(1+IFERROR(IF(ISNUMBER(INDEX(Moldes!$K$5:$K$154,MATCH(A491,Moldes!$A$5:$A$154,0))),INDEX(Moldes!$K$5:$K$154,MATCH(A491,Moldes!$A$5:$A$154,0)),Precios!$Q$12),Precios!$Q$12))*(INDEX(Precios!$F$5:$F$124,MATCH(E491,Precios!$A$5:$A$124,0))+IF(F491="Sí",Precios!$Q$10,0)),"falta $ tela"))</f>
        <v/>
      </c>
      <c r="H491" s="32" t="str">
        <f aca="false">IF(A491="","",A491&amp;"|"&amp;COUNTIF($A$5:A491,A491))</f>
        <v/>
      </c>
    </row>
    <row r="492" customFormat="false" ht="15" hidden="false" customHeight="false" outlineLevel="0" collapsed="false">
      <c r="A492" s="28"/>
      <c r="B492" s="28"/>
      <c r="C492" s="28"/>
      <c r="D492" s="31"/>
      <c r="E492" s="10"/>
      <c r="F492" s="28"/>
      <c r="G492" s="11" t="str">
        <f aca="false">IF(OR(A492="",N(D492)=0),"",IFERROR(D492*(1+IFERROR(IF(ISNUMBER(INDEX(Moldes!$K$5:$K$154,MATCH(A492,Moldes!$A$5:$A$154,0))),INDEX(Moldes!$K$5:$K$154,MATCH(A492,Moldes!$A$5:$A$154,0)),Precios!$Q$12),Precios!$Q$12))*(INDEX(Precios!$F$5:$F$124,MATCH(E492,Precios!$A$5:$A$124,0))+IF(F492="Sí",Precios!$Q$10,0)),"falta $ tela"))</f>
        <v/>
      </c>
      <c r="H492" s="32" t="str">
        <f aca="false">IF(A492="","",A492&amp;"|"&amp;COUNTIF($A$5:A492,A492))</f>
        <v/>
      </c>
    </row>
    <row r="493" customFormat="false" ht="15" hidden="false" customHeight="false" outlineLevel="0" collapsed="false">
      <c r="A493" s="28"/>
      <c r="B493" s="28"/>
      <c r="C493" s="28"/>
      <c r="D493" s="31"/>
      <c r="E493" s="10"/>
      <c r="F493" s="28"/>
      <c r="G493" s="11" t="str">
        <f aca="false">IF(OR(A493="",N(D493)=0),"",IFERROR(D493*(1+IFERROR(IF(ISNUMBER(INDEX(Moldes!$K$5:$K$154,MATCH(A493,Moldes!$A$5:$A$154,0))),INDEX(Moldes!$K$5:$K$154,MATCH(A493,Moldes!$A$5:$A$154,0)),Precios!$Q$12),Precios!$Q$12))*(INDEX(Precios!$F$5:$F$124,MATCH(E493,Precios!$A$5:$A$124,0))+IF(F493="Sí",Precios!$Q$10,0)),"falta $ tela"))</f>
        <v/>
      </c>
      <c r="H493" s="32" t="str">
        <f aca="false">IF(A493="","",A493&amp;"|"&amp;COUNTIF($A$5:A493,A493))</f>
        <v/>
      </c>
    </row>
    <row r="494" customFormat="false" ht="15" hidden="false" customHeight="false" outlineLevel="0" collapsed="false">
      <c r="A494" s="28"/>
      <c r="B494" s="28"/>
      <c r="C494" s="28"/>
      <c r="D494" s="31"/>
      <c r="E494" s="10"/>
      <c r="F494" s="28"/>
      <c r="G494" s="11" t="str">
        <f aca="false">IF(OR(A494="",N(D494)=0),"",IFERROR(D494*(1+IFERROR(IF(ISNUMBER(INDEX(Moldes!$K$5:$K$154,MATCH(A494,Moldes!$A$5:$A$154,0))),INDEX(Moldes!$K$5:$K$154,MATCH(A494,Moldes!$A$5:$A$154,0)),Precios!$Q$12),Precios!$Q$12))*(INDEX(Precios!$F$5:$F$124,MATCH(E494,Precios!$A$5:$A$124,0))+IF(F494="Sí",Precios!$Q$10,0)),"falta $ tela"))</f>
        <v/>
      </c>
      <c r="H494" s="32" t="str">
        <f aca="false">IF(A494="","",A494&amp;"|"&amp;COUNTIF($A$5:A494,A494))</f>
        <v/>
      </c>
    </row>
    <row r="495" customFormat="false" ht="15" hidden="false" customHeight="false" outlineLevel="0" collapsed="false">
      <c r="A495" s="28"/>
      <c r="B495" s="28"/>
      <c r="C495" s="28"/>
      <c r="D495" s="31"/>
      <c r="E495" s="10"/>
      <c r="F495" s="28"/>
      <c r="G495" s="11" t="str">
        <f aca="false">IF(OR(A495="",N(D495)=0),"",IFERROR(D495*(1+IFERROR(IF(ISNUMBER(INDEX(Moldes!$K$5:$K$154,MATCH(A495,Moldes!$A$5:$A$154,0))),INDEX(Moldes!$K$5:$K$154,MATCH(A495,Moldes!$A$5:$A$154,0)),Precios!$Q$12),Precios!$Q$12))*(INDEX(Precios!$F$5:$F$124,MATCH(E495,Precios!$A$5:$A$124,0))+IF(F495="Sí",Precios!$Q$10,0)),"falta $ tela"))</f>
        <v/>
      </c>
      <c r="H495" s="32" t="str">
        <f aca="false">IF(A495="","",A495&amp;"|"&amp;COUNTIF($A$5:A495,A495))</f>
        <v/>
      </c>
    </row>
    <row r="496" customFormat="false" ht="15" hidden="false" customHeight="false" outlineLevel="0" collapsed="false">
      <c r="A496" s="28"/>
      <c r="B496" s="28"/>
      <c r="C496" s="28"/>
      <c r="D496" s="31"/>
      <c r="E496" s="10"/>
      <c r="F496" s="28"/>
      <c r="G496" s="11" t="str">
        <f aca="false">IF(OR(A496="",N(D496)=0),"",IFERROR(D496*(1+IFERROR(IF(ISNUMBER(INDEX(Moldes!$K$5:$K$154,MATCH(A496,Moldes!$A$5:$A$154,0))),INDEX(Moldes!$K$5:$K$154,MATCH(A496,Moldes!$A$5:$A$154,0)),Precios!$Q$12),Precios!$Q$12))*(INDEX(Precios!$F$5:$F$124,MATCH(E496,Precios!$A$5:$A$124,0))+IF(F496="Sí",Precios!$Q$10,0)),"falta $ tela"))</f>
        <v/>
      </c>
      <c r="H496" s="32" t="str">
        <f aca="false">IF(A496="","",A496&amp;"|"&amp;COUNTIF($A$5:A496,A496))</f>
        <v/>
      </c>
    </row>
    <row r="497" customFormat="false" ht="15" hidden="false" customHeight="false" outlineLevel="0" collapsed="false">
      <c r="A497" s="28"/>
      <c r="B497" s="28"/>
      <c r="C497" s="28"/>
      <c r="D497" s="31"/>
      <c r="E497" s="10"/>
      <c r="F497" s="28"/>
      <c r="G497" s="11" t="str">
        <f aca="false">IF(OR(A497="",N(D497)=0),"",IFERROR(D497*(1+IFERROR(IF(ISNUMBER(INDEX(Moldes!$K$5:$K$154,MATCH(A497,Moldes!$A$5:$A$154,0))),INDEX(Moldes!$K$5:$K$154,MATCH(A497,Moldes!$A$5:$A$154,0)),Precios!$Q$12),Precios!$Q$12))*(INDEX(Precios!$F$5:$F$124,MATCH(E497,Precios!$A$5:$A$124,0))+IF(F497="Sí",Precios!$Q$10,0)),"falta $ tela"))</f>
        <v/>
      </c>
      <c r="H497" s="32" t="str">
        <f aca="false">IF(A497="","",A497&amp;"|"&amp;COUNTIF($A$5:A497,A497))</f>
        <v/>
      </c>
    </row>
    <row r="498" customFormat="false" ht="15" hidden="false" customHeight="false" outlineLevel="0" collapsed="false">
      <c r="A498" s="28"/>
      <c r="B498" s="28"/>
      <c r="C498" s="28"/>
      <c r="D498" s="31"/>
      <c r="E498" s="10"/>
      <c r="F498" s="28"/>
      <c r="G498" s="11" t="str">
        <f aca="false">IF(OR(A498="",N(D498)=0),"",IFERROR(D498*(1+IFERROR(IF(ISNUMBER(INDEX(Moldes!$K$5:$K$154,MATCH(A498,Moldes!$A$5:$A$154,0))),INDEX(Moldes!$K$5:$K$154,MATCH(A498,Moldes!$A$5:$A$154,0)),Precios!$Q$12),Precios!$Q$12))*(INDEX(Precios!$F$5:$F$124,MATCH(E498,Precios!$A$5:$A$124,0))+IF(F498="Sí",Precios!$Q$10,0)),"falta $ tela"))</f>
        <v/>
      </c>
      <c r="H498" s="32" t="str">
        <f aca="false">IF(A498="","",A498&amp;"|"&amp;COUNTIF($A$5:A498,A498))</f>
        <v/>
      </c>
    </row>
    <row r="499" customFormat="false" ht="15" hidden="false" customHeight="false" outlineLevel="0" collapsed="false">
      <c r="A499" s="28"/>
      <c r="B499" s="28"/>
      <c r="C499" s="28"/>
      <c r="D499" s="31"/>
      <c r="E499" s="10"/>
      <c r="F499" s="28"/>
      <c r="G499" s="11" t="str">
        <f aca="false">IF(OR(A499="",N(D499)=0),"",IFERROR(D499*(1+IFERROR(IF(ISNUMBER(INDEX(Moldes!$K$5:$K$154,MATCH(A499,Moldes!$A$5:$A$154,0))),INDEX(Moldes!$K$5:$K$154,MATCH(A499,Moldes!$A$5:$A$154,0)),Precios!$Q$12),Precios!$Q$12))*(INDEX(Precios!$F$5:$F$124,MATCH(E499,Precios!$A$5:$A$124,0))+IF(F499="Sí",Precios!$Q$10,0)),"falta $ tela"))</f>
        <v/>
      </c>
      <c r="H499" s="32" t="str">
        <f aca="false">IF(A499="","",A499&amp;"|"&amp;COUNTIF($A$5:A499,A499))</f>
        <v/>
      </c>
    </row>
    <row r="500" customFormat="false" ht="15" hidden="false" customHeight="false" outlineLevel="0" collapsed="false">
      <c r="A500" s="28"/>
      <c r="B500" s="28"/>
      <c r="C500" s="28"/>
      <c r="D500" s="31"/>
      <c r="E500" s="10"/>
      <c r="F500" s="28"/>
      <c r="G500" s="11" t="str">
        <f aca="false">IF(OR(A500="",N(D500)=0),"",IFERROR(D500*(1+IFERROR(IF(ISNUMBER(INDEX(Moldes!$K$5:$K$154,MATCH(A500,Moldes!$A$5:$A$154,0))),INDEX(Moldes!$K$5:$K$154,MATCH(A500,Moldes!$A$5:$A$154,0)),Precios!$Q$12),Precios!$Q$12))*(INDEX(Precios!$F$5:$F$124,MATCH(E500,Precios!$A$5:$A$124,0))+IF(F500="Sí",Precios!$Q$10,0)),"falta $ tela"))</f>
        <v/>
      </c>
      <c r="H500" s="32" t="str">
        <f aca="false">IF(A500="","",A500&amp;"|"&amp;COUNTIF($A$5:A500,A500))</f>
        <v/>
      </c>
    </row>
    <row r="501" customFormat="false" ht="15" hidden="false" customHeight="false" outlineLevel="0" collapsed="false">
      <c r="A501" s="28"/>
      <c r="B501" s="28"/>
      <c r="C501" s="28"/>
      <c r="D501" s="31"/>
      <c r="E501" s="10"/>
      <c r="F501" s="28"/>
      <c r="G501" s="11" t="str">
        <f aca="false">IF(OR(A501="",N(D501)=0),"",IFERROR(D501*(1+IFERROR(IF(ISNUMBER(INDEX(Moldes!$K$5:$K$154,MATCH(A501,Moldes!$A$5:$A$154,0))),INDEX(Moldes!$K$5:$K$154,MATCH(A501,Moldes!$A$5:$A$154,0)),Precios!$Q$12),Precios!$Q$12))*(INDEX(Precios!$F$5:$F$124,MATCH(E501,Precios!$A$5:$A$124,0))+IF(F501="Sí",Precios!$Q$10,0)),"falta $ tela"))</f>
        <v/>
      </c>
      <c r="H501" s="32" t="str">
        <f aca="false">IF(A501="","",A501&amp;"|"&amp;COUNTIF($A$5:A501,A501))</f>
        <v/>
      </c>
    </row>
    <row r="502" customFormat="false" ht="15" hidden="false" customHeight="false" outlineLevel="0" collapsed="false">
      <c r="A502" s="28"/>
      <c r="B502" s="28"/>
      <c r="C502" s="28"/>
      <c r="D502" s="31"/>
      <c r="E502" s="10"/>
      <c r="F502" s="28"/>
      <c r="G502" s="11" t="str">
        <f aca="false">IF(OR(A502="",N(D502)=0),"",IFERROR(D502*(1+IFERROR(IF(ISNUMBER(INDEX(Moldes!$K$5:$K$154,MATCH(A502,Moldes!$A$5:$A$154,0))),INDEX(Moldes!$K$5:$K$154,MATCH(A502,Moldes!$A$5:$A$154,0)),Precios!$Q$12),Precios!$Q$12))*(INDEX(Precios!$F$5:$F$124,MATCH(E502,Precios!$A$5:$A$124,0))+IF(F502="Sí",Precios!$Q$10,0)),"falta $ tela"))</f>
        <v/>
      </c>
      <c r="H502" s="32" t="str">
        <f aca="false">IF(A502="","",A502&amp;"|"&amp;COUNTIF($A$5:A502,A502))</f>
        <v/>
      </c>
    </row>
    <row r="503" customFormat="false" ht="15" hidden="false" customHeight="false" outlineLevel="0" collapsed="false">
      <c r="A503" s="28"/>
      <c r="B503" s="28"/>
      <c r="C503" s="28"/>
      <c r="D503" s="31"/>
      <c r="E503" s="10"/>
      <c r="F503" s="28"/>
      <c r="G503" s="11" t="str">
        <f aca="false">IF(OR(A503="",N(D503)=0),"",IFERROR(D503*(1+IFERROR(IF(ISNUMBER(INDEX(Moldes!$K$5:$K$154,MATCH(A503,Moldes!$A$5:$A$154,0))),INDEX(Moldes!$K$5:$K$154,MATCH(A503,Moldes!$A$5:$A$154,0)),Precios!$Q$12),Precios!$Q$12))*(INDEX(Precios!$F$5:$F$124,MATCH(E503,Precios!$A$5:$A$124,0))+IF(F503="Sí",Precios!$Q$10,0)),"falta $ tela"))</f>
        <v/>
      </c>
      <c r="H503" s="32" t="str">
        <f aca="false">IF(A503="","",A503&amp;"|"&amp;COUNTIF($A$5:A503,A503))</f>
        <v/>
      </c>
    </row>
    <row r="504" customFormat="false" ht="15" hidden="false" customHeight="false" outlineLevel="0" collapsed="false">
      <c r="A504" s="28"/>
      <c r="B504" s="28"/>
      <c r="C504" s="28"/>
      <c r="D504" s="31"/>
      <c r="E504" s="10"/>
      <c r="F504" s="28"/>
      <c r="G504" s="11" t="str">
        <f aca="false">IF(OR(A504="",N(D504)=0),"",IFERROR(D504*(1+IFERROR(IF(ISNUMBER(INDEX(Moldes!$K$5:$K$154,MATCH(A504,Moldes!$A$5:$A$154,0))),INDEX(Moldes!$K$5:$K$154,MATCH(A504,Moldes!$A$5:$A$154,0)),Precios!$Q$12),Precios!$Q$12))*(INDEX(Precios!$F$5:$F$124,MATCH(E504,Precios!$A$5:$A$124,0))+IF(F504="Sí",Precios!$Q$10,0)),"falta $ tela"))</f>
        <v/>
      </c>
      <c r="H504" s="32" t="str">
        <f aca="false">IF(A504="","",A504&amp;"|"&amp;COUNTIF($A$5:A504,A504))</f>
        <v/>
      </c>
    </row>
    <row r="505" customFormat="false" ht="15" hidden="false" customHeight="false" outlineLevel="0" collapsed="false">
      <c r="A505" s="28"/>
      <c r="B505" s="28"/>
      <c r="C505" s="28"/>
      <c r="D505" s="31"/>
      <c r="E505" s="10"/>
      <c r="F505" s="28"/>
      <c r="G505" s="11" t="str">
        <f aca="false">IF(OR(A505="",N(D505)=0),"",IFERROR(D505*(1+IFERROR(IF(ISNUMBER(INDEX(Moldes!$K$5:$K$154,MATCH(A505,Moldes!$A$5:$A$154,0))),INDEX(Moldes!$K$5:$K$154,MATCH(A505,Moldes!$A$5:$A$154,0)),Precios!$Q$12),Precios!$Q$12))*(INDEX(Precios!$F$5:$F$124,MATCH(E505,Precios!$A$5:$A$124,0))+IF(F505="Sí",Precios!$Q$10,0)),"falta $ tela"))</f>
        <v/>
      </c>
      <c r="H505" s="32" t="str">
        <f aca="false">IF(A505="","",A505&amp;"|"&amp;COUNTIF($A$5:A505,A505))</f>
        <v/>
      </c>
    </row>
    <row r="506" customFormat="false" ht="15" hidden="false" customHeight="false" outlineLevel="0" collapsed="false">
      <c r="A506" s="28"/>
      <c r="B506" s="28"/>
      <c r="C506" s="28"/>
      <c r="D506" s="31"/>
      <c r="E506" s="10"/>
      <c r="F506" s="28"/>
      <c r="G506" s="11" t="str">
        <f aca="false">IF(OR(A506="",N(D506)=0),"",IFERROR(D506*(1+IFERROR(IF(ISNUMBER(INDEX(Moldes!$K$5:$K$154,MATCH(A506,Moldes!$A$5:$A$154,0))),INDEX(Moldes!$K$5:$K$154,MATCH(A506,Moldes!$A$5:$A$154,0)),Precios!$Q$12),Precios!$Q$12))*(INDEX(Precios!$F$5:$F$124,MATCH(E506,Precios!$A$5:$A$124,0))+IF(F506="Sí",Precios!$Q$10,0)),"falta $ tela"))</f>
        <v/>
      </c>
      <c r="H506" s="32" t="str">
        <f aca="false">IF(A506="","",A506&amp;"|"&amp;COUNTIF($A$5:A506,A506))</f>
        <v/>
      </c>
    </row>
    <row r="507" customFormat="false" ht="15" hidden="false" customHeight="false" outlineLevel="0" collapsed="false">
      <c r="A507" s="28"/>
      <c r="B507" s="28"/>
      <c r="C507" s="28"/>
      <c r="D507" s="31"/>
      <c r="E507" s="10"/>
      <c r="F507" s="28"/>
      <c r="G507" s="11" t="str">
        <f aca="false">IF(OR(A507="",N(D507)=0),"",IFERROR(D507*(1+IFERROR(IF(ISNUMBER(INDEX(Moldes!$K$5:$K$154,MATCH(A507,Moldes!$A$5:$A$154,0))),INDEX(Moldes!$K$5:$K$154,MATCH(A507,Moldes!$A$5:$A$154,0)),Precios!$Q$12),Precios!$Q$12))*(INDEX(Precios!$F$5:$F$124,MATCH(E507,Precios!$A$5:$A$124,0))+IF(F507="Sí",Precios!$Q$10,0)),"falta $ tela"))</f>
        <v/>
      </c>
      <c r="H507" s="32" t="str">
        <f aca="false">IF(A507="","",A507&amp;"|"&amp;COUNTIF($A$5:A507,A507))</f>
        <v/>
      </c>
    </row>
    <row r="508" customFormat="false" ht="15" hidden="false" customHeight="false" outlineLevel="0" collapsed="false">
      <c r="A508" s="28"/>
      <c r="B508" s="28"/>
      <c r="C508" s="28"/>
      <c r="D508" s="31"/>
      <c r="E508" s="10"/>
      <c r="F508" s="28"/>
      <c r="G508" s="11" t="str">
        <f aca="false">IF(OR(A508="",N(D508)=0),"",IFERROR(D508*(1+IFERROR(IF(ISNUMBER(INDEX(Moldes!$K$5:$K$154,MATCH(A508,Moldes!$A$5:$A$154,0))),INDEX(Moldes!$K$5:$K$154,MATCH(A508,Moldes!$A$5:$A$154,0)),Precios!$Q$12),Precios!$Q$12))*(INDEX(Precios!$F$5:$F$124,MATCH(E508,Precios!$A$5:$A$124,0))+IF(F508="Sí",Precios!$Q$10,0)),"falta $ tela"))</f>
        <v/>
      </c>
      <c r="H508" s="32" t="str">
        <f aca="false">IF(A508="","",A508&amp;"|"&amp;COUNTIF($A$5:A508,A508))</f>
        <v/>
      </c>
    </row>
    <row r="509" customFormat="false" ht="15" hidden="false" customHeight="false" outlineLevel="0" collapsed="false">
      <c r="A509" s="28"/>
      <c r="B509" s="28"/>
      <c r="C509" s="28"/>
      <c r="D509" s="31"/>
      <c r="E509" s="10"/>
      <c r="F509" s="28"/>
      <c r="G509" s="11" t="str">
        <f aca="false">IF(OR(A509="",N(D509)=0),"",IFERROR(D509*(1+IFERROR(IF(ISNUMBER(INDEX(Moldes!$K$5:$K$154,MATCH(A509,Moldes!$A$5:$A$154,0))),INDEX(Moldes!$K$5:$K$154,MATCH(A509,Moldes!$A$5:$A$154,0)),Precios!$Q$12),Precios!$Q$12))*(INDEX(Precios!$F$5:$F$124,MATCH(E509,Precios!$A$5:$A$124,0))+IF(F509="Sí",Precios!$Q$10,0)),"falta $ tela"))</f>
        <v/>
      </c>
      <c r="H509" s="32" t="str">
        <f aca="false">IF(A509="","",A509&amp;"|"&amp;COUNTIF($A$5:A509,A509))</f>
        <v/>
      </c>
    </row>
    <row r="510" customFormat="false" ht="15" hidden="false" customHeight="false" outlineLevel="0" collapsed="false">
      <c r="A510" s="28"/>
      <c r="B510" s="28"/>
      <c r="C510" s="28"/>
      <c r="D510" s="31"/>
      <c r="E510" s="10"/>
      <c r="F510" s="28"/>
      <c r="G510" s="11" t="str">
        <f aca="false">IF(OR(A510="",N(D510)=0),"",IFERROR(D510*(1+IFERROR(IF(ISNUMBER(INDEX(Moldes!$K$5:$K$154,MATCH(A510,Moldes!$A$5:$A$154,0))),INDEX(Moldes!$K$5:$K$154,MATCH(A510,Moldes!$A$5:$A$154,0)),Precios!$Q$12),Precios!$Q$12))*(INDEX(Precios!$F$5:$F$124,MATCH(E510,Precios!$A$5:$A$124,0))+IF(F510="Sí",Precios!$Q$10,0)),"falta $ tela"))</f>
        <v/>
      </c>
      <c r="H510" s="32" t="str">
        <f aca="false">IF(A510="","",A510&amp;"|"&amp;COUNTIF($A$5:A510,A510))</f>
        <v/>
      </c>
    </row>
    <row r="511" customFormat="false" ht="15" hidden="false" customHeight="false" outlineLevel="0" collapsed="false">
      <c r="A511" s="28"/>
      <c r="B511" s="28"/>
      <c r="C511" s="28"/>
      <c r="D511" s="31"/>
      <c r="E511" s="10"/>
      <c r="F511" s="28"/>
      <c r="G511" s="11" t="str">
        <f aca="false">IF(OR(A511="",N(D511)=0),"",IFERROR(D511*(1+IFERROR(IF(ISNUMBER(INDEX(Moldes!$K$5:$K$154,MATCH(A511,Moldes!$A$5:$A$154,0))),INDEX(Moldes!$K$5:$K$154,MATCH(A511,Moldes!$A$5:$A$154,0)),Precios!$Q$12),Precios!$Q$12))*(INDEX(Precios!$F$5:$F$124,MATCH(E511,Precios!$A$5:$A$124,0))+IF(F511="Sí",Precios!$Q$10,0)),"falta $ tela"))</f>
        <v/>
      </c>
      <c r="H511" s="32" t="str">
        <f aca="false">IF(A511="","",A511&amp;"|"&amp;COUNTIF($A$5:A511,A511))</f>
        <v/>
      </c>
    </row>
    <row r="512" customFormat="false" ht="15" hidden="false" customHeight="false" outlineLevel="0" collapsed="false">
      <c r="A512" s="28"/>
      <c r="B512" s="28"/>
      <c r="C512" s="28"/>
      <c r="D512" s="31"/>
      <c r="E512" s="10"/>
      <c r="F512" s="28"/>
      <c r="G512" s="11" t="str">
        <f aca="false">IF(OR(A512="",N(D512)=0),"",IFERROR(D512*(1+IFERROR(IF(ISNUMBER(INDEX(Moldes!$K$5:$K$154,MATCH(A512,Moldes!$A$5:$A$154,0))),INDEX(Moldes!$K$5:$K$154,MATCH(A512,Moldes!$A$5:$A$154,0)),Precios!$Q$12),Precios!$Q$12))*(INDEX(Precios!$F$5:$F$124,MATCH(E512,Precios!$A$5:$A$124,0))+IF(F512="Sí",Precios!$Q$10,0)),"falta $ tela"))</f>
        <v/>
      </c>
      <c r="H512" s="32" t="str">
        <f aca="false">IF(A512="","",A512&amp;"|"&amp;COUNTIF($A$5:A512,A512))</f>
        <v/>
      </c>
    </row>
    <row r="513" customFormat="false" ht="15" hidden="false" customHeight="false" outlineLevel="0" collapsed="false">
      <c r="A513" s="28"/>
      <c r="B513" s="28"/>
      <c r="C513" s="28"/>
      <c r="D513" s="31"/>
      <c r="E513" s="10"/>
      <c r="F513" s="28"/>
      <c r="G513" s="11" t="str">
        <f aca="false">IF(OR(A513="",N(D513)=0),"",IFERROR(D513*(1+IFERROR(IF(ISNUMBER(INDEX(Moldes!$K$5:$K$154,MATCH(A513,Moldes!$A$5:$A$154,0))),INDEX(Moldes!$K$5:$K$154,MATCH(A513,Moldes!$A$5:$A$154,0)),Precios!$Q$12),Precios!$Q$12))*(INDEX(Precios!$F$5:$F$124,MATCH(E513,Precios!$A$5:$A$124,0))+IF(F513="Sí",Precios!$Q$10,0)),"falta $ tela"))</f>
        <v/>
      </c>
      <c r="H513" s="32" t="str">
        <f aca="false">IF(A513="","",A513&amp;"|"&amp;COUNTIF($A$5:A513,A513))</f>
        <v/>
      </c>
    </row>
    <row r="514" customFormat="false" ht="15" hidden="false" customHeight="false" outlineLevel="0" collapsed="false">
      <c r="A514" s="28"/>
      <c r="B514" s="28"/>
      <c r="C514" s="28"/>
      <c r="D514" s="31"/>
      <c r="E514" s="10"/>
      <c r="F514" s="28"/>
      <c r="G514" s="11" t="str">
        <f aca="false">IF(OR(A514="",N(D514)=0),"",IFERROR(D514*(1+IFERROR(IF(ISNUMBER(INDEX(Moldes!$K$5:$K$154,MATCH(A514,Moldes!$A$5:$A$154,0))),INDEX(Moldes!$K$5:$K$154,MATCH(A514,Moldes!$A$5:$A$154,0)),Precios!$Q$12),Precios!$Q$12))*(INDEX(Precios!$F$5:$F$124,MATCH(E514,Precios!$A$5:$A$124,0))+IF(F514="Sí",Precios!$Q$10,0)),"falta $ tela"))</f>
        <v/>
      </c>
      <c r="H514" s="32" t="str">
        <f aca="false">IF(A514="","",A514&amp;"|"&amp;COUNTIF($A$5:A514,A514))</f>
        <v/>
      </c>
    </row>
    <row r="515" customFormat="false" ht="15" hidden="false" customHeight="false" outlineLevel="0" collapsed="false">
      <c r="A515" s="28"/>
      <c r="B515" s="28"/>
      <c r="C515" s="28"/>
      <c r="D515" s="31"/>
      <c r="E515" s="10"/>
      <c r="F515" s="28"/>
      <c r="G515" s="11" t="str">
        <f aca="false">IF(OR(A515="",N(D515)=0),"",IFERROR(D515*(1+IFERROR(IF(ISNUMBER(INDEX(Moldes!$K$5:$K$154,MATCH(A515,Moldes!$A$5:$A$154,0))),INDEX(Moldes!$K$5:$K$154,MATCH(A515,Moldes!$A$5:$A$154,0)),Precios!$Q$12),Precios!$Q$12))*(INDEX(Precios!$F$5:$F$124,MATCH(E515,Precios!$A$5:$A$124,0))+IF(F515="Sí",Precios!$Q$10,0)),"falta $ tela"))</f>
        <v/>
      </c>
      <c r="H515" s="32" t="str">
        <f aca="false">IF(A515="","",A515&amp;"|"&amp;COUNTIF($A$5:A515,A515))</f>
        <v/>
      </c>
    </row>
    <row r="516" customFormat="false" ht="15" hidden="false" customHeight="false" outlineLevel="0" collapsed="false">
      <c r="A516" s="28"/>
      <c r="B516" s="28"/>
      <c r="C516" s="28"/>
      <c r="D516" s="31"/>
      <c r="E516" s="10"/>
      <c r="F516" s="28"/>
      <c r="G516" s="11" t="str">
        <f aca="false">IF(OR(A516="",N(D516)=0),"",IFERROR(D516*(1+IFERROR(IF(ISNUMBER(INDEX(Moldes!$K$5:$K$154,MATCH(A516,Moldes!$A$5:$A$154,0))),INDEX(Moldes!$K$5:$K$154,MATCH(A516,Moldes!$A$5:$A$154,0)),Precios!$Q$12),Precios!$Q$12))*(INDEX(Precios!$F$5:$F$124,MATCH(E516,Precios!$A$5:$A$124,0))+IF(F516="Sí",Precios!$Q$10,0)),"falta $ tela"))</f>
        <v/>
      </c>
      <c r="H516" s="32" t="str">
        <f aca="false">IF(A516="","",A516&amp;"|"&amp;COUNTIF($A$5:A516,A516))</f>
        <v/>
      </c>
    </row>
    <row r="517" customFormat="false" ht="15" hidden="false" customHeight="false" outlineLevel="0" collapsed="false">
      <c r="A517" s="28"/>
      <c r="B517" s="28"/>
      <c r="C517" s="28"/>
      <c r="D517" s="31"/>
      <c r="E517" s="10"/>
      <c r="F517" s="28"/>
      <c r="G517" s="11" t="str">
        <f aca="false">IF(OR(A517="",N(D517)=0),"",IFERROR(D517*(1+IFERROR(IF(ISNUMBER(INDEX(Moldes!$K$5:$K$154,MATCH(A517,Moldes!$A$5:$A$154,0))),INDEX(Moldes!$K$5:$K$154,MATCH(A517,Moldes!$A$5:$A$154,0)),Precios!$Q$12),Precios!$Q$12))*(INDEX(Precios!$F$5:$F$124,MATCH(E517,Precios!$A$5:$A$124,0))+IF(F517="Sí",Precios!$Q$10,0)),"falta $ tela"))</f>
        <v/>
      </c>
      <c r="H517" s="32" t="str">
        <f aca="false">IF(A517="","",A517&amp;"|"&amp;COUNTIF($A$5:A517,A517))</f>
        <v/>
      </c>
    </row>
    <row r="518" customFormat="false" ht="15" hidden="false" customHeight="false" outlineLevel="0" collapsed="false">
      <c r="A518" s="28"/>
      <c r="B518" s="28"/>
      <c r="C518" s="28"/>
      <c r="D518" s="31"/>
      <c r="E518" s="10"/>
      <c r="F518" s="28"/>
      <c r="G518" s="11" t="str">
        <f aca="false">IF(OR(A518="",N(D518)=0),"",IFERROR(D518*(1+IFERROR(IF(ISNUMBER(INDEX(Moldes!$K$5:$K$154,MATCH(A518,Moldes!$A$5:$A$154,0))),INDEX(Moldes!$K$5:$K$154,MATCH(A518,Moldes!$A$5:$A$154,0)),Precios!$Q$12),Precios!$Q$12))*(INDEX(Precios!$F$5:$F$124,MATCH(E518,Precios!$A$5:$A$124,0))+IF(F518="Sí",Precios!$Q$10,0)),"falta $ tela"))</f>
        <v/>
      </c>
      <c r="H518" s="32" t="str">
        <f aca="false">IF(A518="","",A518&amp;"|"&amp;COUNTIF($A$5:A518,A518))</f>
        <v/>
      </c>
    </row>
    <row r="519" customFormat="false" ht="15" hidden="false" customHeight="false" outlineLevel="0" collapsed="false">
      <c r="A519" s="28"/>
      <c r="B519" s="28"/>
      <c r="C519" s="28"/>
      <c r="D519" s="31"/>
      <c r="E519" s="10"/>
      <c r="F519" s="28"/>
      <c r="G519" s="11" t="str">
        <f aca="false">IF(OR(A519="",N(D519)=0),"",IFERROR(D519*(1+IFERROR(IF(ISNUMBER(INDEX(Moldes!$K$5:$K$154,MATCH(A519,Moldes!$A$5:$A$154,0))),INDEX(Moldes!$K$5:$K$154,MATCH(A519,Moldes!$A$5:$A$154,0)),Precios!$Q$12),Precios!$Q$12))*(INDEX(Precios!$F$5:$F$124,MATCH(E519,Precios!$A$5:$A$124,0))+IF(F519="Sí",Precios!$Q$10,0)),"falta $ tela"))</f>
        <v/>
      </c>
      <c r="H519" s="32" t="str">
        <f aca="false">IF(A519="","",A519&amp;"|"&amp;COUNTIF($A$5:A519,A519))</f>
        <v/>
      </c>
    </row>
    <row r="520" customFormat="false" ht="15" hidden="false" customHeight="false" outlineLevel="0" collapsed="false">
      <c r="A520" s="28"/>
      <c r="B520" s="28"/>
      <c r="C520" s="28"/>
      <c r="D520" s="31"/>
      <c r="E520" s="10"/>
      <c r="F520" s="28"/>
      <c r="G520" s="11" t="str">
        <f aca="false">IF(OR(A520="",N(D520)=0),"",IFERROR(D520*(1+IFERROR(IF(ISNUMBER(INDEX(Moldes!$K$5:$K$154,MATCH(A520,Moldes!$A$5:$A$154,0))),INDEX(Moldes!$K$5:$K$154,MATCH(A520,Moldes!$A$5:$A$154,0)),Precios!$Q$12),Precios!$Q$12))*(INDEX(Precios!$F$5:$F$124,MATCH(E520,Precios!$A$5:$A$124,0))+IF(F520="Sí",Precios!$Q$10,0)),"falta $ tela"))</f>
        <v/>
      </c>
      <c r="H520" s="32" t="str">
        <f aca="false">IF(A520="","",A520&amp;"|"&amp;COUNTIF($A$5:A520,A520))</f>
        <v/>
      </c>
    </row>
    <row r="521" customFormat="false" ht="15" hidden="false" customHeight="false" outlineLevel="0" collapsed="false">
      <c r="A521" s="28"/>
      <c r="B521" s="28"/>
      <c r="C521" s="28"/>
      <c r="D521" s="31"/>
      <c r="E521" s="10"/>
      <c r="F521" s="28"/>
      <c r="G521" s="11" t="str">
        <f aca="false">IF(OR(A521="",N(D521)=0),"",IFERROR(D521*(1+IFERROR(IF(ISNUMBER(INDEX(Moldes!$K$5:$K$154,MATCH(A521,Moldes!$A$5:$A$154,0))),INDEX(Moldes!$K$5:$K$154,MATCH(A521,Moldes!$A$5:$A$154,0)),Precios!$Q$12),Precios!$Q$12))*(INDEX(Precios!$F$5:$F$124,MATCH(E521,Precios!$A$5:$A$124,0))+IF(F521="Sí",Precios!$Q$10,0)),"falta $ tela"))</f>
        <v/>
      </c>
      <c r="H521" s="32" t="str">
        <f aca="false">IF(A521="","",A521&amp;"|"&amp;COUNTIF($A$5:A521,A521))</f>
        <v/>
      </c>
    </row>
    <row r="522" customFormat="false" ht="15" hidden="false" customHeight="false" outlineLevel="0" collapsed="false">
      <c r="A522" s="28"/>
      <c r="B522" s="28"/>
      <c r="C522" s="28"/>
      <c r="D522" s="31"/>
      <c r="E522" s="10"/>
      <c r="F522" s="28"/>
      <c r="G522" s="11" t="str">
        <f aca="false">IF(OR(A522="",N(D522)=0),"",IFERROR(D522*(1+IFERROR(IF(ISNUMBER(INDEX(Moldes!$K$5:$K$154,MATCH(A522,Moldes!$A$5:$A$154,0))),INDEX(Moldes!$K$5:$K$154,MATCH(A522,Moldes!$A$5:$A$154,0)),Precios!$Q$12),Precios!$Q$12))*(INDEX(Precios!$F$5:$F$124,MATCH(E522,Precios!$A$5:$A$124,0))+IF(F522="Sí",Precios!$Q$10,0)),"falta $ tela"))</f>
        <v/>
      </c>
      <c r="H522" s="32" t="str">
        <f aca="false">IF(A522="","",A522&amp;"|"&amp;COUNTIF($A$5:A522,A522))</f>
        <v/>
      </c>
    </row>
    <row r="523" customFormat="false" ht="15" hidden="false" customHeight="false" outlineLevel="0" collapsed="false">
      <c r="A523" s="28"/>
      <c r="B523" s="28"/>
      <c r="C523" s="28"/>
      <c r="D523" s="31"/>
      <c r="E523" s="10"/>
      <c r="F523" s="28"/>
      <c r="G523" s="11" t="str">
        <f aca="false">IF(OR(A523="",N(D523)=0),"",IFERROR(D523*(1+IFERROR(IF(ISNUMBER(INDEX(Moldes!$K$5:$K$154,MATCH(A523,Moldes!$A$5:$A$154,0))),INDEX(Moldes!$K$5:$K$154,MATCH(A523,Moldes!$A$5:$A$154,0)),Precios!$Q$12),Precios!$Q$12))*(INDEX(Precios!$F$5:$F$124,MATCH(E523,Precios!$A$5:$A$124,0))+IF(F523="Sí",Precios!$Q$10,0)),"falta $ tela"))</f>
        <v/>
      </c>
      <c r="H523" s="32" t="str">
        <f aca="false">IF(A523="","",A523&amp;"|"&amp;COUNTIF($A$5:A523,A523))</f>
        <v/>
      </c>
    </row>
    <row r="524" customFormat="false" ht="15" hidden="false" customHeight="false" outlineLevel="0" collapsed="false">
      <c r="A524" s="28"/>
      <c r="B524" s="28"/>
      <c r="C524" s="28"/>
      <c r="D524" s="31"/>
      <c r="E524" s="10"/>
      <c r="F524" s="28"/>
      <c r="G524" s="11" t="str">
        <f aca="false">IF(OR(A524="",N(D524)=0),"",IFERROR(D524*(1+IFERROR(IF(ISNUMBER(INDEX(Moldes!$K$5:$K$154,MATCH(A524,Moldes!$A$5:$A$154,0))),INDEX(Moldes!$K$5:$K$154,MATCH(A524,Moldes!$A$5:$A$154,0)),Precios!$Q$12),Precios!$Q$12))*(INDEX(Precios!$F$5:$F$124,MATCH(E524,Precios!$A$5:$A$124,0))+IF(F524="Sí",Precios!$Q$10,0)),"falta $ tela"))</f>
        <v/>
      </c>
      <c r="H524" s="32" t="str">
        <f aca="false">IF(A524="","",A524&amp;"|"&amp;COUNTIF($A$5:A524,A524))</f>
        <v/>
      </c>
    </row>
    <row r="525" customFormat="false" ht="15" hidden="false" customHeight="false" outlineLevel="0" collapsed="false">
      <c r="A525" s="28"/>
      <c r="B525" s="28"/>
      <c r="C525" s="28"/>
      <c r="D525" s="31"/>
      <c r="E525" s="10"/>
      <c r="F525" s="28"/>
      <c r="G525" s="11" t="str">
        <f aca="false">IF(OR(A525="",N(D525)=0),"",IFERROR(D525*(1+IFERROR(IF(ISNUMBER(INDEX(Moldes!$K$5:$K$154,MATCH(A525,Moldes!$A$5:$A$154,0))),INDEX(Moldes!$K$5:$K$154,MATCH(A525,Moldes!$A$5:$A$154,0)),Precios!$Q$12),Precios!$Q$12))*(INDEX(Precios!$F$5:$F$124,MATCH(E525,Precios!$A$5:$A$124,0))+IF(F525="Sí",Precios!$Q$10,0)),"falta $ tela"))</f>
        <v/>
      </c>
      <c r="H525" s="32" t="str">
        <f aca="false">IF(A525="","",A525&amp;"|"&amp;COUNTIF($A$5:A525,A525))</f>
        <v/>
      </c>
    </row>
    <row r="526" customFormat="false" ht="15" hidden="false" customHeight="false" outlineLevel="0" collapsed="false">
      <c r="A526" s="28"/>
      <c r="B526" s="28"/>
      <c r="C526" s="28"/>
      <c r="D526" s="31"/>
      <c r="E526" s="10"/>
      <c r="F526" s="28"/>
      <c r="G526" s="11" t="str">
        <f aca="false">IF(OR(A526="",N(D526)=0),"",IFERROR(D526*(1+IFERROR(IF(ISNUMBER(INDEX(Moldes!$K$5:$K$154,MATCH(A526,Moldes!$A$5:$A$154,0))),INDEX(Moldes!$K$5:$K$154,MATCH(A526,Moldes!$A$5:$A$154,0)),Precios!$Q$12),Precios!$Q$12))*(INDEX(Precios!$F$5:$F$124,MATCH(E526,Precios!$A$5:$A$124,0))+IF(F526="Sí",Precios!$Q$10,0)),"falta $ tela"))</f>
        <v/>
      </c>
      <c r="H526" s="32" t="str">
        <f aca="false">IF(A526="","",A526&amp;"|"&amp;COUNTIF($A$5:A526,A526))</f>
        <v/>
      </c>
    </row>
    <row r="527" customFormat="false" ht="15" hidden="false" customHeight="false" outlineLevel="0" collapsed="false">
      <c r="A527" s="28"/>
      <c r="B527" s="28"/>
      <c r="C527" s="28"/>
      <c r="D527" s="31"/>
      <c r="E527" s="10"/>
      <c r="F527" s="28"/>
      <c r="G527" s="11" t="str">
        <f aca="false">IF(OR(A527="",N(D527)=0),"",IFERROR(D527*(1+IFERROR(IF(ISNUMBER(INDEX(Moldes!$K$5:$K$154,MATCH(A527,Moldes!$A$5:$A$154,0))),INDEX(Moldes!$K$5:$K$154,MATCH(A527,Moldes!$A$5:$A$154,0)),Precios!$Q$12),Precios!$Q$12))*(INDEX(Precios!$F$5:$F$124,MATCH(E527,Precios!$A$5:$A$124,0))+IF(F527="Sí",Precios!$Q$10,0)),"falta $ tela"))</f>
        <v/>
      </c>
      <c r="H527" s="32" t="str">
        <f aca="false">IF(A527="","",A527&amp;"|"&amp;COUNTIF($A$5:A527,A527))</f>
        <v/>
      </c>
    </row>
    <row r="528" customFormat="false" ht="15" hidden="false" customHeight="false" outlineLevel="0" collapsed="false">
      <c r="A528" s="28"/>
      <c r="B528" s="28"/>
      <c r="C528" s="28"/>
      <c r="D528" s="31"/>
      <c r="E528" s="10"/>
      <c r="F528" s="28"/>
      <c r="G528" s="11" t="str">
        <f aca="false">IF(OR(A528="",N(D528)=0),"",IFERROR(D528*(1+IFERROR(IF(ISNUMBER(INDEX(Moldes!$K$5:$K$154,MATCH(A528,Moldes!$A$5:$A$154,0))),INDEX(Moldes!$K$5:$K$154,MATCH(A528,Moldes!$A$5:$A$154,0)),Precios!$Q$12),Precios!$Q$12))*(INDEX(Precios!$F$5:$F$124,MATCH(E528,Precios!$A$5:$A$124,0))+IF(F528="Sí",Precios!$Q$10,0)),"falta $ tela"))</f>
        <v/>
      </c>
      <c r="H528" s="32" t="str">
        <f aca="false">IF(A528="","",A528&amp;"|"&amp;COUNTIF($A$5:A528,A528))</f>
        <v/>
      </c>
    </row>
    <row r="529" customFormat="false" ht="15" hidden="false" customHeight="false" outlineLevel="0" collapsed="false">
      <c r="A529" s="28"/>
      <c r="B529" s="28"/>
      <c r="C529" s="28"/>
      <c r="D529" s="31"/>
      <c r="E529" s="10"/>
      <c r="F529" s="28"/>
      <c r="G529" s="11" t="str">
        <f aca="false">IF(OR(A529="",N(D529)=0),"",IFERROR(D529*(1+IFERROR(IF(ISNUMBER(INDEX(Moldes!$K$5:$K$154,MATCH(A529,Moldes!$A$5:$A$154,0))),INDEX(Moldes!$K$5:$K$154,MATCH(A529,Moldes!$A$5:$A$154,0)),Precios!$Q$12),Precios!$Q$12))*(INDEX(Precios!$F$5:$F$124,MATCH(E529,Precios!$A$5:$A$124,0))+IF(F529="Sí",Precios!$Q$10,0)),"falta $ tela"))</f>
        <v/>
      </c>
      <c r="H529" s="32" t="str">
        <f aca="false">IF(A529="","",A529&amp;"|"&amp;COUNTIF($A$5:A529,A529))</f>
        <v/>
      </c>
    </row>
    <row r="530" customFormat="false" ht="15" hidden="false" customHeight="false" outlineLevel="0" collapsed="false">
      <c r="A530" s="28"/>
      <c r="B530" s="28"/>
      <c r="C530" s="28"/>
      <c r="D530" s="31"/>
      <c r="E530" s="10"/>
      <c r="F530" s="28"/>
      <c r="G530" s="11" t="str">
        <f aca="false">IF(OR(A530="",N(D530)=0),"",IFERROR(D530*(1+IFERROR(IF(ISNUMBER(INDEX(Moldes!$K$5:$K$154,MATCH(A530,Moldes!$A$5:$A$154,0))),INDEX(Moldes!$K$5:$K$154,MATCH(A530,Moldes!$A$5:$A$154,0)),Precios!$Q$12),Precios!$Q$12))*(INDEX(Precios!$F$5:$F$124,MATCH(E530,Precios!$A$5:$A$124,0))+IF(F530="Sí",Precios!$Q$10,0)),"falta $ tela"))</f>
        <v/>
      </c>
      <c r="H530" s="32" t="str">
        <f aca="false">IF(A530="","",A530&amp;"|"&amp;COUNTIF($A$5:A530,A530))</f>
        <v/>
      </c>
    </row>
    <row r="531" customFormat="false" ht="15" hidden="false" customHeight="false" outlineLevel="0" collapsed="false">
      <c r="A531" s="28"/>
      <c r="B531" s="28"/>
      <c r="C531" s="28"/>
      <c r="D531" s="31"/>
      <c r="E531" s="10"/>
      <c r="F531" s="28"/>
      <c r="G531" s="11" t="str">
        <f aca="false">IF(OR(A531="",N(D531)=0),"",IFERROR(D531*(1+IFERROR(IF(ISNUMBER(INDEX(Moldes!$K$5:$K$154,MATCH(A531,Moldes!$A$5:$A$154,0))),INDEX(Moldes!$K$5:$K$154,MATCH(A531,Moldes!$A$5:$A$154,0)),Precios!$Q$12),Precios!$Q$12))*(INDEX(Precios!$F$5:$F$124,MATCH(E531,Precios!$A$5:$A$124,0))+IF(F531="Sí",Precios!$Q$10,0)),"falta $ tela"))</f>
        <v/>
      </c>
      <c r="H531" s="32" t="str">
        <f aca="false">IF(A531="","",A531&amp;"|"&amp;COUNTIF($A$5:A531,A531))</f>
        <v/>
      </c>
    </row>
    <row r="532" customFormat="false" ht="15" hidden="false" customHeight="false" outlineLevel="0" collapsed="false">
      <c r="A532" s="28"/>
      <c r="B532" s="28"/>
      <c r="C532" s="28"/>
      <c r="D532" s="31"/>
      <c r="E532" s="10"/>
      <c r="F532" s="28"/>
      <c r="G532" s="11" t="str">
        <f aca="false">IF(OR(A532="",N(D532)=0),"",IFERROR(D532*(1+IFERROR(IF(ISNUMBER(INDEX(Moldes!$K$5:$K$154,MATCH(A532,Moldes!$A$5:$A$154,0))),INDEX(Moldes!$K$5:$K$154,MATCH(A532,Moldes!$A$5:$A$154,0)),Precios!$Q$12),Precios!$Q$12))*(INDEX(Precios!$F$5:$F$124,MATCH(E532,Precios!$A$5:$A$124,0))+IF(F532="Sí",Precios!$Q$10,0)),"falta $ tela"))</f>
        <v/>
      </c>
      <c r="H532" s="32" t="str">
        <f aca="false">IF(A532="","",A532&amp;"|"&amp;COUNTIF($A$5:A532,A532))</f>
        <v/>
      </c>
    </row>
    <row r="533" customFormat="false" ht="15" hidden="false" customHeight="false" outlineLevel="0" collapsed="false">
      <c r="A533" s="28"/>
      <c r="B533" s="28"/>
      <c r="C533" s="28"/>
      <c r="D533" s="31"/>
      <c r="E533" s="10"/>
      <c r="F533" s="28"/>
      <c r="G533" s="11" t="str">
        <f aca="false">IF(OR(A533="",N(D533)=0),"",IFERROR(D533*(1+IFERROR(IF(ISNUMBER(INDEX(Moldes!$K$5:$K$154,MATCH(A533,Moldes!$A$5:$A$154,0))),INDEX(Moldes!$K$5:$K$154,MATCH(A533,Moldes!$A$5:$A$154,0)),Precios!$Q$12),Precios!$Q$12))*(INDEX(Precios!$F$5:$F$124,MATCH(E533,Precios!$A$5:$A$124,0))+IF(F533="Sí",Precios!$Q$10,0)),"falta $ tela"))</f>
        <v/>
      </c>
      <c r="H533" s="32" t="str">
        <f aca="false">IF(A533="","",A533&amp;"|"&amp;COUNTIF($A$5:A533,A533))</f>
        <v/>
      </c>
    </row>
    <row r="534" customFormat="false" ht="15" hidden="false" customHeight="false" outlineLevel="0" collapsed="false">
      <c r="A534" s="28"/>
      <c r="B534" s="28"/>
      <c r="C534" s="28"/>
      <c r="D534" s="31"/>
      <c r="E534" s="10"/>
      <c r="F534" s="28"/>
      <c r="G534" s="11" t="str">
        <f aca="false">IF(OR(A534="",N(D534)=0),"",IFERROR(D534*(1+IFERROR(IF(ISNUMBER(INDEX(Moldes!$K$5:$K$154,MATCH(A534,Moldes!$A$5:$A$154,0))),INDEX(Moldes!$K$5:$K$154,MATCH(A534,Moldes!$A$5:$A$154,0)),Precios!$Q$12),Precios!$Q$12))*(INDEX(Precios!$F$5:$F$124,MATCH(E534,Precios!$A$5:$A$124,0))+IF(F534="Sí",Precios!$Q$10,0)),"falta $ tela"))</f>
        <v/>
      </c>
      <c r="H534" s="32" t="str">
        <f aca="false">IF(A534="","",A534&amp;"|"&amp;COUNTIF($A$5:A534,A534))</f>
        <v/>
      </c>
    </row>
    <row r="535" customFormat="false" ht="15" hidden="false" customHeight="false" outlineLevel="0" collapsed="false">
      <c r="A535" s="28"/>
      <c r="B535" s="28"/>
      <c r="C535" s="28"/>
      <c r="D535" s="31"/>
      <c r="E535" s="10"/>
      <c r="F535" s="28"/>
      <c r="G535" s="11" t="str">
        <f aca="false">IF(OR(A535="",N(D535)=0),"",IFERROR(D535*(1+IFERROR(IF(ISNUMBER(INDEX(Moldes!$K$5:$K$154,MATCH(A535,Moldes!$A$5:$A$154,0))),INDEX(Moldes!$K$5:$K$154,MATCH(A535,Moldes!$A$5:$A$154,0)),Precios!$Q$12),Precios!$Q$12))*(INDEX(Precios!$F$5:$F$124,MATCH(E535,Precios!$A$5:$A$124,0))+IF(F535="Sí",Precios!$Q$10,0)),"falta $ tela"))</f>
        <v/>
      </c>
      <c r="H535" s="32" t="str">
        <f aca="false">IF(A535="","",A535&amp;"|"&amp;COUNTIF($A$5:A535,A535))</f>
        <v/>
      </c>
    </row>
    <row r="536" customFormat="false" ht="15" hidden="false" customHeight="false" outlineLevel="0" collapsed="false">
      <c r="A536" s="28"/>
      <c r="B536" s="28"/>
      <c r="C536" s="28"/>
      <c r="D536" s="31"/>
      <c r="E536" s="10"/>
      <c r="F536" s="28"/>
      <c r="G536" s="11" t="str">
        <f aca="false">IF(OR(A536="",N(D536)=0),"",IFERROR(D536*(1+IFERROR(IF(ISNUMBER(INDEX(Moldes!$K$5:$K$154,MATCH(A536,Moldes!$A$5:$A$154,0))),INDEX(Moldes!$K$5:$K$154,MATCH(A536,Moldes!$A$5:$A$154,0)),Precios!$Q$12),Precios!$Q$12))*(INDEX(Precios!$F$5:$F$124,MATCH(E536,Precios!$A$5:$A$124,0))+IF(F536="Sí",Precios!$Q$10,0)),"falta $ tela"))</f>
        <v/>
      </c>
      <c r="H536" s="32" t="str">
        <f aca="false">IF(A536="","",A536&amp;"|"&amp;COUNTIF($A$5:A536,A536))</f>
        <v/>
      </c>
    </row>
    <row r="537" customFormat="false" ht="15" hidden="false" customHeight="false" outlineLevel="0" collapsed="false">
      <c r="A537" s="28"/>
      <c r="B537" s="28"/>
      <c r="C537" s="28"/>
      <c r="D537" s="31"/>
      <c r="E537" s="10"/>
      <c r="F537" s="28"/>
      <c r="G537" s="11" t="str">
        <f aca="false">IF(OR(A537="",N(D537)=0),"",IFERROR(D537*(1+IFERROR(IF(ISNUMBER(INDEX(Moldes!$K$5:$K$154,MATCH(A537,Moldes!$A$5:$A$154,0))),INDEX(Moldes!$K$5:$K$154,MATCH(A537,Moldes!$A$5:$A$154,0)),Precios!$Q$12),Precios!$Q$12))*(INDEX(Precios!$F$5:$F$124,MATCH(E537,Precios!$A$5:$A$124,0))+IF(F537="Sí",Precios!$Q$10,0)),"falta $ tela"))</f>
        <v/>
      </c>
      <c r="H537" s="32" t="str">
        <f aca="false">IF(A537="","",A537&amp;"|"&amp;COUNTIF($A$5:A537,A537))</f>
        <v/>
      </c>
    </row>
    <row r="538" customFormat="false" ht="15" hidden="false" customHeight="false" outlineLevel="0" collapsed="false">
      <c r="A538" s="28"/>
      <c r="B538" s="28"/>
      <c r="C538" s="28"/>
      <c r="D538" s="31"/>
      <c r="E538" s="10"/>
      <c r="F538" s="28"/>
      <c r="G538" s="11" t="str">
        <f aca="false">IF(OR(A538="",N(D538)=0),"",IFERROR(D538*(1+IFERROR(IF(ISNUMBER(INDEX(Moldes!$K$5:$K$154,MATCH(A538,Moldes!$A$5:$A$154,0))),INDEX(Moldes!$K$5:$K$154,MATCH(A538,Moldes!$A$5:$A$154,0)),Precios!$Q$12),Precios!$Q$12))*(INDEX(Precios!$F$5:$F$124,MATCH(E538,Precios!$A$5:$A$124,0))+IF(F538="Sí",Precios!$Q$10,0)),"falta $ tela"))</f>
        <v/>
      </c>
      <c r="H538" s="32" t="str">
        <f aca="false">IF(A538="","",A538&amp;"|"&amp;COUNTIF($A$5:A538,A538))</f>
        <v/>
      </c>
    </row>
    <row r="539" customFormat="false" ht="15" hidden="false" customHeight="false" outlineLevel="0" collapsed="false">
      <c r="A539" s="28"/>
      <c r="B539" s="28"/>
      <c r="C539" s="28"/>
      <c r="D539" s="31"/>
      <c r="E539" s="10"/>
      <c r="F539" s="28"/>
      <c r="G539" s="11" t="str">
        <f aca="false">IF(OR(A539="",N(D539)=0),"",IFERROR(D539*(1+IFERROR(IF(ISNUMBER(INDEX(Moldes!$K$5:$K$154,MATCH(A539,Moldes!$A$5:$A$154,0))),INDEX(Moldes!$K$5:$K$154,MATCH(A539,Moldes!$A$5:$A$154,0)),Precios!$Q$12),Precios!$Q$12))*(INDEX(Precios!$F$5:$F$124,MATCH(E539,Precios!$A$5:$A$124,0))+IF(F539="Sí",Precios!$Q$10,0)),"falta $ tela"))</f>
        <v/>
      </c>
      <c r="H539" s="32" t="str">
        <f aca="false">IF(A539="","",A539&amp;"|"&amp;COUNTIF($A$5:A539,A539))</f>
        <v/>
      </c>
    </row>
    <row r="540" customFormat="false" ht="15" hidden="false" customHeight="false" outlineLevel="0" collapsed="false">
      <c r="A540" s="28"/>
      <c r="B540" s="28"/>
      <c r="C540" s="28"/>
      <c r="D540" s="31"/>
      <c r="E540" s="10"/>
      <c r="F540" s="28"/>
      <c r="G540" s="11" t="str">
        <f aca="false">IF(OR(A540="",N(D540)=0),"",IFERROR(D540*(1+IFERROR(IF(ISNUMBER(INDEX(Moldes!$K$5:$K$154,MATCH(A540,Moldes!$A$5:$A$154,0))),INDEX(Moldes!$K$5:$K$154,MATCH(A540,Moldes!$A$5:$A$154,0)),Precios!$Q$12),Precios!$Q$12))*(INDEX(Precios!$F$5:$F$124,MATCH(E540,Precios!$A$5:$A$124,0))+IF(F540="Sí",Precios!$Q$10,0)),"falta $ tela"))</f>
        <v/>
      </c>
      <c r="H540" s="32" t="str">
        <f aca="false">IF(A540="","",A540&amp;"|"&amp;COUNTIF($A$5:A540,A540))</f>
        <v/>
      </c>
    </row>
    <row r="541" customFormat="false" ht="15" hidden="false" customHeight="false" outlineLevel="0" collapsed="false">
      <c r="A541" s="28"/>
      <c r="B541" s="28"/>
      <c r="C541" s="28"/>
      <c r="D541" s="31"/>
      <c r="E541" s="10"/>
      <c r="F541" s="28"/>
      <c r="G541" s="11" t="str">
        <f aca="false">IF(OR(A541="",N(D541)=0),"",IFERROR(D541*(1+IFERROR(IF(ISNUMBER(INDEX(Moldes!$K$5:$K$154,MATCH(A541,Moldes!$A$5:$A$154,0))),INDEX(Moldes!$K$5:$K$154,MATCH(A541,Moldes!$A$5:$A$154,0)),Precios!$Q$12),Precios!$Q$12))*(INDEX(Precios!$F$5:$F$124,MATCH(E541,Precios!$A$5:$A$124,0))+IF(F541="Sí",Precios!$Q$10,0)),"falta $ tela"))</f>
        <v/>
      </c>
      <c r="H541" s="32" t="str">
        <f aca="false">IF(A541="","",A541&amp;"|"&amp;COUNTIF($A$5:A541,A541))</f>
        <v/>
      </c>
    </row>
    <row r="542" customFormat="false" ht="15" hidden="false" customHeight="false" outlineLevel="0" collapsed="false">
      <c r="A542" s="28"/>
      <c r="B542" s="28"/>
      <c r="C542" s="28"/>
      <c r="D542" s="31"/>
      <c r="E542" s="10"/>
      <c r="F542" s="28"/>
      <c r="G542" s="11" t="str">
        <f aca="false">IF(OR(A542="",N(D542)=0),"",IFERROR(D542*(1+IFERROR(IF(ISNUMBER(INDEX(Moldes!$K$5:$K$154,MATCH(A542,Moldes!$A$5:$A$154,0))),INDEX(Moldes!$K$5:$K$154,MATCH(A542,Moldes!$A$5:$A$154,0)),Precios!$Q$12),Precios!$Q$12))*(INDEX(Precios!$F$5:$F$124,MATCH(E542,Precios!$A$5:$A$124,0))+IF(F542="Sí",Precios!$Q$10,0)),"falta $ tela"))</f>
        <v/>
      </c>
      <c r="H542" s="32" t="str">
        <f aca="false">IF(A542="","",A542&amp;"|"&amp;COUNTIF($A$5:A542,A542))</f>
        <v/>
      </c>
    </row>
    <row r="543" customFormat="false" ht="15" hidden="false" customHeight="false" outlineLevel="0" collapsed="false">
      <c r="A543" s="28"/>
      <c r="B543" s="28"/>
      <c r="C543" s="28"/>
      <c r="D543" s="31"/>
      <c r="E543" s="10"/>
      <c r="F543" s="28"/>
      <c r="G543" s="11" t="str">
        <f aca="false">IF(OR(A543="",N(D543)=0),"",IFERROR(D543*(1+IFERROR(IF(ISNUMBER(INDEX(Moldes!$K$5:$K$154,MATCH(A543,Moldes!$A$5:$A$154,0))),INDEX(Moldes!$K$5:$K$154,MATCH(A543,Moldes!$A$5:$A$154,0)),Precios!$Q$12),Precios!$Q$12))*(INDEX(Precios!$F$5:$F$124,MATCH(E543,Precios!$A$5:$A$124,0))+IF(F543="Sí",Precios!$Q$10,0)),"falta $ tela"))</f>
        <v/>
      </c>
      <c r="H543" s="32" t="str">
        <f aca="false">IF(A543="","",A543&amp;"|"&amp;COUNTIF($A$5:A543,A543))</f>
        <v/>
      </c>
    </row>
    <row r="544" customFormat="false" ht="15" hidden="false" customHeight="false" outlineLevel="0" collapsed="false">
      <c r="A544" s="28"/>
      <c r="B544" s="28"/>
      <c r="C544" s="28"/>
      <c r="D544" s="31"/>
      <c r="E544" s="10"/>
      <c r="F544" s="28"/>
      <c r="G544" s="11" t="str">
        <f aca="false">IF(OR(A544="",N(D544)=0),"",IFERROR(D544*(1+IFERROR(IF(ISNUMBER(INDEX(Moldes!$K$5:$K$154,MATCH(A544,Moldes!$A$5:$A$154,0))),INDEX(Moldes!$K$5:$K$154,MATCH(A544,Moldes!$A$5:$A$154,0)),Precios!$Q$12),Precios!$Q$12))*(INDEX(Precios!$F$5:$F$124,MATCH(E544,Precios!$A$5:$A$124,0))+IF(F544="Sí",Precios!$Q$10,0)),"falta $ tela"))</f>
        <v/>
      </c>
      <c r="H544" s="32" t="str">
        <f aca="false">IF(A544="","",A544&amp;"|"&amp;COUNTIF($A$5:A544,A544))</f>
        <v/>
      </c>
    </row>
    <row r="545" customFormat="false" ht="15" hidden="false" customHeight="false" outlineLevel="0" collapsed="false">
      <c r="A545" s="28"/>
      <c r="B545" s="28"/>
      <c r="C545" s="28"/>
      <c r="D545" s="31"/>
      <c r="E545" s="10"/>
      <c r="F545" s="28"/>
      <c r="G545" s="11" t="str">
        <f aca="false">IF(OR(A545="",N(D545)=0),"",IFERROR(D545*(1+IFERROR(IF(ISNUMBER(INDEX(Moldes!$K$5:$K$154,MATCH(A545,Moldes!$A$5:$A$154,0))),INDEX(Moldes!$K$5:$K$154,MATCH(A545,Moldes!$A$5:$A$154,0)),Precios!$Q$12),Precios!$Q$12))*(INDEX(Precios!$F$5:$F$124,MATCH(E545,Precios!$A$5:$A$124,0))+IF(F545="Sí",Precios!$Q$10,0)),"falta $ tela"))</f>
        <v/>
      </c>
      <c r="H545" s="32" t="str">
        <f aca="false">IF(A545="","",A545&amp;"|"&amp;COUNTIF($A$5:A545,A545))</f>
        <v/>
      </c>
    </row>
    <row r="546" customFormat="false" ht="15" hidden="false" customHeight="false" outlineLevel="0" collapsed="false">
      <c r="A546" s="28"/>
      <c r="B546" s="28"/>
      <c r="C546" s="28"/>
      <c r="D546" s="31"/>
      <c r="E546" s="10"/>
      <c r="F546" s="28"/>
      <c r="G546" s="11" t="str">
        <f aca="false">IF(OR(A546="",N(D546)=0),"",IFERROR(D546*(1+IFERROR(IF(ISNUMBER(INDEX(Moldes!$K$5:$K$154,MATCH(A546,Moldes!$A$5:$A$154,0))),INDEX(Moldes!$K$5:$K$154,MATCH(A546,Moldes!$A$5:$A$154,0)),Precios!$Q$12),Precios!$Q$12))*(INDEX(Precios!$F$5:$F$124,MATCH(E546,Precios!$A$5:$A$124,0))+IF(F546="Sí",Precios!$Q$10,0)),"falta $ tela"))</f>
        <v/>
      </c>
      <c r="H546" s="32" t="str">
        <f aca="false">IF(A546="","",A546&amp;"|"&amp;COUNTIF($A$5:A546,A546))</f>
        <v/>
      </c>
    </row>
    <row r="547" customFormat="false" ht="15" hidden="false" customHeight="false" outlineLevel="0" collapsed="false">
      <c r="A547" s="28"/>
      <c r="B547" s="28"/>
      <c r="C547" s="28"/>
      <c r="D547" s="31"/>
      <c r="E547" s="10"/>
      <c r="F547" s="28"/>
      <c r="G547" s="11" t="str">
        <f aca="false">IF(OR(A547="",N(D547)=0),"",IFERROR(D547*(1+IFERROR(IF(ISNUMBER(INDEX(Moldes!$K$5:$K$154,MATCH(A547,Moldes!$A$5:$A$154,0))),INDEX(Moldes!$K$5:$K$154,MATCH(A547,Moldes!$A$5:$A$154,0)),Precios!$Q$12),Precios!$Q$12))*(INDEX(Precios!$F$5:$F$124,MATCH(E547,Precios!$A$5:$A$124,0))+IF(F547="Sí",Precios!$Q$10,0)),"falta $ tela"))</f>
        <v/>
      </c>
      <c r="H547" s="32" t="str">
        <f aca="false">IF(A547="","",A547&amp;"|"&amp;COUNTIF($A$5:A547,A547))</f>
        <v/>
      </c>
    </row>
    <row r="548" customFormat="false" ht="15" hidden="false" customHeight="false" outlineLevel="0" collapsed="false">
      <c r="A548" s="28"/>
      <c r="B548" s="28"/>
      <c r="C548" s="28"/>
      <c r="D548" s="31"/>
      <c r="E548" s="10"/>
      <c r="F548" s="28"/>
      <c r="G548" s="11" t="str">
        <f aca="false">IF(OR(A548="",N(D548)=0),"",IFERROR(D548*(1+IFERROR(IF(ISNUMBER(INDEX(Moldes!$K$5:$K$154,MATCH(A548,Moldes!$A$5:$A$154,0))),INDEX(Moldes!$K$5:$K$154,MATCH(A548,Moldes!$A$5:$A$154,0)),Precios!$Q$12),Precios!$Q$12))*(INDEX(Precios!$F$5:$F$124,MATCH(E548,Precios!$A$5:$A$124,0))+IF(F548="Sí",Precios!$Q$10,0)),"falta $ tela"))</f>
        <v/>
      </c>
      <c r="H548" s="32" t="str">
        <f aca="false">IF(A548="","",A548&amp;"|"&amp;COUNTIF($A$5:A548,A548))</f>
        <v/>
      </c>
    </row>
    <row r="549" customFormat="false" ht="15" hidden="false" customHeight="false" outlineLevel="0" collapsed="false">
      <c r="A549" s="28"/>
      <c r="B549" s="28"/>
      <c r="C549" s="28"/>
      <c r="D549" s="31"/>
      <c r="E549" s="10"/>
      <c r="F549" s="28"/>
      <c r="G549" s="11" t="str">
        <f aca="false">IF(OR(A549="",N(D549)=0),"",IFERROR(D549*(1+IFERROR(IF(ISNUMBER(INDEX(Moldes!$K$5:$K$154,MATCH(A549,Moldes!$A$5:$A$154,0))),INDEX(Moldes!$K$5:$K$154,MATCH(A549,Moldes!$A$5:$A$154,0)),Precios!$Q$12),Precios!$Q$12))*(INDEX(Precios!$F$5:$F$124,MATCH(E549,Precios!$A$5:$A$124,0))+IF(F549="Sí",Precios!$Q$10,0)),"falta $ tela"))</f>
        <v/>
      </c>
      <c r="H549" s="32" t="str">
        <f aca="false">IF(A549="","",A549&amp;"|"&amp;COUNTIF($A$5:A549,A549))</f>
        <v/>
      </c>
    </row>
    <row r="550" customFormat="false" ht="15" hidden="false" customHeight="false" outlineLevel="0" collapsed="false">
      <c r="A550" s="28"/>
      <c r="B550" s="28"/>
      <c r="C550" s="28"/>
      <c r="D550" s="31"/>
      <c r="E550" s="10"/>
      <c r="F550" s="28"/>
      <c r="G550" s="11" t="str">
        <f aca="false">IF(OR(A550="",N(D550)=0),"",IFERROR(D550*(1+IFERROR(IF(ISNUMBER(INDEX(Moldes!$K$5:$K$154,MATCH(A550,Moldes!$A$5:$A$154,0))),INDEX(Moldes!$K$5:$K$154,MATCH(A550,Moldes!$A$5:$A$154,0)),Precios!$Q$12),Precios!$Q$12))*(INDEX(Precios!$F$5:$F$124,MATCH(E550,Precios!$A$5:$A$124,0))+IF(F550="Sí",Precios!$Q$10,0)),"falta $ tela"))</f>
        <v/>
      </c>
      <c r="H550" s="32" t="str">
        <f aca="false">IF(A550="","",A550&amp;"|"&amp;COUNTIF($A$5:A550,A550))</f>
        <v/>
      </c>
    </row>
    <row r="551" customFormat="false" ht="15" hidden="false" customHeight="false" outlineLevel="0" collapsed="false">
      <c r="A551" s="28"/>
      <c r="B551" s="28"/>
      <c r="C551" s="28"/>
      <c r="D551" s="31"/>
      <c r="E551" s="10"/>
      <c r="F551" s="28"/>
      <c r="G551" s="11" t="str">
        <f aca="false">IF(OR(A551="",N(D551)=0),"",IFERROR(D551*(1+IFERROR(IF(ISNUMBER(INDEX(Moldes!$K$5:$K$154,MATCH(A551,Moldes!$A$5:$A$154,0))),INDEX(Moldes!$K$5:$K$154,MATCH(A551,Moldes!$A$5:$A$154,0)),Precios!$Q$12),Precios!$Q$12))*(INDEX(Precios!$F$5:$F$124,MATCH(E551,Precios!$A$5:$A$124,0))+IF(F551="Sí",Precios!$Q$10,0)),"falta $ tela"))</f>
        <v/>
      </c>
      <c r="H551" s="32" t="str">
        <f aca="false">IF(A551="","",A551&amp;"|"&amp;COUNTIF($A$5:A551,A551))</f>
        <v/>
      </c>
    </row>
    <row r="552" customFormat="false" ht="15" hidden="false" customHeight="false" outlineLevel="0" collapsed="false">
      <c r="A552" s="28"/>
      <c r="B552" s="28"/>
      <c r="C552" s="28"/>
      <c r="D552" s="31"/>
      <c r="E552" s="10"/>
      <c r="F552" s="28"/>
      <c r="G552" s="11" t="str">
        <f aca="false">IF(OR(A552="",N(D552)=0),"",IFERROR(D552*(1+IFERROR(IF(ISNUMBER(INDEX(Moldes!$K$5:$K$154,MATCH(A552,Moldes!$A$5:$A$154,0))),INDEX(Moldes!$K$5:$K$154,MATCH(A552,Moldes!$A$5:$A$154,0)),Precios!$Q$12),Precios!$Q$12))*(INDEX(Precios!$F$5:$F$124,MATCH(E552,Precios!$A$5:$A$124,0))+IF(F552="Sí",Precios!$Q$10,0)),"falta $ tela"))</f>
        <v/>
      </c>
      <c r="H552" s="32" t="str">
        <f aca="false">IF(A552="","",A552&amp;"|"&amp;COUNTIF($A$5:A552,A552))</f>
        <v/>
      </c>
    </row>
    <row r="553" customFormat="false" ht="15" hidden="false" customHeight="false" outlineLevel="0" collapsed="false">
      <c r="A553" s="28"/>
      <c r="B553" s="28"/>
      <c r="C553" s="28"/>
      <c r="D553" s="31"/>
      <c r="E553" s="10"/>
      <c r="F553" s="28"/>
      <c r="G553" s="11" t="str">
        <f aca="false">IF(OR(A553="",N(D553)=0),"",IFERROR(D553*(1+IFERROR(IF(ISNUMBER(INDEX(Moldes!$K$5:$K$154,MATCH(A553,Moldes!$A$5:$A$154,0))),INDEX(Moldes!$K$5:$K$154,MATCH(A553,Moldes!$A$5:$A$154,0)),Precios!$Q$12),Precios!$Q$12))*(INDEX(Precios!$F$5:$F$124,MATCH(E553,Precios!$A$5:$A$124,0))+IF(F553="Sí",Precios!$Q$10,0)),"falta $ tela"))</f>
        <v/>
      </c>
      <c r="H553" s="32" t="str">
        <f aca="false">IF(A553="","",A553&amp;"|"&amp;COUNTIF($A$5:A553,A553))</f>
        <v/>
      </c>
    </row>
    <row r="554" customFormat="false" ht="15" hidden="false" customHeight="false" outlineLevel="0" collapsed="false">
      <c r="A554" s="28"/>
      <c r="B554" s="28"/>
      <c r="C554" s="28"/>
      <c r="D554" s="31"/>
      <c r="E554" s="10"/>
      <c r="F554" s="28"/>
      <c r="G554" s="11" t="str">
        <f aca="false">IF(OR(A554="",N(D554)=0),"",IFERROR(D554*(1+IFERROR(IF(ISNUMBER(INDEX(Moldes!$K$5:$K$154,MATCH(A554,Moldes!$A$5:$A$154,0))),INDEX(Moldes!$K$5:$K$154,MATCH(A554,Moldes!$A$5:$A$154,0)),Precios!$Q$12),Precios!$Q$12))*(INDEX(Precios!$F$5:$F$124,MATCH(E554,Precios!$A$5:$A$124,0))+IF(F554="Sí",Precios!$Q$10,0)),"falta $ tela"))</f>
        <v/>
      </c>
      <c r="H554" s="32" t="str">
        <f aca="false">IF(A554="","",A554&amp;"|"&amp;COUNTIF($A$5:A554,A554))</f>
        <v/>
      </c>
    </row>
    <row r="555" customFormat="false" ht="15" hidden="false" customHeight="false" outlineLevel="0" collapsed="false">
      <c r="A555" s="28"/>
      <c r="B555" s="28"/>
      <c r="C555" s="28"/>
      <c r="D555" s="31"/>
      <c r="E555" s="10"/>
      <c r="F555" s="28"/>
      <c r="G555" s="11" t="str">
        <f aca="false">IF(OR(A555="",N(D555)=0),"",IFERROR(D555*(1+IFERROR(IF(ISNUMBER(INDEX(Moldes!$K$5:$K$154,MATCH(A555,Moldes!$A$5:$A$154,0))),INDEX(Moldes!$K$5:$K$154,MATCH(A555,Moldes!$A$5:$A$154,0)),Precios!$Q$12),Precios!$Q$12))*(INDEX(Precios!$F$5:$F$124,MATCH(E555,Precios!$A$5:$A$124,0))+IF(F555="Sí",Precios!$Q$10,0)),"falta $ tela"))</f>
        <v/>
      </c>
      <c r="H555" s="32" t="str">
        <f aca="false">IF(A555="","",A555&amp;"|"&amp;COUNTIF($A$5:A555,A555))</f>
        <v/>
      </c>
    </row>
    <row r="556" customFormat="false" ht="15" hidden="false" customHeight="false" outlineLevel="0" collapsed="false">
      <c r="A556" s="28"/>
      <c r="B556" s="28"/>
      <c r="C556" s="28"/>
      <c r="D556" s="31"/>
      <c r="E556" s="10"/>
      <c r="F556" s="28"/>
      <c r="G556" s="11" t="str">
        <f aca="false">IF(OR(A556="",N(D556)=0),"",IFERROR(D556*(1+IFERROR(IF(ISNUMBER(INDEX(Moldes!$K$5:$K$154,MATCH(A556,Moldes!$A$5:$A$154,0))),INDEX(Moldes!$K$5:$K$154,MATCH(A556,Moldes!$A$5:$A$154,0)),Precios!$Q$12),Precios!$Q$12))*(INDEX(Precios!$F$5:$F$124,MATCH(E556,Precios!$A$5:$A$124,0))+IF(F556="Sí",Precios!$Q$10,0)),"falta $ tela"))</f>
        <v/>
      </c>
      <c r="H556" s="32" t="str">
        <f aca="false">IF(A556="","",A556&amp;"|"&amp;COUNTIF($A$5:A556,A556))</f>
        <v/>
      </c>
    </row>
    <row r="557" customFormat="false" ht="15" hidden="false" customHeight="false" outlineLevel="0" collapsed="false">
      <c r="A557" s="28"/>
      <c r="B557" s="28"/>
      <c r="C557" s="28"/>
      <c r="D557" s="31"/>
      <c r="E557" s="10"/>
      <c r="F557" s="28"/>
      <c r="G557" s="11" t="str">
        <f aca="false">IF(OR(A557="",N(D557)=0),"",IFERROR(D557*(1+IFERROR(IF(ISNUMBER(INDEX(Moldes!$K$5:$K$154,MATCH(A557,Moldes!$A$5:$A$154,0))),INDEX(Moldes!$K$5:$K$154,MATCH(A557,Moldes!$A$5:$A$154,0)),Precios!$Q$12),Precios!$Q$12))*(INDEX(Precios!$F$5:$F$124,MATCH(E557,Precios!$A$5:$A$124,0))+IF(F557="Sí",Precios!$Q$10,0)),"falta $ tela"))</f>
        <v/>
      </c>
      <c r="H557" s="32" t="str">
        <f aca="false">IF(A557="","",A557&amp;"|"&amp;COUNTIF($A$5:A557,A557))</f>
        <v/>
      </c>
    </row>
    <row r="558" customFormat="false" ht="15" hidden="false" customHeight="false" outlineLevel="0" collapsed="false">
      <c r="A558" s="28"/>
      <c r="B558" s="28"/>
      <c r="C558" s="28"/>
      <c r="D558" s="31"/>
      <c r="E558" s="10"/>
      <c r="F558" s="28"/>
      <c r="G558" s="11" t="str">
        <f aca="false">IF(OR(A558="",N(D558)=0),"",IFERROR(D558*(1+IFERROR(IF(ISNUMBER(INDEX(Moldes!$K$5:$K$154,MATCH(A558,Moldes!$A$5:$A$154,0))),INDEX(Moldes!$K$5:$K$154,MATCH(A558,Moldes!$A$5:$A$154,0)),Precios!$Q$12),Precios!$Q$12))*(INDEX(Precios!$F$5:$F$124,MATCH(E558,Precios!$A$5:$A$124,0))+IF(F558="Sí",Precios!$Q$10,0)),"falta $ tela"))</f>
        <v/>
      </c>
      <c r="H558" s="32" t="str">
        <f aca="false">IF(A558="","",A558&amp;"|"&amp;COUNTIF($A$5:A558,A558))</f>
        <v/>
      </c>
    </row>
    <row r="559" customFormat="false" ht="15" hidden="false" customHeight="false" outlineLevel="0" collapsed="false">
      <c r="A559" s="28"/>
      <c r="B559" s="28"/>
      <c r="C559" s="28"/>
      <c r="D559" s="31"/>
      <c r="E559" s="10"/>
      <c r="F559" s="28"/>
      <c r="G559" s="11" t="str">
        <f aca="false">IF(OR(A559="",N(D559)=0),"",IFERROR(D559*(1+IFERROR(IF(ISNUMBER(INDEX(Moldes!$K$5:$K$154,MATCH(A559,Moldes!$A$5:$A$154,0))),INDEX(Moldes!$K$5:$K$154,MATCH(A559,Moldes!$A$5:$A$154,0)),Precios!$Q$12),Precios!$Q$12))*(INDEX(Precios!$F$5:$F$124,MATCH(E559,Precios!$A$5:$A$124,0))+IF(F559="Sí",Precios!$Q$10,0)),"falta $ tela"))</f>
        <v/>
      </c>
      <c r="H559" s="32" t="str">
        <f aca="false">IF(A559="","",A559&amp;"|"&amp;COUNTIF($A$5:A559,A559))</f>
        <v/>
      </c>
    </row>
    <row r="560" customFormat="false" ht="15" hidden="false" customHeight="false" outlineLevel="0" collapsed="false">
      <c r="A560" s="28"/>
      <c r="B560" s="28"/>
      <c r="C560" s="28"/>
      <c r="D560" s="31"/>
      <c r="E560" s="10"/>
      <c r="F560" s="28"/>
      <c r="G560" s="11" t="str">
        <f aca="false">IF(OR(A560="",N(D560)=0),"",IFERROR(D560*(1+IFERROR(IF(ISNUMBER(INDEX(Moldes!$K$5:$K$154,MATCH(A560,Moldes!$A$5:$A$154,0))),INDEX(Moldes!$K$5:$K$154,MATCH(A560,Moldes!$A$5:$A$154,0)),Precios!$Q$12),Precios!$Q$12))*(INDEX(Precios!$F$5:$F$124,MATCH(E560,Precios!$A$5:$A$124,0))+IF(F560="Sí",Precios!$Q$10,0)),"falta $ tela"))</f>
        <v/>
      </c>
      <c r="H560" s="32" t="str">
        <f aca="false">IF(A560="","",A560&amp;"|"&amp;COUNTIF($A$5:A560,A560))</f>
        <v/>
      </c>
    </row>
    <row r="561" customFormat="false" ht="15" hidden="false" customHeight="false" outlineLevel="0" collapsed="false">
      <c r="A561" s="28"/>
      <c r="B561" s="28"/>
      <c r="C561" s="28"/>
      <c r="D561" s="31"/>
      <c r="E561" s="10"/>
      <c r="F561" s="28"/>
      <c r="G561" s="11" t="str">
        <f aca="false">IF(OR(A561="",N(D561)=0),"",IFERROR(D561*(1+IFERROR(IF(ISNUMBER(INDEX(Moldes!$K$5:$K$154,MATCH(A561,Moldes!$A$5:$A$154,0))),INDEX(Moldes!$K$5:$K$154,MATCH(A561,Moldes!$A$5:$A$154,0)),Precios!$Q$12),Precios!$Q$12))*(INDEX(Precios!$F$5:$F$124,MATCH(E561,Precios!$A$5:$A$124,0))+IF(F561="Sí",Precios!$Q$10,0)),"falta $ tela"))</f>
        <v/>
      </c>
      <c r="H561" s="32" t="str">
        <f aca="false">IF(A561="","",A561&amp;"|"&amp;COUNTIF($A$5:A561,A561))</f>
        <v/>
      </c>
    </row>
    <row r="562" customFormat="false" ht="15" hidden="false" customHeight="false" outlineLevel="0" collapsed="false">
      <c r="A562" s="28"/>
      <c r="B562" s="28"/>
      <c r="C562" s="28"/>
      <c r="D562" s="31"/>
      <c r="E562" s="10"/>
      <c r="F562" s="28"/>
      <c r="G562" s="11" t="str">
        <f aca="false">IF(OR(A562="",N(D562)=0),"",IFERROR(D562*(1+IFERROR(IF(ISNUMBER(INDEX(Moldes!$K$5:$K$154,MATCH(A562,Moldes!$A$5:$A$154,0))),INDEX(Moldes!$K$5:$K$154,MATCH(A562,Moldes!$A$5:$A$154,0)),Precios!$Q$12),Precios!$Q$12))*(INDEX(Precios!$F$5:$F$124,MATCH(E562,Precios!$A$5:$A$124,0))+IF(F562="Sí",Precios!$Q$10,0)),"falta $ tela"))</f>
        <v/>
      </c>
      <c r="H562" s="32" t="str">
        <f aca="false">IF(A562="","",A562&amp;"|"&amp;COUNTIF($A$5:A562,A562))</f>
        <v/>
      </c>
    </row>
    <row r="563" customFormat="false" ht="15" hidden="false" customHeight="false" outlineLevel="0" collapsed="false">
      <c r="A563" s="28"/>
      <c r="B563" s="28"/>
      <c r="C563" s="28"/>
      <c r="D563" s="31"/>
      <c r="E563" s="10"/>
      <c r="F563" s="28"/>
      <c r="G563" s="11" t="str">
        <f aca="false">IF(OR(A563="",N(D563)=0),"",IFERROR(D563*(1+IFERROR(IF(ISNUMBER(INDEX(Moldes!$K$5:$K$154,MATCH(A563,Moldes!$A$5:$A$154,0))),INDEX(Moldes!$K$5:$K$154,MATCH(A563,Moldes!$A$5:$A$154,0)),Precios!$Q$12),Precios!$Q$12))*(INDEX(Precios!$F$5:$F$124,MATCH(E563,Precios!$A$5:$A$124,0))+IF(F563="Sí",Precios!$Q$10,0)),"falta $ tela"))</f>
        <v/>
      </c>
      <c r="H563" s="32" t="str">
        <f aca="false">IF(A563="","",A563&amp;"|"&amp;COUNTIF($A$5:A563,A563))</f>
        <v/>
      </c>
    </row>
    <row r="564" customFormat="false" ht="15" hidden="false" customHeight="false" outlineLevel="0" collapsed="false">
      <c r="A564" s="28"/>
      <c r="B564" s="28"/>
      <c r="C564" s="28"/>
      <c r="D564" s="31"/>
      <c r="E564" s="10"/>
      <c r="F564" s="28"/>
      <c r="G564" s="11" t="str">
        <f aca="false">IF(OR(A564="",N(D564)=0),"",IFERROR(D564*(1+IFERROR(IF(ISNUMBER(INDEX(Moldes!$K$5:$K$154,MATCH(A564,Moldes!$A$5:$A$154,0))),INDEX(Moldes!$K$5:$K$154,MATCH(A564,Moldes!$A$5:$A$154,0)),Precios!$Q$12),Precios!$Q$12))*(INDEX(Precios!$F$5:$F$124,MATCH(E564,Precios!$A$5:$A$124,0))+IF(F564="Sí",Precios!$Q$10,0)),"falta $ tela"))</f>
        <v/>
      </c>
      <c r="H564" s="32" t="str">
        <f aca="false">IF(A564="","",A564&amp;"|"&amp;COUNTIF($A$5:A564,A564))</f>
        <v/>
      </c>
    </row>
    <row r="565" customFormat="false" ht="15" hidden="false" customHeight="false" outlineLevel="0" collapsed="false">
      <c r="A565" s="28"/>
      <c r="B565" s="28"/>
      <c r="C565" s="28"/>
      <c r="D565" s="31"/>
      <c r="E565" s="10"/>
      <c r="F565" s="28"/>
      <c r="G565" s="11" t="str">
        <f aca="false">IF(OR(A565="",N(D565)=0),"",IFERROR(D565*(1+IFERROR(IF(ISNUMBER(INDEX(Moldes!$K$5:$K$154,MATCH(A565,Moldes!$A$5:$A$154,0))),INDEX(Moldes!$K$5:$K$154,MATCH(A565,Moldes!$A$5:$A$154,0)),Precios!$Q$12),Precios!$Q$12))*(INDEX(Precios!$F$5:$F$124,MATCH(E565,Precios!$A$5:$A$124,0))+IF(F565="Sí",Precios!$Q$10,0)),"falta $ tela"))</f>
        <v/>
      </c>
      <c r="H565" s="32" t="str">
        <f aca="false">IF(A565="","",A565&amp;"|"&amp;COUNTIF($A$5:A565,A565))</f>
        <v/>
      </c>
    </row>
    <row r="566" customFormat="false" ht="15" hidden="false" customHeight="false" outlineLevel="0" collapsed="false">
      <c r="A566" s="28"/>
      <c r="B566" s="28"/>
      <c r="C566" s="28"/>
      <c r="D566" s="31"/>
      <c r="E566" s="10"/>
      <c r="F566" s="28"/>
      <c r="G566" s="11" t="str">
        <f aca="false">IF(OR(A566="",N(D566)=0),"",IFERROR(D566*(1+IFERROR(IF(ISNUMBER(INDEX(Moldes!$K$5:$K$154,MATCH(A566,Moldes!$A$5:$A$154,0))),INDEX(Moldes!$K$5:$K$154,MATCH(A566,Moldes!$A$5:$A$154,0)),Precios!$Q$12),Precios!$Q$12))*(INDEX(Precios!$F$5:$F$124,MATCH(E566,Precios!$A$5:$A$124,0))+IF(F566="Sí",Precios!$Q$10,0)),"falta $ tela"))</f>
        <v/>
      </c>
      <c r="H566" s="32" t="str">
        <f aca="false">IF(A566="","",A566&amp;"|"&amp;COUNTIF($A$5:A566,A566))</f>
        <v/>
      </c>
    </row>
    <row r="567" customFormat="false" ht="15" hidden="false" customHeight="false" outlineLevel="0" collapsed="false">
      <c r="A567" s="28"/>
      <c r="B567" s="28"/>
      <c r="C567" s="28"/>
      <c r="D567" s="31"/>
      <c r="E567" s="10"/>
      <c r="F567" s="28"/>
      <c r="G567" s="11" t="str">
        <f aca="false">IF(OR(A567="",N(D567)=0),"",IFERROR(D567*(1+IFERROR(IF(ISNUMBER(INDEX(Moldes!$K$5:$K$154,MATCH(A567,Moldes!$A$5:$A$154,0))),INDEX(Moldes!$K$5:$K$154,MATCH(A567,Moldes!$A$5:$A$154,0)),Precios!$Q$12),Precios!$Q$12))*(INDEX(Precios!$F$5:$F$124,MATCH(E567,Precios!$A$5:$A$124,0))+IF(F567="Sí",Precios!$Q$10,0)),"falta $ tela"))</f>
        <v/>
      </c>
      <c r="H567" s="32" t="str">
        <f aca="false">IF(A567="","",A567&amp;"|"&amp;COUNTIF($A$5:A567,A567))</f>
        <v/>
      </c>
    </row>
    <row r="568" customFormat="false" ht="15" hidden="false" customHeight="false" outlineLevel="0" collapsed="false">
      <c r="A568" s="28"/>
      <c r="B568" s="28"/>
      <c r="C568" s="28"/>
      <c r="D568" s="31"/>
      <c r="E568" s="10"/>
      <c r="F568" s="28"/>
      <c r="G568" s="11" t="str">
        <f aca="false">IF(OR(A568="",N(D568)=0),"",IFERROR(D568*(1+IFERROR(IF(ISNUMBER(INDEX(Moldes!$K$5:$K$154,MATCH(A568,Moldes!$A$5:$A$154,0))),INDEX(Moldes!$K$5:$K$154,MATCH(A568,Moldes!$A$5:$A$154,0)),Precios!$Q$12),Precios!$Q$12))*(INDEX(Precios!$F$5:$F$124,MATCH(E568,Precios!$A$5:$A$124,0))+IF(F568="Sí",Precios!$Q$10,0)),"falta $ tela"))</f>
        <v/>
      </c>
      <c r="H568" s="32" t="str">
        <f aca="false">IF(A568="","",A568&amp;"|"&amp;COUNTIF($A$5:A568,A568))</f>
        <v/>
      </c>
    </row>
    <row r="569" customFormat="false" ht="15" hidden="false" customHeight="false" outlineLevel="0" collapsed="false">
      <c r="A569" s="28"/>
      <c r="B569" s="28"/>
      <c r="C569" s="28"/>
      <c r="D569" s="31"/>
      <c r="E569" s="10"/>
      <c r="F569" s="28"/>
      <c r="G569" s="11" t="str">
        <f aca="false">IF(OR(A569="",N(D569)=0),"",IFERROR(D569*(1+IFERROR(IF(ISNUMBER(INDEX(Moldes!$K$5:$K$154,MATCH(A569,Moldes!$A$5:$A$154,0))),INDEX(Moldes!$K$5:$K$154,MATCH(A569,Moldes!$A$5:$A$154,0)),Precios!$Q$12),Precios!$Q$12))*(INDEX(Precios!$F$5:$F$124,MATCH(E569,Precios!$A$5:$A$124,0))+IF(F569="Sí",Precios!$Q$10,0)),"falta $ tela"))</f>
        <v/>
      </c>
      <c r="H569" s="32" t="str">
        <f aca="false">IF(A569="","",A569&amp;"|"&amp;COUNTIF($A$5:A569,A569))</f>
        <v/>
      </c>
    </row>
    <row r="570" customFormat="false" ht="15" hidden="false" customHeight="false" outlineLevel="0" collapsed="false">
      <c r="A570" s="28"/>
      <c r="B570" s="28"/>
      <c r="C570" s="28"/>
      <c r="D570" s="31"/>
      <c r="E570" s="10"/>
      <c r="F570" s="28"/>
      <c r="G570" s="11" t="str">
        <f aca="false">IF(OR(A570="",N(D570)=0),"",IFERROR(D570*(1+IFERROR(IF(ISNUMBER(INDEX(Moldes!$K$5:$K$154,MATCH(A570,Moldes!$A$5:$A$154,0))),INDEX(Moldes!$K$5:$K$154,MATCH(A570,Moldes!$A$5:$A$154,0)),Precios!$Q$12),Precios!$Q$12))*(INDEX(Precios!$F$5:$F$124,MATCH(E570,Precios!$A$5:$A$124,0))+IF(F570="Sí",Precios!$Q$10,0)),"falta $ tela"))</f>
        <v/>
      </c>
      <c r="H570" s="32" t="str">
        <f aca="false">IF(A570="","",A570&amp;"|"&amp;COUNTIF($A$5:A570,A570))</f>
        <v/>
      </c>
    </row>
    <row r="571" customFormat="false" ht="15" hidden="false" customHeight="false" outlineLevel="0" collapsed="false">
      <c r="A571" s="28"/>
      <c r="B571" s="28"/>
      <c r="C571" s="28"/>
      <c r="D571" s="31"/>
      <c r="E571" s="10"/>
      <c r="F571" s="28"/>
      <c r="G571" s="11" t="str">
        <f aca="false">IF(OR(A571="",N(D571)=0),"",IFERROR(D571*(1+IFERROR(IF(ISNUMBER(INDEX(Moldes!$K$5:$K$154,MATCH(A571,Moldes!$A$5:$A$154,0))),INDEX(Moldes!$K$5:$K$154,MATCH(A571,Moldes!$A$5:$A$154,0)),Precios!$Q$12),Precios!$Q$12))*(INDEX(Precios!$F$5:$F$124,MATCH(E571,Precios!$A$5:$A$124,0))+IF(F571="Sí",Precios!$Q$10,0)),"falta $ tela"))</f>
        <v/>
      </c>
      <c r="H571" s="32" t="str">
        <f aca="false">IF(A571="","",A571&amp;"|"&amp;COUNTIF($A$5:A571,A571))</f>
        <v/>
      </c>
    </row>
    <row r="572" customFormat="false" ht="15" hidden="false" customHeight="false" outlineLevel="0" collapsed="false">
      <c r="A572" s="28"/>
      <c r="B572" s="28"/>
      <c r="C572" s="28"/>
      <c r="D572" s="31"/>
      <c r="E572" s="10"/>
      <c r="F572" s="28"/>
      <c r="G572" s="11" t="str">
        <f aca="false">IF(OR(A572="",N(D572)=0),"",IFERROR(D572*(1+IFERROR(IF(ISNUMBER(INDEX(Moldes!$K$5:$K$154,MATCH(A572,Moldes!$A$5:$A$154,0))),INDEX(Moldes!$K$5:$K$154,MATCH(A572,Moldes!$A$5:$A$154,0)),Precios!$Q$12),Precios!$Q$12))*(INDEX(Precios!$F$5:$F$124,MATCH(E572,Precios!$A$5:$A$124,0))+IF(F572="Sí",Precios!$Q$10,0)),"falta $ tela"))</f>
        <v/>
      </c>
      <c r="H572" s="32" t="str">
        <f aca="false">IF(A572="","",A572&amp;"|"&amp;COUNTIF($A$5:A572,A572))</f>
        <v/>
      </c>
    </row>
    <row r="573" customFormat="false" ht="15" hidden="false" customHeight="false" outlineLevel="0" collapsed="false">
      <c r="A573" s="28"/>
      <c r="B573" s="28"/>
      <c r="C573" s="28"/>
      <c r="D573" s="31"/>
      <c r="E573" s="10"/>
      <c r="F573" s="28"/>
      <c r="G573" s="11" t="str">
        <f aca="false">IF(OR(A573="",N(D573)=0),"",IFERROR(D573*(1+IFERROR(IF(ISNUMBER(INDEX(Moldes!$K$5:$K$154,MATCH(A573,Moldes!$A$5:$A$154,0))),INDEX(Moldes!$K$5:$K$154,MATCH(A573,Moldes!$A$5:$A$154,0)),Precios!$Q$12),Precios!$Q$12))*(INDEX(Precios!$F$5:$F$124,MATCH(E573,Precios!$A$5:$A$124,0))+IF(F573="Sí",Precios!$Q$10,0)),"falta $ tela"))</f>
        <v/>
      </c>
      <c r="H573" s="32" t="str">
        <f aca="false">IF(A573="","",A573&amp;"|"&amp;COUNTIF($A$5:A573,A573))</f>
        <v/>
      </c>
    </row>
    <row r="574" customFormat="false" ht="15" hidden="false" customHeight="false" outlineLevel="0" collapsed="false">
      <c r="A574" s="28"/>
      <c r="B574" s="28"/>
      <c r="C574" s="28"/>
      <c r="D574" s="31"/>
      <c r="E574" s="10"/>
      <c r="F574" s="28"/>
      <c r="G574" s="11" t="str">
        <f aca="false">IF(OR(A574="",N(D574)=0),"",IFERROR(D574*(1+IFERROR(IF(ISNUMBER(INDEX(Moldes!$K$5:$K$154,MATCH(A574,Moldes!$A$5:$A$154,0))),INDEX(Moldes!$K$5:$K$154,MATCH(A574,Moldes!$A$5:$A$154,0)),Precios!$Q$12),Precios!$Q$12))*(INDEX(Precios!$F$5:$F$124,MATCH(E574,Precios!$A$5:$A$124,0))+IF(F574="Sí",Precios!$Q$10,0)),"falta $ tela"))</f>
        <v/>
      </c>
      <c r="H574" s="32" t="str">
        <f aca="false">IF(A574="","",A574&amp;"|"&amp;COUNTIF($A$5:A574,A574))</f>
        <v/>
      </c>
    </row>
    <row r="575" customFormat="false" ht="15" hidden="false" customHeight="false" outlineLevel="0" collapsed="false">
      <c r="A575" s="28"/>
      <c r="B575" s="28"/>
      <c r="C575" s="28"/>
      <c r="D575" s="31"/>
      <c r="E575" s="10"/>
      <c r="F575" s="28"/>
      <c r="G575" s="11" t="str">
        <f aca="false">IF(OR(A575="",N(D575)=0),"",IFERROR(D575*(1+IFERROR(IF(ISNUMBER(INDEX(Moldes!$K$5:$K$154,MATCH(A575,Moldes!$A$5:$A$154,0))),INDEX(Moldes!$K$5:$K$154,MATCH(A575,Moldes!$A$5:$A$154,0)),Precios!$Q$12),Precios!$Q$12))*(INDEX(Precios!$F$5:$F$124,MATCH(E575,Precios!$A$5:$A$124,0))+IF(F575="Sí",Precios!$Q$10,0)),"falta $ tela"))</f>
        <v/>
      </c>
      <c r="H575" s="32" t="str">
        <f aca="false">IF(A575="","",A575&amp;"|"&amp;COUNTIF($A$5:A575,A575))</f>
        <v/>
      </c>
    </row>
    <row r="576" customFormat="false" ht="15" hidden="false" customHeight="false" outlineLevel="0" collapsed="false">
      <c r="A576" s="28"/>
      <c r="B576" s="28"/>
      <c r="C576" s="28"/>
      <c r="D576" s="31"/>
      <c r="E576" s="10"/>
      <c r="F576" s="28"/>
      <c r="G576" s="11" t="str">
        <f aca="false">IF(OR(A576="",N(D576)=0),"",IFERROR(D576*(1+IFERROR(IF(ISNUMBER(INDEX(Moldes!$K$5:$K$154,MATCH(A576,Moldes!$A$5:$A$154,0))),INDEX(Moldes!$K$5:$K$154,MATCH(A576,Moldes!$A$5:$A$154,0)),Precios!$Q$12),Precios!$Q$12))*(INDEX(Precios!$F$5:$F$124,MATCH(E576,Precios!$A$5:$A$124,0))+IF(F576="Sí",Precios!$Q$10,0)),"falta $ tela"))</f>
        <v/>
      </c>
      <c r="H576" s="32" t="str">
        <f aca="false">IF(A576="","",A576&amp;"|"&amp;COUNTIF($A$5:A576,A576))</f>
        <v/>
      </c>
    </row>
    <row r="577" customFormat="false" ht="15" hidden="false" customHeight="false" outlineLevel="0" collapsed="false">
      <c r="A577" s="28"/>
      <c r="B577" s="28"/>
      <c r="C577" s="28"/>
      <c r="D577" s="31"/>
      <c r="E577" s="10"/>
      <c r="F577" s="28"/>
      <c r="G577" s="11" t="str">
        <f aca="false">IF(OR(A577="",N(D577)=0),"",IFERROR(D577*(1+IFERROR(IF(ISNUMBER(INDEX(Moldes!$K$5:$K$154,MATCH(A577,Moldes!$A$5:$A$154,0))),INDEX(Moldes!$K$5:$K$154,MATCH(A577,Moldes!$A$5:$A$154,0)),Precios!$Q$12),Precios!$Q$12))*(INDEX(Precios!$F$5:$F$124,MATCH(E577,Precios!$A$5:$A$124,0))+IF(F577="Sí",Precios!$Q$10,0)),"falta $ tela"))</f>
        <v/>
      </c>
      <c r="H577" s="32" t="str">
        <f aca="false">IF(A577="","",A577&amp;"|"&amp;COUNTIF($A$5:A577,A577))</f>
        <v/>
      </c>
    </row>
    <row r="578" customFormat="false" ht="15" hidden="false" customHeight="false" outlineLevel="0" collapsed="false">
      <c r="A578" s="28"/>
      <c r="B578" s="28"/>
      <c r="C578" s="28"/>
      <c r="D578" s="31"/>
      <c r="E578" s="10"/>
      <c r="F578" s="28"/>
      <c r="G578" s="11" t="str">
        <f aca="false">IF(OR(A578="",N(D578)=0),"",IFERROR(D578*(1+IFERROR(IF(ISNUMBER(INDEX(Moldes!$K$5:$K$154,MATCH(A578,Moldes!$A$5:$A$154,0))),INDEX(Moldes!$K$5:$K$154,MATCH(A578,Moldes!$A$5:$A$154,0)),Precios!$Q$12),Precios!$Q$12))*(INDEX(Precios!$F$5:$F$124,MATCH(E578,Precios!$A$5:$A$124,0))+IF(F578="Sí",Precios!$Q$10,0)),"falta $ tela"))</f>
        <v/>
      </c>
      <c r="H578" s="32" t="str">
        <f aca="false">IF(A578="","",A578&amp;"|"&amp;COUNTIF($A$5:A578,A578))</f>
        <v/>
      </c>
    </row>
    <row r="579" customFormat="false" ht="15" hidden="false" customHeight="false" outlineLevel="0" collapsed="false">
      <c r="A579" s="28"/>
      <c r="B579" s="28"/>
      <c r="C579" s="28"/>
      <c r="D579" s="31"/>
      <c r="E579" s="10"/>
      <c r="F579" s="28"/>
      <c r="G579" s="11" t="str">
        <f aca="false">IF(OR(A579="",N(D579)=0),"",IFERROR(D579*(1+IFERROR(IF(ISNUMBER(INDEX(Moldes!$K$5:$K$154,MATCH(A579,Moldes!$A$5:$A$154,0))),INDEX(Moldes!$K$5:$K$154,MATCH(A579,Moldes!$A$5:$A$154,0)),Precios!$Q$12),Precios!$Q$12))*(INDEX(Precios!$F$5:$F$124,MATCH(E579,Precios!$A$5:$A$124,0))+IF(F579="Sí",Precios!$Q$10,0)),"falta $ tela"))</f>
        <v/>
      </c>
      <c r="H579" s="32" t="str">
        <f aca="false">IF(A579="","",A579&amp;"|"&amp;COUNTIF($A$5:A579,A579))</f>
        <v/>
      </c>
    </row>
    <row r="580" customFormat="false" ht="15" hidden="false" customHeight="false" outlineLevel="0" collapsed="false">
      <c r="A580" s="28"/>
      <c r="B580" s="28"/>
      <c r="C580" s="28"/>
      <c r="D580" s="31"/>
      <c r="E580" s="10"/>
      <c r="F580" s="28"/>
      <c r="G580" s="11" t="str">
        <f aca="false">IF(OR(A580="",N(D580)=0),"",IFERROR(D580*(1+IFERROR(IF(ISNUMBER(INDEX(Moldes!$K$5:$K$154,MATCH(A580,Moldes!$A$5:$A$154,0))),INDEX(Moldes!$K$5:$K$154,MATCH(A580,Moldes!$A$5:$A$154,0)),Precios!$Q$12),Precios!$Q$12))*(INDEX(Precios!$F$5:$F$124,MATCH(E580,Precios!$A$5:$A$124,0))+IF(F580="Sí",Precios!$Q$10,0)),"falta $ tela"))</f>
        <v/>
      </c>
      <c r="H580" s="32" t="str">
        <f aca="false">IF(A580="","",A580&amp;"|"&amp;COUNTIF($A$5:A580,A580))</f>
        <v/>
      </c>
    </row>
    <row r="581" customFormat="false" ht="15" hidden="false" customHeight="false" outlineLevel="0" collapsed="false">
      <c r="A581" s="28"/>
      <c r="B581" s="28"/>
      <c r="C581" s="28"/>
      <c r="D581" s="31"/>
      <c r="E581" s="10"/>
      <c r="F581" s="28"/>
      <c r="G581" s="11" t="str">
        <f aca="false">IF(OR(A581="",N(D581)=0),"",IFERROR(D581*(1+IFERROR(IF(ISNUMBER(INDEX(Moldes!$K$5:$K$154,MATCH(A581,Moldes!$A$5:$A$154,0))),INDEX(Moldes!$K$5:$K$154,MATCH(A581,Moldes!$A$5:$A$154,0)),Precios!$Q$12),Precios!$Q$12))*(INDEX(Precios!$F$5:$F$124,MATCH(E581,Precios!$A$5:$A$124,0))+IF(F581="Sí",Precios!$Q$10,0)),"falta $ tela"))</f>
        <v/>
      </c>
      <c r="H581" s="32" t="str">
        <f aca="false">IF(A581="","",A581&amp;"|"&amp;COUNTIF($A$5:A581,A581))</f>
        <v/>
      </c>
    </row>
    <row r="582" customFormat="false" ht="15" hidden="false" customHeight="false" outlineLevel="0" collapsed="false">
      <c r="A582" s="28"/>
      <c r="B582" s="28"/>
      <c r="C582" s="28"/>
      <c r="D582" s="31"/>
      <c r="E582" s="10"/>
      <c r="F582" s="28"/>
      <c r="G582" s="11" t="str">
        <f aca="false">IF(OR(A582="",N(D582)=0),"",IFERROR(D582*(1+IFERROR(IF(ISNUMBER(INDEX(Moldes!$K$5:$K$154,MATCH(A582,Moldes!$A$5:$A$154,0))),INDEX(Moldes!$K$5:$K$154,MATCH(A582,Moldes!$A$5:$A$154,0)),Precios!$Q$12),Precios!$Q$12))*(INDEX(Precios!$F$5:$F$124,MATCH(E582,Precios!$A$5:$A$124,0))+IF(F582="Sí",Precios!$Q$10,0)),"falta $ tela"))</f>
        <v/>
      </c>
      <c r="H582" s="32" t="str">
        <f aca="false">IF(A582="","",A582&amp;"|"&amp;COUNTIF($A$5:A582,A582))</f>
        <v/>
      </c>
    </row>
    <row r="583" customFormat="false" ht="15" hidden="false" customHeight="false" outlineLevel="0" collapsed="false">
      <c r="A583" s="28"/>
      <c r="B583" s="28"/>
      <c r="C583" s="28"/>
      <c r="D583" s="31"/>
      <c r="E583" s="10"/>
      <c r="F583" s="28"/>
      <c r="G583" s="11" t="str">
        <f aca="false">IF(OR(A583="",N(D583)=0),"",IFERROR(D583*(1+IFERROR(IF(ISNUMBER(INDEX(Moldes!$K$5:$K$154,MATCH(A583,Moldes!$A$5:$A$154,0))),INDEX(Moldes!$K$5:$K$154,MATCH(A583,Moldes!$A$5:$A$154,0)),Precios!$Q$12),Precios!$Q$12))*(INDEX(Precios!$F$5:$F$124,MATCH(E583,Precios!$A$5:$A$124,0))+IF(F583="Sí",Precios!$Q$10,0)),"falta $ tela"))</f>
        <v/>
      </c>
      <c r="H583" s="32" t="str">
        <f aca="false">IF(A583="","",A583&amp;"|"&amp;COUNTIF($A$5:A583,A583))</f>
        <v/>
      </c>
    </row>
    <row r="584" customFormat="false" ht="15" hidden="false" customHeight="false" outlineLevel="0" collapsed="false">
      <c r="A584" s="28"/>
      <c r="B584" s="28"/>
      <c r="C584" s="28"/>
      <c r="D584" s="31"/>
      <c r="E584" s="10"/>
      <c r="F584" s="28"/>
      <c r="G584" s="11" t="str">
        <f aca="false">IF(OR(A584="",N(D584)=0),"",IFERROR(D584*(1+IFERROR(IF(ISNUMBER(INDEX(Moldes!$K$5:$K$154,MATCH(A584,Moldes!$A$5:$A$154,0))),INDEX(Moldes!$K$5:$K$154,MATCH(A584,Moldes!$A$5:$A$154,0)),Precios!$Q$12),Precios!$Q$12))*(INDEX(Precios!$F$5:$F$124,MATCH(E584,Precios!$A$5:$A$124,0))+IF(F584="Sí",Precios!$Q$10,0)),"falta $ tela"))</f>
        <v/>
      </c>
      <c r="H584" s="32" t="str">
        <f aca="false">IF(A584="","",A584&amp;"|"&amp;COUNTIF($A$5:A584,A584))</f>
        <v/>
      </c>
    </row>
    <row r="585" customFormat="false" ht="15" hidden="false" customHeight="false" outlineLevel="0" collapsed="false">
      <c r="A585" s="28"/>
      <c r="B585" s="28"/>
      <c r="C585" s="28"/>
      <c r="D585" s="31"/>
      <c r="E585" s="10"/>
      <c r="F585" s="28"/>
      <c r="G585" s="11" t="str">
        <f aca="false">IF(OR(A585="",N(D585)=0),"",IFERROR(D585*(1+IFERROR(IF(ISNUMBER(INDEX(Moldes!$K$5:$K$154,MATCH(A585,Moldes!$A$5:$A$154,0))),INDEX(Moldes!$K$5:$K$154,MATCH(A585,Moldes!$A$5:$A$154,0)),Precios!$Q$12),Precios!$Q$12))*(INDEX(Precios!$F$5:$F$124,MATCH(E585,Precios!$A$5:$A$124,0))+IF(F585="Sí",Precios!$Q$10,0)),"falta $ tela"))</f>
        <v/>
      </c>
      <c r="H585" s="32" t="str">
        <f aca="false">IF(A585="","",A585&amp;"|"&amp;COUNTIF($A$5:A585,A585))</f>
        <v/>
      </c>
    </row>
    <row r="586" customFormat="false" ht="15" hidden="false" customHeight="false" outlineLevel="0" collapsed="false">
      <c r="A586" s="28"/>
      <c r="B586" s="28"/>
      <c r="C586" s="28"/>
      <c r="D586" s="31"/>
      <c r="E586" s="10"/>
      <c r="F586" s="28"/>
      <c r="G586" s="11" t="str">
        <f aca="false">IF(OR(A586="",N(D586)=0),"",IFERROR(D586*(1+IFERROR(IF(ISNUMBER(INDEX(Moldes!$K$5:$K$154,MATCH(A586,Moldes!$A$5:$A$154,0))),INDEX(Moldes!$K$5:$K$154,MATCH(A586,Moldes!$A$5:$A$154,0)),Precios!$Q$12),Precios!$Q$12))*(INDEX(Precios!$F$5:$F$124,MATCH(E586,Precios!$A$5:$A$124,0))+IF(F586="Sí",Precios!$Q$10,0)),"falta $ tela"))</f>
        <v/>
      </c>
      <c r="H586" s="32" t="str">
        <f aca="false">IF(A586="","",A586&amp;"|"&amp;COUNTIF($A$5:A586,A586))</f>
        <v/>
      </c>
    </row>
    <row r="587" customFormat="false" ht="15" hidden="false" customHeight="false" outlineLevel="0" collapsed="false">
      <c r="A587" s="28"/>
      <c r="B587" s="28"/>
      <c r="C587" s="28"/>
      <c r="D587" s="31"/>
      <c r="E587" s="10"/>
      <c r="F587" s="28"/>
      <c r="G587" s="11" t="str">
        <f aca="false">IF(OR(A587="",N(D587)=0),"",IFERROR(D587*(1+IFERROR(IF(ISNUMBER(INDEX(Moldes!$K$5:$K$154,MATCH(A587,Moldes!$A$5:$A$154,0))),INDEX(Moldes!$K$5:$K$154,MATCH(A587,Moldes!$A$5:$A$154,0)),Precios!$Q$12),Precios!$Q$12))*(INDEX(Precios!$F$5:$F$124,MATCH(E587,Precios!$A$5:$A$124,0))+IF(F587="Sí",Precios!$Q$10,0)),"falta $ tela"))</f>
        <v/>
      </c>
      <c r="H587" s="32" t="str">
        <f aca="false">IF(A587="","",A587&amp;"|"&amp;COUNTIF($A$5:A587,A587))</f>
        <v/>
      </c>
    </row>
    <row r="588" customFormat="false" ht="15" hidden="false" customHeight="false" outlineLevel="0" collapsed="false">
      <c r="A588" s="28"/>
      <c r="B588" s="28"/>
      <c r="C588" s="28"/>
      <c r="D588" s="31"/>
      <c r="E588" s="10"/>
      <c r="F588" s="28"/>
      <c r="G588" s="11" t="str">
        <f aca="false">IF(OR(A588="",N(D588)=0),"",IFERROR(D588*(1+IFERROR(IF(ISNUMBER(INDEX(Moldes!$K$5:$K$154,MATCH(A588,Moldes!$A$5:$A$154,0))),INDEX(Moldes!$K$5:$K$154,MATCH(A588,Moldes!$A$5:$A$154,0)),Precios!$Q$12),Precios!$Q$12))*(INDEX(Precios!$F$5:$F$124,MATCH(E588,Precios!$A$5:$A$124,0))+IF(F588="Sí",Precios!$Q$10,0)),"falta $ tela"))</f>
        <v/>
      </c>
      <c r="H588" s="32" t="str">
        <f aca="false">IF(A588="","",A588&amp;"|"&amp;COUNTIF($A$5:A588,A588))</f>
        <v/>
      </c>
    </row>
    <row r="589" customFormat="false" ht="15" hidden="false" customHeight="false" outlineLevel="0" collapsed="false">
      <c r="A589" s="28"/>
      <c r="B589" s="28"/>
      <c r="C589" s="28"/>
      <c r="D589" s="31"/>
      <c r="E589" s="10"/>
      <c r="F589" s="28"/>
      <c r="G589" s="11" t="str">
        <f aca="false">IF(OR(A589="",N(D589)=0),"",IFERROR(D589*(1+IFERROR(IF(ISNUMBER(INDEX(Moldes!$K$5:$K$154,MATCH(A589,Moldes!$A$5:$A$154,0))),INDEX(Moldes!$K$5:$K$154,MATCH(A589,Moldes!$A$5:$A$154,0)),Precios!$Q$12),Precios!$Q$12))*(INDEX(Precios!$F$5:$F$124,MATCH(E589,Precios!$A$5:$A$124,0))+IF(F589="Sí",Precios!$Q$10,0)),"falta $ tela"))</f>
        <v/>
      </c>
      <c r="H589" s="32" t="str">
        <f aca="false">IF(A589="","",A589&amp;"|"&amp;COUNTIF($A$5:A589,A589))</f>
        <v/>
      </c>
    </row>
    <row r="590" customFormat="false" ht="15" hidden="false" customHeight="false" outlineLevel="0" collapsed="false">
      <c r="A590" s="28"/>
      <c r="B590" s="28"/>
      <c r="C590" s="28"/>
      <c r="D590" s="31"/>
      <c r="E590" s="10"/>
      <c r="F590" s="28"/>
      <c r="G590" s="11" t="str">
        <f aca="false">IF(OR(A590="",N(D590)=0),"",IFERROR(D590*(1+IFERROR(IF(ISNUMBER(INDEX(Moldes!$K$5:$K$154,MATCH(A590,Moldes!$A$5:$A$154,0))),INDEX(Moldes!$K$5:$K$154,MATCH(A590,Moldes!$A$5:$A$154,0)),Precios!$Q$12),Precios!$Q$12))*(INDEX(Precios!$F$5:$F$124,MATCH(E590,Precios!$A$5:$A$124,0))+IF(F590="Sí",Precios!$Q$10,0)),"falta $ tela"))</f>
        <v/>
      </c>
      <c r="H590" s="32" t="str">
        <f aca="false">IF(A590="","",A590&amp;"|"&amp;COUNTIF($A$5:A590,A590))</f>
        <v/>
      </c>
    </row>
    <row r="591" customFormat="false" ht="15" hidden="false" customHeight="false" outlineLevel="0" collapsed="false">
      <c r="A591" s="28"/>
      <c r="B591" s="28"/>
      <c r="C591" s="28"/>
      <c r="D591" s="31"/>
      <c r="E591" s="10"/>
      <c r="F591" s="28"/>
      <c r="G591" s="11" t="str">
        <f aca="false">IF(OR(A591="",N(D591)=0),"",IFERROR(D591*(1+IFERROR(IF(ISNUMBER(INDEX(Moldes!$K$5:$K$154,MATCH(A591,Moldes!$A$5:$A$154,0))),INDEX(Moldes!$K$5:$K$154,MATCH(A591,Moldes!$A$5:$A$154,0)),Precios!$Q$12),Precios!$Q$12))*(INDEX(Precios!$F$5:$F$124,MATCH(E591,Precios!$A$5:$A$124,0))+IF(F591="Sí",Precios!$Q$10,0)),"falta $ tela"))</f>
        <v/>
      </c>
      <c r="H591" s="32" t="str">
        <f aca="false">IF(A591="","",A591&amp;"|"&amp;COUNTIF($A$5:A591,A591))</f>
        <v/>
      </c>
    </row>
    <row r="592" customFormat="false" ht="15" hidden="false" customHeight="false" outlineLevel="0" collapsed="false">
      <c r="A592" s="28"/>
      <c r="B592" s="28"/>
      <c r="C592" s="28"/>
      <c r="D592" s="31"/>
      <c r="E592" s="10"/>
      <c r="F592" s="28"/>
      <c r="G592" s="11" t="str">
        <f aca="false">IF(OR(A592="",N(D592)=0),"",IFERROR(D592*(1+IFERROR(IF(ISNUMBER(INDEX(Moldes!$K$5:$K$154,MATCH(A592,Moldes!$A$5:$A$154,0))),INDEX(Moldes!$K$5:$K$154,MATCH(A592,Moldes!$A$5:$A$154,0)),Precios!$Q$12),Precios!$Q$12))*(INDEX(Precios!$F$5:$F$124,MATCH(E592,Precios!$A$5:$A$124,0))+IF(F592="Sí",Precios!$Q$10,0)),"falta $ tela"))</f>
        <v/>
      </c>
      <c r="H592" s="32" t="str">
        <f aca="false">IF(A592="","",A592&amp;"|"&amp;COUNTIF($A$5:A592,A592))</f>
        <v/>
      </c>
    </row>
    <row r="593" customFormat="false" ht="15" hidden="false" customHeight="false" outlineLevel="0" collapsed="false">
      <c r="A593" s="28"/>
      <c r="B593" s="28"/>
      <c r="C593" s="28"/>
      <c r="D593" s="31"/>
      <c r="E593" s="10"/>
      <c r="F593" s="28"/>
      <c r="G593" s="11" t="str">
        <f aca="false">IF(OR(A593="",N(D593)=0),"",IFERROR(D593*(1+IFERROR(IF(ISNUMBER(INDEX(Moldes!$K$5:$K$154,MATCH(A593,Moldes!$A$5:$A$154,0))),INDEX(Moldes!$K$5:$K$154,MATCH(A593,Moldes!$A$5:$A$154,0)),Precios!$Q$12),Precios!$Q$12))*(INDEX(Precios!$F$5:$F$124,MATCH(E593,Precios!$A$5:$A$124,0))+IF(F593="Sí",Precios!$Q$10,0)),"falta $ tela"))</f>
        <v/>
      </c>
      <c r="H593" s="32" t="str">
        <f aca="false">IF(A593="","",A593&amp;"|"&amp;COUNTIF($A$5:A593,A593))</f>
        <v/>
      </c>
    </row>
    <row r="594" customFormat="false" ht="15" hidden="false" customHeight="false" outlineLevel="0" collapsed="false">
      <c r="A594" s="28"/>
      <c r="B594" s="28"/>
      <c r="C594" s="28"/>
      <c r="D594" s="31"/>
      <c r="E594" s="10"/>
      <c r="F594" s="28"/>
      <c r="G594" s="11" t="str">
        <f aca="false">IF(OR(A594="",N(D594)=0),"",IFERROR(D594*(1+IFERROR(IF(ISNUMBER(INDEX(Moldes!$K$5:$K$154,MATCH(A594,Moldes!$A$5:$A$154,0))),INDEX(Moldes!$K$5:$K$154,MATCH(A594,Moldes!$A$5:$A$154,0)),Precios!$Q$12),Precios!$Q$12))*(INDEX(Precios!$F$5:$F$124,MATCH(E594,Precios!$A$5:$A$124,0))+IF(F594="Sí",Precios!$Q$10,0)),"falta $ tela"))</f>
        <v/>
      </c>
      <c r="H594" s="32" t="str">
        <f aca="false">IF(A594="","",A594&amp;"|"&amp;COUNTIF($A$5:A594,A594))</f>
        <v/>
      </c>
    </row>
    <row r="595" customFormat="false" ht="15" hidden="false" customHeight="false" outlineLevel="0" collapsed="false">
      <c r="A595" s="28"/>
      <c r="B595" s="28"/>
      <c r="C595" s="28"/>
      <c r="D595" s="31"/>
      <c r="E595" s="10"/>
      <c r="F595" s="28"/>
      <c r="G595" s="11" t="str">
        <f aca="false">IF(OR(A595="",N(D595)=0),"",IFERROR(D595*(1+IFERROR(IF(ISNUMBER(INDEX(Moldes!$K$5:$K$154,MATCH(A595,Moldes!$A$5:$A$154,0))),INDEX(Moldes!$K$5:$K$154,MATCH(A595,Moldes!$A$5:$A$154,0)),Precios!$Q$12),Precios!$Q$12))*(INDEX(Precios!$F$5:$F$124,MATCH(E595,Precios!$A$5:$A$124,0))+IF(F595="Sí",Precios!$Q$10,0)),"falta $ tela"))</f>
        <v/>
      </c>
      <c r="H595" s="32" t="str">
        <f aca="false">IF(A595="","",A595&amp;"|"&amp;COUNTIF($A$5:A595,A595))</f>
        <v/>
      </c>
    </row>
    <row r="596" customFormat="false" ht="15" hidden="false" customHeight="false" outlineLevel="0" collapsed="false">
      <c r="A596" s="28"/>
      <c r="B596" s="28"/>
      <c r="C596" s="28"/>
      <c r="D596" s="31"/>
      <c r="E596" s="10"/>
      <c r="F596" s="28"/>
      <c r="G596" s="11" t="str">
        <f aca="false">IF(OR(A596="",N(D596)=0),"",IFERROR(D596*(1+IFERROR(IF(ISNUMBER(INDEX(Moldes!$K$5:$K$154,MATCH(A596,Moldes!$A$5:$A$154,0))),INDEX(Moldes!$K$5:$K$154,MATCH(A596,Moldes!$A$5:$A$154,0)),Precios!$Q$12),Precios!$Q$12))*(INDEX(Precios!$F$5:$F$124,MATCH(E596,Precios!$A$5:$A$124,0))+IF(F596="Sí",Precios!$Q$10,0)),"falta $ tela"))</f>
        <v/>
      </c>
      <c r="H596" s="32" t="str">
        <f aca="false">IF(A596="","",A596&amp;"|"&amp;COUNTIF($A$5:A596,A596))</f>
        <v/>
      </c>
    </row>
    <row r="597" customFormat="false" ht="15" hidden="false" customHeight="false" outlineLevel="0" collapsed="false">
      <c r="A597" s="28"/>
      <c r="B597" s="28"/>
      <c r="C597" s="28"/>
      <c r="D597" s="31"/>
      <c r="E597" s="10"/>
      <c r="F597" s="28"/>
      <c r="G597" s="11" t="str">
        <f aca="false">IF(OR(A597="",N(D597)=0),"",IFERROR(D597*(1+IFERROR(IF(ISNUMBER(INDEX(Moldes!$K$5:$K$154,MATCH(A597,Moldes!$A$5:$A$154,0))),INDEX(Moldes!$K$5:$K$154,MATCH(A597,Moldes!$A$5:$A$154,0)),Precios!$Q$12),Precios!$Q$12))*(INDEX(Precios!$F$5:$F$124,MATCH(E597,Precios!$A$5:$A$124,0))+IF(F597="Sí",Precios!$Q$10,0)),"falta $ tela"))</f>
        <v/>
      </c>
      <c r="H597" s="32" t="str">
        <f aca="false">IF(A597="","",A597&amp;"|"&amp;COUNTIF($A$5:A597,A597))</f>
        <v/>
      </c>
    </row>
    <row r="598" customFormat="false" ht="15" hidden="false" customHeight="false" outlineLevel="0" collapsed="false">
      <c r="A598" s="28"/>
      <c r="B598" s="28"/>
      <c r="C598" s="28"/>
      <c r="D598" s="31"/>
      <c r="E598" s="10"/>
      <c r="F598" s="28"/>
      <c r="G598" s="11" t="str">
        <f aca="false">IF(OR(A598="",N(D598)=0),"",IFERROR(D598*(1+IFERROR(IF(ISNUMBER(INDEX(Moldes!$K$5:$K$154,MATCH(A598,Moldes!$A$5:$A$154,0))),INDEX(Moldes!$K$5:$K$154,MATCH(A598,Moldes!$A$5:$A$154,0)),Precios!$Q$12),Precios!$Q$12))*(INDEX(Precios!$F$5:$F$124,MATCH(E598,Precios!$A$5:$A$124,0))+IF(F598="Sí",Precios!$Q$10,0)),"falta $ tela"))</f>
        <v/>
      </c>
      <c r="H598" s="32" t="str">
        <f aca="false">IF(A598="","",A598&amp;"|"&amp;COUNTIF($A$5:A598,A598))</f>
        <v/>
      </c>
    </row>
    <row r="599" customFormat="false" ht="15" hidden="false" customHeight="false" outlineLevel="0" collapsed="false">
      <c r="A599" s="28"/>
      <c r="B599" s="28"/>
      <c r="C599" s="28"/>
      <c r="D599" s="31"/>
      <c r="E599" s="10"/>
      <c r="F599" s="28"/>
      <c r="G599" s="11" t="str">
        <f aca="false">IF(OR(A599="",N(D599)=0),"",IFERROR(D599*(1+IFERROR(IF(ISNUMBER(INDEX(Moldes!$K$5:$K$154,MATCH(A599,Moldes!$A$5:$A$154,0))),INDEX(Moldes!$K$5:$K$154,MATCH(A599,Moldes!$A$5:$A$154,0)),Precios!$Q$12),Precios!$Q$12))*(INDEX(Precios!$F$5:$F$124,MATCH(E599,Precios!$A$5:$A$124,0))+IF(F599="Sí",Precios!$Q$10,0)),"falta $ tela"))</f>
        <v/>
      </c>
      <c r="H599" s="32" t="str">
        <f aca="false">IF(A599="","",A599&amp;"|"&amp;COUNTIF($A$5:A599,A599))</f>
        <v/>
      </c>
    </row>
    <row r="600" customFormat="false" ht="15" hidden="false" customHeight="false" outlineLevel="0" collapsed="false">
      <c r="A600" s="28"/>
      <c r="B600" s="28"/>
      <c r="C600" s="28"/>
      <c r="D600" s="31"/>
      <c r="E600" s="10"/>
      <c r="F600" s="28"/>
      <c r="G600" s="11" t="str">
        <f aca="false">IF(OR(A600="",N(D600)=0),"",IFERROR(D600*(1+IFERROR(IF(ISNUMBER(INDEX(Moldes!$K$5:$K$154,MATCH(A600,Moldes!$A$5:$A$154,0))),INDEX(Moldes!$K$5:$K$154,MATCH(A600,Moldes!$A$5:$A$154,0)),Precios!$Q$12),Precios!$Q$12))*(INDEX(Precios!$F$5:$F$124,MATCH(E600,Precios!$A$5:$A$124,0))+IF(F600="Sí",Precios!$Q$10,0)),"falta $ tela"))</f>
        <v/>
      </c>
      <c r="H600" s="32" t="str">
        <f aca="false">IF(A600="","",A600&amp;"|"&amp;COUNTIF($A$5:A600,A600))</f>
        <v/>
      </c>
    </row>
    <row r="601" customFormat="false" ht="15" hidden="false" customHeight="false" outlineLevel="0" collapsed="false">
      <c r="A601" s="28"/>
      <c r="B601" s="28"/>
      <c r="C601" s="28"/>
      <c r="D601" s="31"/>
      <c r="E601" s="10"/>
      <c r="F601" s="28"/>
      <c r="G601" s="11" t="str">
        <f aca="false">IF(OR(A601="",N(D601)=0),"",IFERROR(D601*(1+IFERROR(IF(ISNUMBER(INDEX(Moldes!$K$5:$K$154,MATCH(A601,Moldes!$A$5:$A$154,0))),INDEX(Moldes!$K$5:$K$154,MATCH(A601,Moldes!$A$5:$A$154,0)),Precios!$Q$12),Precios!$Q$12))*(INDEX(Precios!$F$5:$F$124,MATCH(E601,Precios!$A$5:$A$124,0))+IF(F601="Sí",Precios!$Q$10,0)),"falta $ tela"))</f>
        <v/>
      </c>
      <c r="H601" s="32" t="str">
        <f aca="false">IF(A601="","",A601&amp;"|"&amp;COUNTIF($A$5:A601,A601))</f>
        <v/>
      </c>
    </row>
    <row r="602" customFormat="false" ht="15" hidden="false" customHeight="false" outlineLevel="0" collapsed="false">
      <c r="A602" s="28"/>
      <c r="B602" s="28"/>
      <c r="C602" s="28"/>
      <c r="D602" s="31"/>
      <c r="E602" s="10"/>
      <c r="F602" s="28"/>
      <c r="G602" s="11" t="str">
        <f aca="false">IF(OR(A602="",N(D602)=0),"",IFERROR(D602*(1+IFERROR(IF(ISNUMBER(INDEX(Moldes!$K$5:$K$154,MATCH(A602,Moldes!$A$5:$A$154,0))),INDEX(Moldes!$K$5:$K$154,MATCH(A602,Moldes!$A$5:$A$154,0)),Precios!$Q$12),Precios!$Q$12))*(INDEX(Precios!$F$5:$F$124,MATCH(E602,Precios!$A$5:$A$124,0))+IF(F602="Sí",Precios!$Q$10,0)),"falta $ tela"))</f>
        <v/>
      </c>
      <c r="H602" s="32" t="str">
        <f aca="false">IF(A602="","",A602&amp;"|"&amp;COUNTIF($A$5:A602,A602))</f>
        <v/>
      </c>
    </row>
    <row r="603" customFormat="false" ht="15" hidden="false" customHeight="false" outlineLevel="0" collapsed="false">
      <c r="A603" s="28"/>
      <c r="B603" s="28"/>
      <c r="C603" s="28"/>
      <c r="D603" s="31"/>
      <c r="E603" s="10"/>
      <c r="F603" s="28"/>
      <c r="G603" s="11" t="str">
        <f aca="false">IF(OR(A603="",N(D603)=0),"",IFERROR(D603*(1+IFERROR(IF(ISNUMBER(INDEX(Moldes!$K$5:$K$154,MATCH(A603,Moldes!$A$5:$A$154,0))),INDEX(Moldes!$K$5:$K$154,MATCH(A603,Moldes!$A$5:$A$154,0)),Precios!$Q$12),Precios!$Q$12))*(INDEX(Precios!$F$5:$F$124,MATCH(E603,Precios!$A$5:$A$124,0))+IF(F603="Sí",Precios!$Q$10,0)),"falta $ tela"))</f>
        <v/>
      </c>
      <c r="H603" s="32" t="str">
        <f aca="false">IF(A603="","",A603&amp;"|"&amp;COUNTIF($A$5:A603,A603))</f>
        <v/>
      </c>
    </row>
    <row r="604" customFormat="false" ht="15" hidden="false" customHeight="false" outlineLevel="0" collapsed="false">
      <c r="A604" s="28"/>
      <c r="B604" s="28"/>
      <c r="C604" s="28"/>
      <c r="D604" s="31"/>
      <c r="E604" s="10"/>
      <c r="F604" s="28"/>
      <c r="G604" s="11" t="str">
        <f aca="false">IF(OR(A604="",N(D604)=0),"",IFERROR(D604*(1+IFERROR(IF(ISNUMBER(INDEX(Moldes!$K$5:$K$154,MATCH(A604,Moldes!$A$5:$A$154,0))),INDEX(Moldes!$K$5:$K$154,MATCH(A604,Moldes!$A$5:$A$154,0)),Precios!$Q$12),Precios!$Q$12))*(INDEX(Precios!$F$5:$F$124,MATCH(E604,Precios!$A$5:$A$124,0))+IF(F604="Sí",Precios!$Q$10,0)),"falta $ tela"))</f>
        <v/>
      </c>
      <c r="H604" s="32" t="str">
        <f aca="false">IF(A604="","",A604&amp;"|"&amp;COUNTIF($A$5:A604,A604))</f>
        <v/>
      </c>
    </row>
    <row r="605" customFormat="false" ht="15" hidden="false" customHeight="false" outlineLevel="0" collapsed="false">
      <c r="A605" s="28"/>
      <c r="B605" s="28"/>
      <c r="C605" s="28"/>
      <c r="D605" s="31"/>
      <c r="E605" s="10"/>
      <c r="F605" s="28"/>
      <c r="G605" s="11" t="str">
        <f aca="false">IF(OR(A605="",N(D605)=0),"",IFERROR(D605*(1+IFERROR(IF(ISNUMBER(INDEX(Moldes!$K$5:$K$154,MATCH(A605,Moldes!$A$5:$A$154,0))),INDEX(Moldes!$K$5:$K$154,MATCH(A605,Moldes!$A$5:$A$154,0)),Precios!$Q$12),Precios!$Q$12))*(INDEX(Precios!$F$5:$F$124,MATCH(E605,Precios!$A$5:$A$124,0))+IF(F605="Sí",Precios!$Q$10,0)),"falta $ tela"))</f>
        <v/>
      </c>
      <c r="H605" s="32" t="str">
        <f aca="false">IF(A605="","",A605&amp;"|"&amp;COUNTIF($A$5:A605,A605))</f>
        <v/>
      </c>
    </row>
    <row r="606" customFormat="false" ht="15" hidden="false" customHeight="false" outlineLevel="0" collapsed="false">
      <c r="A606" s="28"/>
      <c r="B606" s="28"/>
      <c r="C606" s="28"/>
      <c r="D606" s="31"/>
      <c r="E606" s="10"/>
      <c r="F606" s="28"/>
      <c r="G606" s="11" t="str">
        <f aca="false">IF(OR(A606="",N(D606)=0),"",IFERROR(D606*(1+IFERROR(IF(ISNUMBER(INDEX(Moldes!$K$5:$K$154,MATCH(A606,Moldes!$A$5:$A$154,0))),INDEX(Moldes!$K$5:$K$154,MATCH(A606,Moldes!$A$5:$A$154,0)),Precios!$Q$12),Precios!$Q$12))*(INDEX(Precios!$F$5:$F$124,MATCH(E606,Precios!$A$5:$A$124,0))+IF(F606="Sí",Precios!$Q$10,0)),"falta $ tela"))</f>
        <v/>
      </c>
      <c r="H606" s="32" t="str">
        <f aca="false">IF(A606="","",A606&amp;"|"&amp;COUNTIF($A$5:A606,A606))</f>
        <v/>
      </c>
    </row>
    <row r="607" customFormat="false" ht="15" hidden="false" customHeight="false" outlineLevel="0" collapsed="false">
      <c r="A607" s="28"/>
      <c r="B607" s="28"/>
      <c r="C607" s="28"/>
      <c r="D607" s="31"/>
      <c r="E607" s="10"/>
      <c r="F607" s="28"/>
      <c r="G607" s="11" t="str">
        <f aca="false">IF(OR(A607="",N(D607)=0),"",IFERROR(D607*(1+IFERROR(IF(ISNUMBER(INDEX(Moldes!$K$5:$K$154,MATCH(A607,Moldes!$A$5:$A$154,0))),INDEX(Moldes!$K$5:$K$154,MATCH(A607,Moldes!$A$5:$A$154,0)),Precios!$Q$12),Precios!$Q$12))*(INDEX(Precios!$F$5:$F$124,MATCH(E607,Precios!$A$5:$A$124,0))+IF(F607="Sí",Precios!$Q$10,0)),"falta $ tela"))</f>
        <v/>
      </c>
      <c r="H607" s="32" t="str">
        <f aca="false">IF(A607="","",A607&amp;"|"&amp;COUNTIF($A$5:A607,A607))</f>
        <v/>
      </c>
    </row>
    <row r="608" customFormat="false" ht="15" hidden="false" customHeight="false" outlineLevel="0" collapsed="false">
      <c r="A608" s="28"/>
      <c r="B608" s="28"/>
      <c r="C608" s="28"/>
      <c r="D608" s="31"/>
      <c r="E608" s="10"/>
      <c r="F608" s="28"/>
      <c r="G608" s="11" t="str">
        <f aca="false">IF(OR(A608="",N(D608)=0),"",IFERROR(D608*(1+IFERROR(IF(ISNUMBER(INDEX(Moldes!$K$5:$K$154,MATCH(A608,Moldes!$A$5:$A$154,0))),INDEX(Moldes!$K$5:$K$154,MATCH(A608,Moldes!$A$5:$A$154,0)),Precios!$Q$12),Precios!$Q$12))*(INDEX(Precios!$F$5:$F$124,MATCH(E608,Precios!$A$5:$A$124,0))+IF(F608="Sí",Precios!$Q$10,0)),"falta $ tela"))</f>
        <v/>
      </c>
      <c r="H608" s="32" t="str">
        <f aca="false">IF(A608="","",A608&amp;"|"&amp;COUNTIF($A$5:A608,A608))</f>
        <v/>
      </c>
    </row>
    <row r="609" customFormat="false" ht="15" hidden="false" customHeight="false" outlineLevel="0" collapsed="false">
      <c r="A609" s="28"/>
      <c r="B609" s="28"/>
      <c r="C609" s="28"/>
      <c r="D609" s="31"/>
      <c r="E609" s="10"/>
      <c r="F609" s="28"/>
      <c r="G609" s="11" t="str">
        <f aca="false">IF(OR(A609="",N(D609)=0),"",IFERROR(D609*(1+IFERROR(IF(ISNUMBER(INDEX(Moldes!$K$5:$K$154,MATCH(A609,Moldes!$A$5:$A$154,0))),INDEX(Moldes!$K$5:$K$154,MATCH(A609,Moldes!$A$5:$A$154,0)),Precios!$Q$12),Precios!$Q$12))*(INDEX(Precios!$F$5:$F$124,MATCH(E609,Precios!$A$5:$A$124,0))+IF(F609="Sí",Precios!$Q$10,0)),"falta $ tela"))</f>
        <v/>
      </c>
      <c r="H609" s="32" t="str">
        <f aca="false">IF(A609="","",A609&amp;"|"&amp;COUNTIF($A$5:A609,A609))</f>
        <v/>
      </c>
    </row>
    <row r="610" customFormat="false" ht="15" hidden="false" customHeight="false" outlineLevel="0" collapsed="false">
      <c r="A610" s="28"/>
      <c r="B610" s="28"/>
      <c r="C610" s="28"/>
      <c r="D610" s="31"/>
      <c r="E610" s="10"/>
      <c r="F610" s="28"/>
      <c r="G610" s="11" t="str">
        <f aca="false">IF(OR(A610="",N(D610)=0),"",IFERROR(D610*(1+IFERROR(IF(ISNUMBER(INDEX(Moldes!$K$5:$K$154,MATCH(A610,Moldes!$A$5:$A$154,0))),INDEX(Moldes!$K$5:$K$154,MATCH(A610,Moldes!$A$5:$A$154,0)),Precios!$Q$12),Precios!$Q$12))*(INDEX(Precios!$F$5:$F$124,MATCH(E610,Precios!$A$5:$A$124,0))+IF(F610="Sí",Precios!$Q$10,0)),"falta $ tela"))</f>
        <v/>
      </c>
      <c r="H610" s="32" t="str">
        <f aca="false">IF(A610="","",A610&amp;"|"&amp;COUNTIF($A$5:A610,A610))</f>
        <v/>
      </c>
    </row>
    <row r="611" customFormat="false" ht="15" hidden="false" customHeight="false" outlineLevel="0" collapsed="false">
      <c r="A611" s="28"/>
      <c r="B611" s="28"/>
      <c r="C611" s="28"/>
      <c r="D611" s="31"/>
      <c r="E611" s="10"/>
      <c r="F611" s="28"/>
      <c r="G611" s="11" t="str">
        <f aca="false">IF(OR(A611="",N(D611)=0),"",IFERROR(D611*(1+IFERROR(IF(ISNUMBER(INDEX(Moldes!$K$5:$K$154,MATCH(A611,Moldes!$A$5:$A$154,0))),INDEX(Moldes!$K$5:$K$154,MATCH(A611,Moldes!$A$5:$A$154,0)),Precios!$Q$12),Precios!$Q$12))*(INDEX(Precios!$F$5:$F$124,MATCH(E611,Precios!$A$5:$A$124,0))+IF(F611="Sí",Precios!$Q$10,0)),"falta $ tela"))</f>
        <v/>
      </c>
      <c r="H611" s="32" t="str">
        <f aca="false">IF(A611="","",A611&amp;"|"&amp;COUNTIF($A$5:A611,A611))</f>
        <v/>
      </c>
    </row>
    <row r="612" customFormat="false" ht="15" hidden="false" customHeight="false" outlineLevel="0" collapsed="false">
      <c r="A612" s="28"/>
      <c r="B612" s="28"/>
      <c r="C612" s="28"/>
      <c r="D612" s="31"/>
      <c r="E612" s="10"/>
      <c r="F612" s="28"/>
      <c r="G612" s="11" t="str">
        <f aca="false">IF(OR(A612="",N(D612)=0),"",IFERROR(D612*(1+IFERROR(IF(ISNUMBER(INDEX(Moldes!$K$5:$K$154,MATCH(A612,Moldes!$A$5:$A$154,0))),INDEX(Moldes!$K$5:$K$154,MATCH(A612,Moldes!$A$5:$A$154,0)),Precios!$Q$12),Precios!$Q$12))*(INDEX(Precios!$F$5:$F$124,MATCH(E612,Precios!$A$5:$A$124,0))+IF(F612="Sí",Precios!$Q$10,0)),"falta $ tela"))</f>
        <v/>
      </c>
      <c r="H612" s="32" t="str">
        <f aca="false">IF(A612="","",A612&amp;"|"&amp;COUNTIF($A$5:A612,A612))</f>
        <v/>
      </c>
    </row>
    <row r="613" customFormat="false" ht="15" hidden="false" customHeight="false" outlineLevel="0" collapsed="false">
      <c r="A613" s="28"/>
      <c r="B613" s="28"/>
      <c r="C613" s="28"/>
      <c r="D613" s="31"/>
      <c r="E613" s="10"/>
      <c r="F613" s="28"/>
      <c r="G613" s="11" t="str">
        <f aca="false">IF(OR(A613="",N(D613)=0),"",IFERROR(D613*(1+IFERROR(IF(ISNUMBER(INDEX(Moldes!$K$5:$K$154,MATCH(A613,Moldes!$A$5:$A$154,0))),INDEX(Moldes!$K$5:$K$154,MATCH(A613,Moldes!$A$5:$A$154,0)),Precios!$Q$12),Precios!$Q$12))*(INDEX(Precios!$F$5:$F$124,MATCH(E613,Precios!$A$5:$A$124,0))+IF(F613="Sí",Precios!$Q$10,0)),"falta $ tela"))</f>
        <v/>
      </c>
      <c r="H613" s="32" t="str">
        <f aca="false">IF(A613="","",A613&amp;"|"&amp;COUNTIF($A$5:A613,A613))</f>
        <v/>
      </c>
    </row>
    <row r="614" customFormat="false" ht="15" hidden="false" customHeight="false" outlineLevel="0" collapsed="false">
      <c r="A614" s="28"/>
      <c r="B614" s="28"/>
      <c r="C614" s="28"/>
      <c r="D614" s="31"/>
      <c r="E614" s="10"/>
      <c r="F614" s="28"/>
      <c r="G614" s="11" t="str">
        <f aca="false">IF(OR(A614="",N(D614)=0),"",IFERROR(D614*(1+IFERROR(IF(ISNUMBER(INDEX(Moldes!$K$5:$K$154,MATCH(A614,Moldes!$A$5:$A$154,0))),INDEX(Moldes!$K$5:$K$154,MATCH(A614,Moldes!$A$5:$A$154,0)),Precios!$Q$12),Precios!$Q$12))*(INDEX(Precios!$F$5:$F$124,MATCH(E614,Precios!$A$5:$A$124,0))+IF(F614="Sí",Precios!$Q$10,0)),"falta $ tela"))</f>
        <v/>
      </c>
      <c r="H614" s="32" t="str">
        <f aca="false">IF(A614="","",A614&amp;"|"&amp;COUNTIF($A$5:A614,A614))</f>
        <v/>
      </c>
    </row>
    <row r="615" customFormat="false" ht="15" hidden="false" customHeight="false" outlineLevel="0" collapsed="false">
      <c r="A615" s="28"/>
      <c r="B615" s="28"/>
      <c r="C615" s="28"/>
      <c r="D615" s="31"/>
      <c r="E615" s="10"/>
      <c r="F615" s="28"/>
      <c r="G615" s="11" t="str">
        <f aca="false">IF(OR(A615="",N(D615)=0),"",IFERROR(D615*(1+IFERROR(IF(ISNUMBER(INDEX(Moldes!$K$5:$K$154,MATCH(A615,Moldes!$A$5:$A$154,0))),INDEX(Moldes!$K$5:$K$154,MATCH(A615,Moldes!$A$5:$A$154,0)),Precios!$Q$12),Precios!$Q$12))*(INDEX(Precios!$F$5:$F$124,MATCH(E615,Precios!$A$5:$A$124,0))+IF(F615="Sí",Precios!$Q$10,0)),"falta $ tela"))</f>
        <v/>
      </c>
      <c r="H615" s="32" t="str">
        <f aca="false">IF(A615="","",A615&amp;"|"&amp;COUNTIF($A$5:A615,A615))</f>
        <v/>
      </c>
    </row>
    <row r="616" customFormat="false" ht="15" hidden="false" customHeight="false" outlineLevel="0" collapsed="false">
      <c r="A616" s="28"/>
      <c r="B616" s="28"/>
      <c r="C616" s="28"/>
      <c r="D616" s="31"/>
      <c r="E616" s="10"/>
      <c r="F616" s="28"/>
      <c r="G616" s="11" t="str">
        <f aca="false">IF(OR(A616="",N(D616)=0),"",IFERROR(D616*(1+IFERROR(IF(ISNUMBER(INDEX(Moldes!$K$5:$K$154,MATCH(A616,Moldes!$A$5:$A$154,0))),INDEX(Moldes!$K$5:$K$154,MATCH(A616,Moldes!$A$5:$A$154,0)),Precios!$Q$12),Precios!$Q$12))*(INDEX(Precios!$F$5:$F$124,MATCH(E616,Precios!$A$5:$A$124,0))+IF(F616="Sí",Precios!$Q$10,0)),"falta $ tela"))</f>
        <v/>
      </c>
      <c r="H616" s="32" t="str">
        <f aca="false">IF(A616="","",A616&amp;"|"&amp;COUNTIF($A$5:A616,A616))</f>
        <v/>
      </c>
    </row>
    <row r="617" customFormat="false" ht="15" hidden="false" customHeight="false" outlineLevel="0" collapsed="false">
      <c r="A617" s="28"/>
      <c r="B617" s="28"/>
      <c r="C617" s="28"/>
      <c r="D617" s="31"/>
      <c r="E617" s="10"/>
      <c r="F617" s="28"/>
      <c r="G617" s="11" t="str">
        <f aca="false">IF(OR(A617="",N(D617)=0),"",IFERROR(D617*(1+IFERROR(IF(ISNUMBER(INDEX(Moldes!$K$5:$K$154,MATCH(A617,Moldes!$A$5:$A$154,0))),INDEX(Moldes!$K$5:$K$154,MATCH(A617,Moldes!$A$5:$A$154,0)),Precios!$Q$12),Precios!$Q$12))*(INDEX(Precios!$F$5:$F$124,MATCH(E617,Precios!$A$5:$A$124,0))+IF(F617="Sí",Precios!$Q$10,0)),"falta $ tela"))</f>
        <v/>
      </c>
      <c r="H617" s="32" t="str">
        <f aca="false">IF(A617="","",A617&amp;"|"&amp;COUNTIF($A$5:A617,A617))</f>
        <v/>
      </c>
    </row>
    <row r="618" customFormat="false" ht="15" hidden="false" customHeight="false" outlineLevel="0" collapsed="false">
      <c r="A618" s="28"/>
      <c r="B618" s="28"/>
      <c r="C618" s="28"/>
      <c r="D618" s="31"/>
      <c r="E618" s="10"/>
      <c r="F618" s="28"/>
      <c r="G618" s="11" t="str">
        <f aca="false">IF(OR(A618="",N(D618)=0),"",IFERROR(D618*(1+IFERROR(IF(ISNUMBER(INDEX(Moldes!$K$5:$K$154,MATCH(A618,Moldes!$A$5:$A$154,0))),INDEX(Moldes!$K$5:$K$154,MATCH(A618,Moldes!$A$5:$A$154,0)),Precios!$Q$12),Precios!$Q$12))*(INDEX(Precios!$F$5:$F$124,MATCH(E618,Precios!$A$5:$A$124,0))+IF(F618="Sí",Precios!$Q$10,0)),"falta $ tela"))</f>
        <v/>
      </c>
      <c r="H618" s="32" t="str">
        <f aca="false">IF(A618="","",A618&amp;"|"&amp;COUNTIF($A$5:A618,A618))</f>
        <v/>
      </c>
    </row>
    <row r="619" customFormat="false" ht="15" hidden="false" customHeight="false" outlineLevel="0" collapsed="false">
      <c r="A619" s="28"/>
      <c r="B619" s="28"/>
      <c r="C619" s="28"/>
      <c r="D619" s="31"/>
      <c r="E619" s="10"/>
      <c r="F619" s="28"/>
      <c r="G619" s="11" t="str">
        <f aca="false">IF(OR(A619="",N(D619)=0),"",IFERROR(D619*(1+IFERROR(IF(ISNUMBER(INDEX(Moldes!$K$5:$K$154,MATCH(A619,Moldes!$A$5:$A$154,0))),INDEX(Moldes!$K$5:$K$154,MATCH(A619,Moldes!$A$5:$A$154,0)),Precios!$Q$12),Precios!$Q$12))*(INDEX(Precios!$F$5:$F$124,MATCH(E619,Precios!$A$5:$A$124,0))+IF(F619="Sí",Precios!$Q$10,0)),"falta $ tela"))</f>
        <v/>
      </c>
      <c r="H619" s="32" t="str">
        <f aca="false">IF(A619="","",A619&amp;"|"&amp;COUNTIF($A$5:A619,A619))</f>
        <v/>
      </c>
    </row>
    <row r="620" customFormat="false" ht="15" hidden="false" customHeight="false" outlineLevel="0" collapsed="false">
      <c r="A620" s="28"/>
      <c r="B620" s="28"/>
      <c r="C620" s="28"/>
      <c r="D620" s="31"/>
      <c r="E620" s="10"/>
      <c r="F620" s="28"/>
      <c r="G620" s="11" t="str">
        <f aca="false">IF(OR(A620="",N(D620)=0),"",IFERROR(D620*(1+IFERROR(IF(ISNUMBER(INDEX(Moldes!$K$5:$K$154,MATCH(A620,Moldes!$A$5:$A$154,0))),INDEX(Moldes!$K$5:$K$154,MATCH(A620,Moldes!$A$5:$A$154,0)),Precios!$Q$12),Precios!$Q$12))*(INDEX(Precios!$F$5:$F$124,MATCH(E620,Precios!$A$5:$A$124,0))+IF(F620="Sí",Precios!$Q$10,0)),"falta $ tela"))</f>
        <v/>
      </c>
      <c r="H620" s="32" t="str">
        <f aca="false">IF(A620="","",A620&amp;"|"&amp;COUNTIF($A$5:A620,A620))</f>
        <v/>
      </c>
    </row>
    <row r="621" customFormat="false" ht="15" hidden="false" customHeight="false" outlineLevel="0" collapsed="false">
      <c r="A621" s="28"/>
      <c r="B621" s="28"/>
      <c r="C621" s="28"/>
      <c r="D621" s="31"/>
      <c r="E621" s="10"/>
      <c r="F621" s="28"/>
      <c r="G621" s="11" t="str">
        <f aca="false">IF(OR(A621="",N(D621)=0),"",IFERROR(D621*(1+IFERROR(IF(ISNUMBER(INDEX(Moldes!$K$5:$K$154,MATCH(A621,Moldes!$A$5:$A$154,0))),INDEX(Moldes!$K$5:$K$154,MATCH(A621,Moldes!$A$5:$A$154,0)),Precios!$Q$12),Precios!$Q$12))*(INDEX(Precios!$F$5:$F$124,MATCH(E621,Precios!$A$5:$A$124,0))+IF(F621="Sí",Precios!$Q$10,0)),"falta $ tela"))</f>
        <v/>
      </c>
      <c r="H621" s="32" t="str">
        <f aca="false">IF(A621="","",A621&amp;"|"&amp;COUNTIF($A$5:A621,A621))</f>
        <v/>
      </c>
    </row>
    <row r="622" customFormat="false" ht="15" hidden="false" customHeight="false" outlineLevel="0" collapsed="false">
      <c r="A622" s="28"/>
      <c r="B622" s="28"/>
      <c r="C622" s="28"/>
      <c r="D622" s="31"/>
      <c r="E622" s="10"/>
      <c r="F622" s="28"/>
      <c r="G622" s="11" t="str">
        <f aca="false">IF(OR(A622="",N(D622)=0),"",IFERROR(D622*(1+IFERROR(IF(ISNUMBER(INDEX(Moldes!$K$5:$K$154,MATCH(A622,Moldes!$A$5:$A$154,0))),INDEX(Moldes!$K$5:$K$154,MATCH(A622,Moldes!$A$5:$A$154,0)),Precios!$Q$12),Precios!$Q$12))*(INDEX(Precios!$F$5:$F$124,MATCH(E622,Precios!$A$5:$A$124,0))+IF(F622="Sí",Precios!$Q$10,0)),"falta $ tela"))</f>
        <v/>
      </c>
      <c r="H622" s="32" t="str">
        <f aca="false">IF(A622="","",A622&amp;"|"&amp;COUNTIF($A$5:A622,A622))</f>
        <v/>
      </c>
    </row>
    <row r="623" customFormat="false" ht="15" hidden="false" customHeight="false" outlineLevel="0" collapsed="false">
      <c r="A623" s="28"/>
      <c r="B623" s="28"/>
      <c r="C623" s="28"/>
      <c r="D623" s="31"/>
      <c r="E623" s="10"/>
      <c r="F623" s="28"/>
      <c r="G623" s="11" t="str">
        <f aca="false">IF(OR(A623="",N(D623)=0),"",IFERROR(D623*(1+IFERROR(IF(ISNUMBER(INDEX(Moldes!$K$5:$K$154,MATCH(A623,Moldes!$A$5:$A$154,0))),INDEX(Moldes!$K$5:$K$154,MATCH(A623,Moldes!$A$5:$A$154,0)),Precios!$Q$12),Precios!$Q$12))*(INDEX(Precios!$F$5:$F$124,MATCH(E623,Precios!$A$5:$A$124,0))+IF(F623="Sí",Precios!$Q$10,0)),"falta $ tela"))</f>
        <v/>
      </c>
      <c r="H623" s="32" t="str">
        <f aca="false">IF(A623="","",A623&amp;"|"&amp;COUNTIF($A$5:A623,A623))</f>
        <v/>
      </c>
    </row>
    <row r="624" customFormat="false" ht="15" hidden="false" customHeight="false" outlineLevel="0" collapsed="false">
      <c r="A624" s="28"/>
      <c r="B624" s="28"/>
      <c r="C624" s="28"/>
      <c r="D624" s="31"/>
      <c r="E624" s="10"/>
      <c r="F624" s="28"/>
      <c r="G624" s="11" t="str">
        <f aca="false">IF(OR(A624="",N(D624)=0),"",IFERROR(D624*(1+IFERROR(IF(ISNUMBER(INDEX(Moldes!$K$5:$K$154,MATCH(A624,Moldes!$A$5:$A$154,0))),INDEX(Moldes!$K$5:$K$154,MATCH(A624,Moldes!$A$5:$A$154,0)),Precios!$Q$12),Precios!$Q$12))*(INDEX(Precios!$F$5:$F$124,MATCH(E624,Precios!$A$5:$A$124,0))+IF(F624="Sí",Precios!$Q$10,0)),"falta $ tela"))</f>
        <v/>
      </c>
      <c r="H624" s="32" t="str">
        <f aca="false">IF(A624="","",A624&amp;"|"&amp;COUNTIF($A$5:A624,A624))</f>
        <v/>
      </c>
    </row>
    <row r="625" customFormat="false" ht="15" hidden="false" customHeight="false" outlineLevel="0" collapsed="false">
      <c r="A625" s="28"/>
      <c r="B625" s="28"/>
      <c r="C625" s="28"/>
      <c r="D625" s="31"/>
      <c r="E625" s="10"/>
      <c r="F625" s="28"/>
      <c r="G625" s="11" t="str">
        <f aca="false">IF(OR(A625="",N(D625)=0),"",IFERROR(D625*(1+IFERROR(IF(ISNUMBER(INDEX(Moldes!$K$5:$K$154,MATCH(A625,Moldes!$A$5:$A$154,0))),INDEX(Moldes!$K$5:$K$154,MATCH(A625,Moldes!$A$5:$A$154,0)),Precios!$Q$12),Precios!$Q$12))*(INDEX(Precios!$F$5:$F$124,MATCH(E625,Precios!$A$5:$A$124,0))+IF(F625="Sí",Precios!$Q$10,0)),"falta $ tela"))</f>
        <v/>
      </c>
      <c r="H625" s="32" t="str">
        <f aca="false">IF(A625="","",A625&amp;"|"&amp;COUNTIF($A$5:A625,A625))</f>
        <v/>
      </c>
    </row>
    <row r="626" customFormat="false" ht="15" hidden="false" customHeight="false" outlineLevel="0" collapsed="false">
      <c r="A626" s="28"/>
      <c r="B626" s="28"/>
      <c r="C626" s="28"/>
      <c r="D626" s="31"/>
      <c r="E626" s="10"/>
      <c r="F626" s="28"/>
      <c r="G626" s="11" t="str">
        <f aca="false">IF(OR(A626="",N(D626)=0),"",IFERROR(D626*(1+IFERROR(IF(ISNUMBER(INDEX(Moldes!$K$5:$K$154,MATCH(A626,Moldes!$A$5:$A$154,0))),INDEX(Moldes!$K$5:$K$154,MATCH(A626,Moldes!$A$5:$A$154,0)),Precios!$Q$12),Precios!$Q$12))*(INDEX(Precios!$F$5:$F$124,MATCH(E626,Precios!$A$5:$A$124,0))+IF(F626="Sí",Precios!$Q$10,0)),"falta $ tela"))</f>
        <v/>
      </c>
      <c r="H626" s="32" t="str">
        <f aca="false">IF(A626="","",A626&amp;"|"&amp;COUNTIF($A$5:A626,A626))</f>
        <v/>
      </c>
    </row>
    <row r="627" customFormat="false" ht="15" hidden="false" customHeight="false" outlineLevel="0" collapsed="false">
      <c r="A627" s="28"/>
      <c r="B627" s="28"/>
      <c r="C627" s="28"/>
      <c r="D627" s="31"/>
      <c r="E627" s="10"/>
      <c r="F627" s="28"/>
      <c r="G627" s="11" t="str">
        <f aca="false">IF(OR(A627="",N(D627)=0),"",IFERROR(D627*(1+IFERROR(IF(ISNUMBER(INDEX(Moldes!$K$5:$K$154,MATCH(A627,Moldes!$A$5:$A$154,0))),INDEX(Moldes!$K$5:$K$154,MATCH(A627,Moldes!$A$5:$A$154,0)),Precios!$Q$12),Precios!$Q$12))*(INDEX(Precios!$F$5:$F$124,MATCH(E627,Precios!$A$5:$A$124,0))+IF(F627="Sí",Precios!$Q$10,0)),"falta $ tela"))</f>
        <v/>
      </c>
      <c r="H627" s="32" t="str">
        <f aca="false">IF(A627="","",A627&amp;"|"&amp;COUNTIF($A$5:A627,A627))</f>
        <v/>
      </c>
    </row>
    <row r="628" customFormat="false" ht="15" hidden="false" customHeight="false" outlineLevel="0" collapsed="false">
      <c r="A628" s="28"/>
      <c r="B628" s="28"/>
      <c r="C628" s="28"/>
      <c r="D628" s="31"/>
      <c r="E628" s="10"/>
      <c r="F628" s="28"/>
      <c r="G628" s="11" t="str">
        <f aca="false">IF(OR(A628="",N(D628)=0),"",IFERROR(D628*(1+IFERROR(IF(ISNUMBER(INDEX(Moldes!$K$5:$K$154,MATCH(A628,Moldes!$A$5:$A$154,0))),INDEX(Moldes!$K$5:$K$154,MATCH(A628,Moldes!$A$5:$A$154,0)),Precios!$Q$12),Precios!$Q$12))*(INDEX(Precios!$F$5:$F$124,MATCH(E628,Precios!$A$5:$A$124,0))+IF(F628="Sí",Precios!$Q$10,0)),"falta $ tela"))</f>
        <v/>
      </c>
      <c r="H628" s="32" t="str">
        <f aca="false">IF(A628="","",A628&amp;"|"&amp;COUNTIF($A$5:A628,A628))</f>
        <v/>
      </c>
    </row>
    <row r="629" customFormat="false" ht="15" hidden="false" customHeight="false" outlineLevel="0" collapsed="false">
      <c r="A629" s="28"/>
      <c r="B629" s="28"/>
      <c r="C629" s="28"/>
      <c r="D629" s="31"/>
      <c r="E629" s="10"/>
      <c r="F629" s="28"/>
      <c r="G629" s="11" t="str">
        <f aca="false">IF(OR(A629="",N(D629)=0),"",IFERROR(D629*(1+IFERROR(IF(ISNUMBER(INDEX(Moldes!$K$5:$K$154,MATCH(A629,Moldes!$A$5:$A$154,0))),INDEX(Moldes!$K$5:$K$154,MATCH(A629,Moldes!$A$5:$A$154,0)),Precios!$Q$12),Precios!$Q$12))*(INDEX(Precios!$F$5:$F$124,MATCH(E629,Precios!$A$5:$A$124,0))+IF(F629="Sí",Precios!$Q$10,0)),"falta $ tela"))</f>
        <v/>
      </c>
      <c r="H629" s="32" t="str">
        <f aca="false">IF(A629="","",A629&amp;"|"&amp;COUNTIF($A$5:A629,A629))</f>
        <v/>
      </c>
    </row>
    <row r="630" customFormat="false" ht="15" hidden="false" customHeight="false" outlineLevel="0" collapsed="false">
      <c r="A630" s="28"/>
      <c r="B630" s="28"/>
      <c r="C630" s="28"/>
      <c r="D630" s="31"/>
      <c r="E630" s="10"/>
      <c r="F630" s="28"/>
      <c r="G630" s="11" t="str">
        <f aca="false">IF(OR(A630="",N(D630)=0),"",IFERROR(D630*(1+IFERROR(IF(ISNUMBER(INDEX(Moldes!$K$5:$K$154,MATCH(A630,Moldes!$A$5:$A$154,0))),INDEX(Moldes!$K$5:$K$154,MATCH(A630,Moldes!$A$5:$A$154,0)),Precios!$Q$12),Precios!$Q$12))*(INDEX(Precios!$F$5:$F$124,MATCH(E630,Precios!$A$5:$A$124,0))+IF(F630="Sí",Precios!$Q$10,0)),"falta $ tela"))</f>
        <v/>
      </c>
      <c r="H630" s="32" t="str">
        <f aca="false">IF(A630="","",A630&amp;"|"&amp;COUNTIF($A$5:A630,A630))</f>
        <v/>
      </c>
    </row>
    <row r="631" customFormat="false" ht="15" hidden="false" customHeight="false" outlineLevel="0" collapsed="false">
      <c r="A631" s="28"/>
      <c r="B631" s="28"/>
      <c r="C631" s="28"/>
      <c r="D631" s="31"/>
      <c r="E631" s="10"/>
      <c r="F631" s="28"/>
      <c r="G631" s="11" t="str">
        <f aca="false">IF(OR(A631="",N(D631)=0),"",IFERROR(D631*(1+IFERROR(IF(ISNUMBER(INDEX(Moldes!$K$5:$K$154,MATCH(A631,Moldes!$A$5:$A$154,0))),INDEX(Moldes!$K$5:$K$154,MATCH(A631,Moldes!$A$5:$A$154,0)),Precios!$Q$12),Precios!$Q$12))*(INDEX(Precios!$F$5:$F$124,MATCH(E631,Precios!$A$5:$A$124,0))+IF(F631="Sí",Precios!$Q$10,0)),"falta $ tela"))</f>
        <v/>
      </c>
      <c r="H631" s="32" t="str">
        <f aca="false">IF(A631="","",A631&amp;"|"&amp;COUNTIF($A$5:A631,A631))</f>
        <v/>
      </c>
    </row>
    <row r="632" customFormat="false" ht="15" hidden="false" customHeight="false" outlineLevel="0" collapsed="false">
      <c r="A632" s="28"/>
      <c r="B632" s="28"/>
      <c r="C632" s="28"/>
      <c r="D632" s="31"/>
      <c r="E632" s="10"/>
      <c r="F632" s="28"/>
      <c r="G632" s="11" t="str">
        <f aca="false">IF(OR(A632="",N(D632)=0),"",IFERROR(D632*(1+IFERROR(IF(ISNUMBER(INDEX(Moldes!$K$5:$K$154,MATCH(A632,Moldes!$A$5:$A$154,0))),INDEX(Moldes!$K$5:$K$154,MATCH(A632,Moldes!$A$5:$A$154,0)),Precios!$Q$12),Precios!$Q$12))*(INDEX(Precios!$F$5:$F$124,MATCH(E632,Precios!$A$5:$A$124,0))+IF(F632="Sí",Precios!$Q$10,0)),"falta $ tela"))</f>
        <v/>
      </c>
      <c r="H632" s="32" t="str">
        <f aca="false">IF(A632="","",A632&amp;"|"&amp;COUNTIF($A$5:A632,A632))</f>
        <v/>
      </c>
    </row>
    <row r="633" customFormat="false" ht="15" hidden="false" customHeight="false" outlineLevel="0" collapsed="false">
      <c r="A633" s="28"/>
      <c r="B633" s="28"/>
      <c r="C633" s="28"/>
      <c r="D633" s="31"/>
      <c r="E633" s="10"/>
      <c r="F633" s="28"/>
      <c r="G633" s="11" t="str">
        <f aca="false">IF(OR(A633="",N(D633)=0),"",IFERROR(D633*(1+IFERROR(IF(ISNUMBER(INDEX(Moldes!$K$5:$K$154,MATCH(A633,Moldes!$A$5:$A$154,0))),INDEX(Moldes!$K$5:$K$154,MATCH(A633,Moldes!$A$5:$A$154,0)),Precios!$Q$12),Precios!$Q$12))*(INDEX(Precios!$F$5:$F$124,MATCH(E633,Precios!$A$5:$A$124,0))+IF(F633="Sí",Precios!$Q$10,0)),"falta $ tela"))</f>
        <v/>
      </c>
      <c r="H633" s="32" t="str">
        <f aca="false">IF(A633="","",A633&amp;"|"&amp;COUNTIF($A$5:A633,A633))</f>
        <v/>
      </c>
    </row>
    <row r="634" customFormat="false" ht="15" hidden="false" customHeight="false" outlineLevel="0" collapsed="false">
      <c r="A634" s="28"/>
      <c r="B634" s="28"/>
      <c r="C634" s="28"/>
      <c r="D634" s="31"/>
      <c r="E634" s="10"/>
      <c r="F634" s="28"/>
      <c r="G634" s="11" t="str">
        <f aca="false">IF(OR(A634="",N(D634)=0),"",IFERROR(D634*(1+IFERROR(IF(ISNUMBER(INDEX(Moldes!$K$5:$K$154,MATCH(A634,Moldes!$A$5:$A$154,0))),INDEX(Moldes!$K$5:$K$154,MATCH(A634,Moldes!$A$5:$A$154,0)),Precios!$Q$12),Precios!$Q$12))*(INDEX(Precios!$F$5:$F$124,MATCH(E634,Precios!$A$5:$A$124,0))+IF(F634="Sí",Precios!$Q$10,0)),"falta $ tela"))</f>
        <v/>
      </c>
      <c r="H634" s="32" t="str">
        <f aca="false">IF(A634="","",A634&amp;"|"&amp;COUNTIF($A$5:A634,A634))</f>
        <v/>
      </c>
    </row>
    <row r="635" customFormat="false" ht="15" hidden="false" customHeight="false" outlineLevel="0" collapsed="false">
      <c r="A635" s="28"/>
      <c r="B635" s="28"/>
      <c r="C635" s="28"/>
      <c r="D635" s="31"/>
      <c r="E635" s="10"/>
      <c r="F635" s="28"/>
      <c r="G635" s="11" t="str">
        <f aca="false">IF(OR(A635="",N(D635)=0),"",IFERROR(D635*(1+IFERROR(IF(ISNUMBER(INDEX(Moldes!$K$5:$K$154,MATCH(A635,Moldes!$A$5:$A$154,0))),INDEX(Moldes!$K$5:$K$154,MATCH(A635,Moldes!$A$5:$A$154,0)),Precios!$Q$12),Precios!$Q$12))*(INDEX(Precios!$F$5:$F$124,MATCH(E635,Precios!$A$5:$A$124,0))+IF(F635="Sí",Precios!$Q$10,0)),"falta $ tela"))</f>
        <v/>
      </c>
      <c r="H635" s="32" t="str">
        <f aca="false">IF(A635="","",A635&amp;"|"&amp;COUNTIF($A$5:A635,A635))</f>
        <v/>
      </c>
    </row>
    <row r="636" customFormat="false" ht="15" hidden="false" customHeight="false" outlineLevel="0" collapsed="false">
      <c r="A636" s="28"/>
      <c r="B636" s="28"/>
      <c r="C636" s="28"/>
      <c r="D636" s="31"/>
      <c r="E636" s="10"/>
      <c r="F636" s="28"/>
      <c r="G636" s="11" t="str">
        <f aca="false">IF(OR(A636="",N(D636)=0),"",IFERROR(D636*(1+IFERROR(IF(ISNUMBER(INDEX(Moldes!$K$5:$K$154,MATCH(A636,Moldes!$A$5:$A$154,0))),INDEX(Moldes!$K$5:$K$154,MATCH(A636,Moldes!$A$5:$A$154,0)),Precios!$Q$12),Precios!$Q$12))*(INDEX(Precios!$F$5:$F$124,MATCH(E636,Precios!$A$5:$A$124,0))+IF(F636="Sí",Precios!$Q$10,0)),"falta $ tela"))</f>
        <v/>
      </c>
      <c r="H636" s="32" t="str">
        <f aca="false">IF(A636="","",A636&amp;"|"&amp;COUNTIF($A$5:A636,A636))</f>
        <v/>
      </c>
    </row>
    <row r="637" customFormat="false" ht="15" hidden="false" customHeight="false" outlineLevel="0" collapsed="false">
      <c r="A637" s="28"/>
      <c r="B637" s="28"/>
      <c r="C637" s="28"/>
      <c r="D637" s="31"/>
      <c r="E637" s="10"/>
      <c r="F637" s="28"/>
      <c r="G637" s="11" t="str">
        <f aca="false">IF(OR(A637="",N(D637)=0),"",IFERROR(D637*(1+IFERROR(IF(ISNUMBER(INDEX(Moldes!$K$5:$K$154,MATCH(A637,Moldes!$A$5:$A$154,0))),INDEX(Moldes!$K$5:$K$154,MATCH(A637,Moldes!$A$5:$A$154,0)),Precios!$Q$12),Precios!$Q$12))*(INDEX(Precios!$F$5:$F$124,MATCH(E637,Precios!$A$5:$A$124,0))+IF(F637="Sí",Precios!$Q$10,0)),"falta $ tela"))</f>
        <v/>
      </c>
      <c r="H637" s="32" t="str">
        <f aca="false">IF(A637="","",A637&amp;"|"&amp;COUNTIF($A$5:A637,A637))</f>
        <v/>
      </c>
    </row>
    <row r="638" customFormat="false" ht="15" hidden="false" customHeight="false" outlineLevel="0" collapsed="false">
      <c r="A638" s="28"/>
      <c r="B638" s="28"/>
      <c r="C638" s="28"/>
      <c r="D638" s="31"/>
      <c r="E638" s="10"/>
      <c r="F638" s="28"/>
      <c r="G638" s="11" t="str">
        <f aca="false">IF(OR(A638="",N(D638)=0),"",IFERROR(D638*(1+IFERROR(IF(ISNUMBER(INDEX(Moldes!$K$5:$K$154,MATCH(A638,Moldes!$A$5:$A$154,0))),INDEX(Moldes!$K$5:$K$154,MATCH(A638,Moldes!$A$5:$A$154,0)),Precios!$Q$12),Precios!$Q$12))*(INDEX(Precios!$F$5:$F$124,MATCH(E638,Precios!$A$5:$A$124,0))+IF(F638="Sí",Precios!$Q$10,0)),"falta $ tela"))</f>
        <v/>
      </c>
      <c r="H638" s="32" t="str">
        <f aca="false">IF(A638="","",A638&amp;"|"&amp;COUNTIF($A$5:A638,A638))</f>
        <v/>
      </c>
    </row>
    <row r="639" customFormat="false" ht="15" hidden="false" customHeight="false" outlineLevel="0" collapsed="false">
      <c r="A639" s="28"/>
      <c r="B639" s="28"/>
      <c r="C639" s="28"/>
      <c r="D639" s="31"/>
      <c r="E639" s="10"/>
      <c r="F639" s="28"/>
      <c r="G639" s="11" t="str">
        <f aca="false">IF(OR(A639="",N(D639)=0),"",IFERROR(D639*(1+IFERROR(IF(ISNUMBER(INDEX(Moldes!$K$5:$K$154,MATCH(A639,Moldes!$A$5:$A$154,0))),INDEX(Moldes!$K$5:$K$154,MATCH(A639,Moldes!$A$5:$A$154,0)),Precios!$Q$12),Precios!$Q$12))*(INDEX(Precios!$F$5:$F$124,MATCH(E639,Precios!$A$5:$A$124,0))+IF(F639="Sí",Precios!$Q$10,0)),"falta $ tela"))</f>
        <v/>
      </c>
      <c r="H639" s="32" t="str">
        <f aca="false">IF(A639="","",A639&amp;"|"&amp;COUNTIF($A$5:A639,A639))</f>
        <v/>
      </c>
    </row>
    <row r="640" customFormat="false" ht="15" hidden="false" customHeight="false" outlineLevel="0" collapsed="false">
      <c r="A640" s="28"/>
      <c r="B640" s="28"/>
      <c r="C640" s="28"/>
      <c r="D640" s="31"/>
      <c r="E640" s="10"/>
      <c r="F640" s="28"/>
      <c r="G640" s="11" t="str">
        <f aca="false">IF(OR(A640="",N(D640)=0),"",IFERROR(D640*(1+IFERROR(IF(ISNUMBER(INDEX(Moldes!$K$5:$K$154,MATCH(A640,Moldes!$A$5:$A$154,0))),INDEX(Moldes!$K$5:$K$154,MATCH(A640,Moldes!$A$5:$A$154,0)),Precios!$Q$12),Precios!$Q$12))*(INDEX(Precios!$F$5:$F$124,MATCH(E640,Precios!$A$5:$A$124,0))+IF(F640="Sí",Precios!$Q$10,0)),"falta $ tela"))</f>
        <v/>
      </c>
      <c r="H640" s="32" t="str">
        <f aca="false">IF(A640="","",A640&amp;"|"&amp;COUNTIF($A$5:A640,A640))</f>
        <v/>
      </c>
    </row>
    <row r="641" customFormat="false" ht="15" hidden="false" customHeight="false" outlineLevel="0" collapsed="false">
      <c r="A641" s="28"/>
      <c r="B641" s="28"/>
      <c r="C641" s="28"/>
      <c r="D641" s="31"/>
      <c r="E641" s="10"/>
      <c r="F641" s="28"/>
      <c r="G641" s="11" t="str">
        <f aca="false">IF(OR(A641="",N(D641)=0),"",IFERROR(D641*(1+IFERROR(IF(ISNUMBER(INDEX(Moldes!$K$5:$K$154,MATCH(A641,Moldes!$A$5:$A$154,0))),INDEX(Moldes!$K$5:$K$154,MATCH(A641,Moldes!$A$5:$A$154,0)),Precios!$Q$12),Precios!$Q$12))*(INDEX(Precios!$F$5:$F$124,MATCH(E641,Precios!$A$5:$A$124,0))+IF(F641="Sí",Precios!$Q$10,0)),"falta $ tela"))</f>
        <v/>
      </c>
      <c r="H641" s="32" t="str">
        <f aca="false">IF(A641="","",A641&amp;"|"&amp;COUNTIF($A$5:A641,A641))</f>
        <v/>
      </c>
    </row>
    <row r="642" customFormat="false" ht="15" hidden="false" customHeight="false" outlineLevel="0" collapsed="false">
      <c r="A642" s="28"/>
      <c r="B642" s="28"/>
      <c r="C642" s="28"/>
      <c r="D642" s="31"/>
      <c r="E642" s="10"/>
      <c r="F642" s="28"/>
      <c r="G642" s="11" t="str">
        <f aca="false">IF(OR(A642="",N(D642)=0),"",IFERROR(D642*(1+IFERROR(IF(ISNUMBER(INDEX(Moldes!$K$5:$K$154,MATCH(A642,Moldes!$A$5:$A$154,0))),INDEX(Moldes!$K$5:$K$154,MATCH(A642,Moldes!$A$5:$A$154,0)),Precios!$Q$12),Precios!$Q$12))*(INDEX(Precios!$F$5:$F$124,MATCH(E642,Precios!$A$5:$A$124,0))+IF(F642="Sí",Precios!$Q$10,0)),"falta $ tela"))</f>
        <v/>
      </c>
      <c r="H642" s="32" t="str">
        <f aca="false">IF(A642="","",A642&amp;"|"&amp;COUNTIF($A$5:A642,A642))</f>
        <v/>
      </c>
    </row>
    <row r="643" customFormat="false" ht="15" hidden="false" customHeight="false" outlineLevel="0" collapsed="false">
      <c r="A643" s="28"/>
      <c r="B643" s="28"/>
      <c r="C643" s="28"/>
      <c r="D643" s="31"/>
      <c r="E643" s="10"/>
      <c r="F643" s="28"/>
      <c r="G643" s="11" t="str">
        <f aca="false">IF(OR(A643="",N(D643)=0),"",IFERROR(D643*(1+IFERROR(IF(ISNUMBER(INDEX(Moldes!$K$5:$K$154,MATCH(A643,Moldes!$A$5:$A$154,0))),INDEX(Moldes!$K$5:$K$154,MATCH(A643,Moldes!$A$5:$A$154,0)),Precios!$Q$12),Precios!$Q$12))*(INDEX(Precios!$F$5:$F$124,MATCH(E643,Precios!$A$5:$A$124,0))+IF(F643="Sí",Precios!$Q$10,0)),"falta $ tela"))</f>
        <v/>
      </c>
      <c r="H643" s="32" t="str">
        <f aca="false">IF(A643="","",A643&amp;"|"&amp;COUNTIF($A$5:A643,A643))</f>
        <v/>
      </c>
    </row>
    <row r="644" customFormat="false" ht="15" hidden="false" customHeight="false" outlineLevel="0" collapsed="false">
      <c r="A644" s="28"/>
      <c r="B644" s="28"/>
      <c r="C644" s="28"/>
      <c r="D644" s="31"/>
      <c r="E644" s="10"/>
      <c r="F644" s="28"/>
      <c r="G644" s="11" t="str">
        <f aca="false">IF(OR(A644="",N(D644)=0),"",IFERROR(D644*(1+IFERROR(IF(ISNUMBER(INDEX(Moldes!$K$5:$K$154,MATCH(A644,Moldes!$A$5:$A$154,0))),INDEX(Moldes!$K$5:$K$154,MATCH(A644,Moldes!$A$5:$A$154,0)),Precios!$Q$12),Precios!$Q$12))*(INDEX(Precios!$F$5:$F$124,MATCH(E644,Precios!$A$5:$A$124,0))+IF(F644="Sí",Precios!$Q$10,0)),"falta $ tela"))</f>
        <v/>
      </c>
      <c r="H644" s="32" t="str">
        <f aca="false">IF(A644="","",A644&amp;"|"&amp;COUNTIF($A$5:A644,A644))</f>
        <v/>
      </c>
    </row>
    <row r="645" customFormat="false" ht="15" hidden="false" customHeight="false" outlineLevel="0" collapsed="false">
      <c r="A645" s="28"/>
      <c r="B645" s="28"/>
      <c r="C645" s="28"/>
      <c r="D645" s="31"/>
      <c r="E645" s="10"/>
      <c r="F645" s="28"/>
      <c r="G645" s="11" t="str">
        <f aca="false">IF(OR(A645="",N(D645)=0),"",IFERROR(D645*(1+IFERROR(IF(ISNUMBER(INDEX(Moldes!$K$5:$K$154,MATCH(A645,Moldes!$A$5:$A$154,0))),INDEX(Moldes!$K$5:$K$154,MATCH(A645,Moldes!$A$5:$A$154,0)),Precios!$Q$12),Precios!$Q$12))*(INDEX(Precios!$F$5:$F$124,MATCH(E645,Precios!$A$5:$A$124,0))+IF(F645="Sí",Precios!$Q$10,0)),"falta $ tela"))</f>
        <v/>
      </c>
      <c r="H645" s="32" t="str">
        <f aca="false">IF(A645="","",A645&amp;"|"&amp;COUNTIF($A$5:A645,A645))</f>
        <v/>
      </c>
    </row>
    <row r="646" customFormat="false" ht="15" hidden="false" customHeight="false" outlineLevel="0" collapsed="false">
      <c r="A646" s="28"/>
      <c r="B646" s="28"/>
      <c r="C646" s="28"/>
      <c r="D646" s="31"/>
      <c r="E646" s="10"/>
      <c r="F646" s="28"/>
      <c r="G646" s="11" t="str">
        <f aca="false">IF(OR(A646="",N(D646)=0),"",IFERROR(D646*(1+IFERROR(IF(ISNUMBER(INDEX(Moldes!$K$5:$K$154,MATCH(A646,Moldes!$A$5:$A$154,0))),INDEX(Moldes!$K$5:$K$154,MATCH(A646,Moldes!$A$5:$A$154,0)),Precios!$Q$12),Precios!$Q$12))*(INDEX(Precios!$F$5:$F$124,MATCH(E646,Precios!$A$5:$A$124,0))+IF(F646="Sí",Precios!$Q$10,0)),"falta $ tela"))</f>
        <v/>
      </c>
      <c r="H646" s="32" t="str">
        <f aca="false">IF(A646="","",A646&amp;"|"&amp;COUNTIF($A$5:A646,A646))</f>
        <v/>
      </c>
    </row>
    <row r="647" customFormat="false" ht="15" hidden="false" customHeight="false" outlineLevel="0" collapsed="false">
      <c r="A647" s="28"/>
      <c r="B647" s="28"/>
      <c r="C647" s="28"/>
      <c r="D647" s="31"/>
      <c r="E647" s="10"/>
      <c r="F647" s="28"/>
      <c r="G647" s="11" t="str">
        <f aca="false">IF(OR(A647="",N(D647)=0),"",IFERROR(D647*(1+IFERROR(IF(ISNUMBER(INDEX(Moldes!$K$5:$K$154,MATCH(A647,Moldes!$A$5:$A$154,0))),INDEX(Moldes!$K$5:$K$154,MATCH(A647,Moldes!$A$5:$A$154,0)),Precios!$Q$12),Precios!$Q$12))*(INDEX(Precios!$F$5:$F$124,MATCH(E647,Precios!$A$5:$A$124,0))+IF(F647="Sí",Precios!$Q$10,0)),"falta $ tela"))</f>
        <v/>
      </c>
      <c r="H647" s="32" t="str">
        <f aca="false">IF(A647="","",A647&amp;"|"&amp;COUNTIF($A$5:A647,A647))</f>
        <v/>
      </c>
    </row>
    <row r="648" customFormat="false" ht="15" hidden="false" customHeight="false" outlineLevel="0" collapsed="false">
      <c r="A648" s="28"/>
      <c r="B648" s="28"/>
      <c r="C648" s="28"/>
      <c r="D648" s="31"/>
      <c r="E648" s="10"/>
      <c r="F648" s="28"/>
      <c r="G648" s="11" t="str">
        <f aca="false">IF(OR(A648="",N(D648)=0),"",IFERROR(D648*(1+IFERROR(IF(ISNUMBER(INDEX(Moldes!$K$5:$K$154,MATCH(A648,Moldes!$A$5:$A$154,0))),INDEX(Moldes!$K$5:$K$154,MATCH(A648,Moldes!$A$5:$A$154,0)),Precios!$Q$12),Precios!$Q$12))*(INDEX(Precios!$F$5:$F$124,MATCH(E648,Precios!$A$5:$A$124,0))+IF(F648="Sí",Precios!$Q$10,0)),"falta $ tela"))</f>
        <v/>
      </c>
      <c r="H648" s="32" t="str">
        <f aca="false">IF(A648="","",A648&amp;"|"&amp;COUNTIF($A$5:A648,A648))</f>
        <v/>
      </c>
    </row>
    <row r="649" customFormat="false" ht="15" hidden="false" customHeight="false" outlineLevel="0" collapsed="false">
      <c r="A649" s="28"/>
      <c r="B649" s="28"/>
      <c r="C649" s="28"/>
      <c r="D649" s="31"/>
      <c r="E649" s="10"/>
      <c r="F649" s="28"/>
      <c r="G649" s="11" t="str">
        <f aca="false">IF(OR(A649="",N(D649)=0),"",IFERROR(D649*(1+IFERROR(IF(ISNUMBER(INDEX(Moldes!$K$5:$K$154,MATCH(A649,Moldes!$A$5:$A$154,0))),INDEX(Moldes!$K$5:$K$154,MATCH(A649,Moldes!$A$5:$A$154,0)),Precios!$Q$12),Precios!$Q$12))*(INDEX(Precios!$F$5:$F$124,MATCH(E649,Precios!$A$5:$A$124,0))+IF(F649="Sí",Precios!$Q$10,0)),"falta $ tela"))</f>
        <v/>
      </c>
      <c r="H649" s="32" t="str">
        <f aca="false">IF(A649="","",A649&amp;"|"&amp;COUNTIF($A$5:A649,A649))</f>
        <v/>
      </c>
    </row>
    <row r="650" customFormat="false" ht="15" hidden="false" customHeight="false" outlineLevel="0" collapsed="false">
      <c r="A650" s="28"/>
      <c r="B650" s="28"/>
      <c r="C650" s="28"/>
      <c r="D650" s="31"/>
      <c r="E650" s="10"/>
      <c r="F650" s="28"/>
      <c r="G650" s="11" t="str">
        <f aca="false">IF(OR(A650="",N(D650)=0),"",IFERROR(D650*(1+IFERROR(IF(ISNUMBER(INDEX(Moldes!$K$5:$K$154,MATCH(A650,Moldes!$A$5:$A$154,0))),INDEX(Moldes!$K$5:$K$154,MATCH(A650,Moldes!$A$5:$A$154,0)),Precios!$Q$12),Precios!$Q$12))*(INDEX(Precios!$F$5:$F$124,MATCH(E650,Precios!$A$5:$A$124,0))+IF(F650="Sí",Precios!$Q$10,0)),"falta $ tela"))</f>
        <v/>
      </c>
      <c r="H650" s="32" t="str">
        <f aca="false">IF(A650="","",A650&amp;"|"&amp;COUNTIF($A$5:A650,A650))</f>
        <v/>
      </c>
    </row>
    <row r="651" customFormat="false" ht="15" hidden="false" customHeight="false" outlineLevel="0" collapsed="false">
      <c r="A651" s="28"/>
      <c r="B651" s="28"/>
      <c r="C651" s="28"/>
      <c r="D651" s="31"/>
      <c r="E651" s="10"/>
      <c r="F651" s="28"/>
      <c r="G651" s="11" t="str">
        <f aca="false">IF(OR(A651="",N(D651)=0),"",IFERROR(D651*(1+IFERROR(IF(ISNUMBER(INDEX(Moldes!$K$5:$K$154,MATCH(A651,Moldes!$A$5:$A$154,0))),INDEX(Moldes!$K$5:$K$154,MATCH(A651,Moldes!$A$5:$A$154,0)),Precios!$Q$12),Precios!$Q$12))*(INDEX(Precios!$F$5:$F$124,MATCH(E651,Precios!$A$5:$A$124,0))+IF(F651="Sí",Precios!$Q$10,0)),"falta $ tela"))</f>
        <v/>
      </c>
      <c r="H651" s="32" t="str">
        <f aca="false">IF(A651="","",A651&amp;"|"&amp;COUNTIF($A$5:A651,A651))</f>
        <v/>
      </c>
    </row>
    <row r="652" customFormat="false" ht="15" hidden="false" customHeight="false" outlineLevel="0" collapsed="false">
      <c r="A652" s="28"/>
      <c r="B652" s="28"/>
      <c r="C652" s="28"/>
      <c r="D652" s="31"/>
      <c r="E652" s="10"/>
      <c r="F652" s="28"/>
      <c r="G652" s="11" t="str">
        <f aca="false">IF(OR(A652="",N(D652)=0),"",IFERROR(D652*(1+IFERROR(IF(ISNUMBER(INDEX(Moldes!$K$5:$K$154,MATCH(A652,Moldes!$A$5:$A$154,0))),INDEX(Moldes!$K$5:$K$154,MATCH(A652,Moldes!$A$5:$A$154,0)),Precios!$Q$12),Precios!$Q$12))*(INDEX(Precios!$F$5:$F$124,MATCH(E652,Precios!$A$5:$A$124,0))+IF(F652="Sí",Precios!$Q$10,0)),"falta $ tela"))</f>
        <v/>
      </c>
      <c r="H652" s="32" t="str">
        <f aca="false">IF(A652="","",A652&amp;"|"&amp;COUNTIF($A$5:A652,A652))</f>
        <v/>
      </c>
    </row>
    <row r="653" customFormat="false" ht="15" hidden="false" customHeight="false" outlineLevel="0" collapsed="false">
      <c r="A653" s="28"/>
      <c r="B653" s="28"/>
      <c r="C653" s="28"/>
      <c r="D653" s="31"/>
      <c r="E653" s="10"/>
      <c r="F653" s="28"/>
      <c r="G653" s="11" t="str">
        <f aca="false">IF(OR(A653="",N(D653)=0),"",IFERROR(D653*(1+IFERROR(IF(ISNUMBER(INDEX(Moldes!$K$5:$K$154,MATCH(A653,Moldes!$A$5:$A$154,0))),INDEX(Moldes!$K$5:$K$154,MATCH(A653,Moldes!$A$5:$A$154,0)),Precios!$Q$12),Precios!$Q$12))*(INDEX(Precios!$F$5:$F$124,MATCH(E653,Precios!$A$5:$A$124,0))+IF(F653="Sí",Precios!$Q$10,0)),"falta $ tela"))</f>
        <v/>
      </c>
      <c r="H653" s="32" t="str">
        <f aca="false">IF(A653="","",A653&amp;"|"&amp;COUNTIF($A$5:A653,A653))</f>
        <v/>
      </c>
    </row>
    <row r="654" customFormat="false" ht="15" hidden="false" customHeight="false" outlineLevel="0" collapsed="false">
      <c r="A654" s="28"/>
      <c r="B654" s="28"/>
      <c r="C654" s="28"/>
      <c r="D654" s="31"/>
      <c r="E654" s="10"/>
      <c r="F654" s="28"/>
      <c r="G654" s="11" t="str">
        <f aca="false">IF(OR(A654="",N(D654)=0),"",IFERROR(D654*(1+IFERROR(IF(ISNUMBER(INDEX(Moldes!$K$5:$K$154,MATCH(A654,Moldes!$A$5:$A$154,0))),INDEX(Moldes!$K$5:$K$154,MATCH(A654,Moldes!$A$5:$A$154,0)),Precios!$Q$12),Precios!$Q$12))*(INDEX(Precios!$F$5:$F$124,MATCH(E654,Precios!$A$5:$A$124,0))+IF(F654="Sí",Precios!$Q$10,0)),"falta $ tela"))</f>
        <v/>
      </c>
      <c r="H654" s="32" t="str">
        <f aca="false">IF(A654="","",A654&amp;"|"&amp;COUNTIF($A$5:A654,A654))</f>
        <v/>
      </c>
    </row>
    <row r="655" customFormat="false" ht="15" hidden="false" customHeight="false" outlineLevel="0" collapsed="false">
      <c r="A655" s="28"/>
      <c r="B655" s="28"/>
      <c r="C655" s="28"/>
      <c r="D655" s="31"/>
      <c r="E655" s="10"/>
      <c r="F655" s="28"/>
      <c r="G655" s="11" t="str">
        <f aca="false">IF(OR(A655="",N(D655)=0),"",IFERROR(D655*(1+IFERROR(IF(ISNUMBER(INDEX(Moldes!$K$5:$K$154,MATCH(A655,Moldes!$A$5:$A$154,0))),INDEX(Moldes!$K$5:$K$154,MATCH(A655,Moldes!$A$5:$A$154,0)),Precios!$Q$12),Precios!$Q$12))*(INDEX(Precios!$F$5:$F$124,MATCH(E655,Precios!$A$5:$A$124,0))+IF(F655="Sí",Precios!$Q$10,0)),"falta $ tela"))</f>
        <v/>
      </c>
      <c r="H655" s="32" t="str">
        <f aca="false">IF(A655="","",A655&amp;"|"&amp;COUNTIF($A$5:A655,A655))</f>
        <v/>
      </c>
    </row>
    <row r="656" customFormat="false" ht="15" hidden="false" customHeight="false" outlineLevel="0" collapsed="false">
      <c r="A656" s="28"/>
      <c r="B656" s="28"/>
      <c r="C656" s="28"/>
      <c r="D656" s="31"/>
      <c r="E656" s="10"/>
      <c r="F656" s="28"/>
      <c r="G656" s="11" t="str">
        <f aca="false">IF(OR(A656="",N(D656)=0),"",IFERROR(D656*(1+IFERROR(IF(ISNUMBER(INDEX(Moldes!$K$5:$K$154,MATCH(A656,Moldes!$A$5:$A$154,0))),INDEX(Moldes!$K$5:$K$154,MATCH(A656,Moldes!$A$5:$A$154,0)),Precios!$Q$12),Precios!$Q$12))*(INDEX(Precios!$F$5:$F$124,MATCH(E656,Precios!$A$5:$A$124,0))+IF(F656="Sí",Precios!$Q$10,0)),"falta $ tela"))</f>
        <v/>
      </c>
      <c r="H656" s="32" t="str">
        <f aca="false">IF(A656="","",A656&amp;"|"&amp;COUNTIF($A$5:A656,A656))</f>
        <v/>
      </c>
    </row>
    <row r="657" customFormat="false" ht="15" hidden="false" customHeight="false" outlineLevel="0" collapsed="false">
      <c r="A657" s="28"/>
      <c r="B657" s="28"/>
      <c r="C657" s="28"/>
      <c r="D657" s="31"/>
      <c r="E657" s="10"/>
      <c r="F657" s="28"/>
      <c r="G657" s="11" t="str">
        <f aca="false">IF(OR(A657="",N(D657)=0),"",IFERROR(D657*(1+IFERROR(IF(ISNUMBER(INDEX(Moldes!$K$5:$K$154,MATCH(A657,Moldes!$A$5:$A$154,0))),INDEX(Moldes!$K$5:$K$154,MATCH(A657,Moldes!$A$5:$A$154,0)),Precios!$Q$12),Precios!$Q$12))*(INDEX(Precios!$F$5:$F$124,MATCH(E657,Precios!$A$5:$A$124,0))+IF(F657="Sí",Precios!$Q$10,0)),"falta $ tela"))</f>
        <v/>
      </c>
      <c r="H657" s="32" t="str">
        <f aca="false">IF(A657="","",A657&amp;"|"&amp;COUNTIF($A$5:A657,A657))</f>
        <v/>
      </c>
    </row>
    <row r="658" customFormat="false" ht="15" hidden="false" customHeight="false" outlineLevel="0" collapsed="false">
      <c r="A658" s="28"/>
      <c r="B658" s="28"/>
      <c r="C658" s="28"/>
      <c r="D658" s="31"/>
      <c r="E658" s="10"/>
      <c r="F658" s="28"/>
      <c r="G658" s="11" t="str">
        <f aca="false">IF(OR(A658="",N(D658)=0),"",IFERROR(D658*(1+IFERROR(IF(ISNUMBER(INDEX(Moldes!$K$5:$K$154,MATCH(A658,Moldes!$A$5:$A$154,0))),INDEX(Moldes!$K$5:$K$154,MATCH(A658,Moldes!$A$5:$A$154,0)),Precios!$Q$12),Precios!$Q$12))*(INDEX(Precios!$F$5:$F$124,MATCH(E658,Precios!$A$5:$A$124,0))+IF(F658="Sí",Precios!$Q$10,0)),"falta $ tela"))</f>
        <v/>
      </c>
      <c r="H658" s="32" t="str">
        <f aca="false">IF(A658="","",A658&amp;"|"&amp;COUNTIF($A$5:A658,A658))</f>
        <v/>
      </c>
    </row>
    <row r="659" customFormat="false" ht="15" hidden="false" customHeight="false" outlineLevel="0" collapsed="false">
      <c r="A659" s="28"/>
      <c r="B659" s="28"/>
      <c r="C659" s="28"/>
      <c r="D659" s="31"/>
      <c r="E659" s="10"/>
      <c r="F659" s="28"/>
      <c r="G659" s="11" t="str">
        <f aca="false">IF(OR(A659="",N(D659)=0),"",IFERROR(D659*(1+IFERROR(IF(ISNUMBER(INDEX(Moldes!$K$5:$K$154,MATCH(A659,Moldes!$A$5:$A$154,0))),INDEX(Moldes!$K$5:$K$154,MATCH(A659,Moldes!$A$5:$A$154,0)),Precios!$Q$12),Precios!$Q$12))*(INDEX(Precios!$F$5:$F$124,MATCH(E659,Precios!$A$5:$A$124,0))+IF(F659="Sí",Precios!$Q$10,0)),"falta $ tela"))</f>
        <v/>
      </c>
      <c r="H659" s="32" t="str">
        <f aca="false">IF(A659="","",A659&amp;"|"&amp;COUNTIF($A$5:A659,A659))</f>
        <v/>
      </c>
    </row>
    <row r="660" customFormat="false" ht="15" hidden="false" customHeight="false" outlineLevel="0" collapsed="false">
      <c r="A660" s="28"/>
      <c r="B660" s="28"/>
      <c r="C660" s="28"/>
      <c r="D660" s="31"/>
      <c r="E660" s="10"/>
      <c r="F660" s="28"/>
      <c r="G660" s="11" t="str">
        <f aca="false">IF(OR(A660="",N(D660)=0),"",IFERROR(D660*(1+IFERROR(IF(ISNUMBER(INDEX(Moldes!$K$5:$K$154,MATCH(A660,Moldes!$A$5:$A$154,0))),INDEX(Moldes!$K$5:$K$154,MATCH(A660,Moldes!$A$5:$A$154,0)),Precios!$Q$12),Precios!$Q$12))*(INDEX(Precios!$F$5:$F$124,MATCH(E660,Precios!$A$5:$A$124,0))+IF(F660="Sí",Precios!$Q$10,0)),"falta $ tela"))</f>
        <v/>
      </c>
      <c r="H660" s="32" t="str">
        <f aca="false">IF(A660="","",A660&amp;"|"&amp;COUNTIF($A$5:A660,A660))</f>
        <v/>
      </c>
    </row>
    <row r="661" customFormat="false" ht="15" hidden="false" customHeight="false" outlineLevel="0" collapsed="false">
      <c r="A661" s="28"/>
      <c r="B661" s="28"/>
      <c r="C661" s="28"/>
      <c r="D661" s="31"/>
      <c r="E661" s="10"/>
      <c r="F661" s="28"/>
      <c r="G661" s="11" t="str">
        <f aca="false">IF(OR(A661="",N(D661)=0),"",IFERROR(D661*(1+IFERROR(IF(ISNUMBER(INDEX(Moldes!$K$5:$K$154,MATCH(A661,Moldes!$A$5:$A$154,0))),INDEX(Moldes!$K$5:$K$154,MATCH(A661,Moldes!$A$5:$A$154,0)),Precios!$Q$12),Precios!$Q$12))*(INDEX(Precios!$F$5:$F$124,MATCH(E661,Precios!$A$5:$A$124,0))+IF(F661="Sí",Precios!$Q$10,0)),"falta $ tela"))</f>
        <v/>
      </c>
      <c r="H661" s="32" t="str">
        <f aca="false">IF(A661="","",A661&amp;"|"&amp;COUNTIF($A$5:A661,A661))</f>
        <v/>
      </c>
    </row>
    <row r="662" customFormat="false" ht="15" hidden="false" customHeight="false" outlineLevel="0" collapsed="false">
      <c r="A662" s="28"/>
      <c r="B662" s="28"/>
      <c r="C662" s="28"/>
      <c r="D662" s="31"/>
      <c r="E662" s="10"/>
      <c r="F662" s="28"/>
      <c r="G662" s="11" t="str">
        <f aca="false">IF(OR(A662="",N(D662)=0),"",IFERROR(D662*(1+IFERROR(IF(ISNUMBER(INDEX(Moldes!$K$5:$K$154,MATCH(A662,Moldes!$A$5:$A$154,0))),INDEX(Moldes!$K$5:$K$154,MATCH(A662,Moldes!$A$5:$A$154,0)),Precios!$Q$12),Precios!$Q$12))*(INDEX(Precios!$F$5:$F$124,MATCH(E662,Precios!$A$5:$A$124,0))+IF(F662="Sí",Precios!$Q$10,0)),"falta $ tela"))</f>
        <v/>
      </c>
      <c r="H662" s="32" t="str">
        <f aca="false">IF(A662="","",A662&amp;"|"&amp;COUNTIF($A$5:A662,A662))</f>
        <v/>
      </c>
    </row>
    <row r="663" customFormat="false" ht="15" hidden="false" customHeight="false" outlineLevel="0" collapsed="false">
      <c r="A663" s="28"/>
      <c r="B663" s="28"/>
      <c r="C663" s="28"/>
      <c r="D663" s="31"/>
      <c r="E663" s="10"/>
      <c r="F663" s="28"/>
      <c r="G663" s="11" t="str">
        <f aca="false">IF(OR(A663="",N(D663)=0),"",IFERROR(D663*(1+IFERROR(IF(ISNUMBER(INDEX(Moldes!$K$5:$K$154,MATCH(A663,Moldes!$A$5:$A$154,0))),INDEX(Moldes!$K$5:$K$154,MATCH(A663,Moldes!$A$5:$A$154,0)),Precios!$Q$12),Precios!$Q$12))*(INDEX(Precios!$F$5:$F$124,MATCH(E663,Precios!$A$5:$A$124,0))+IF(F663="Sí",Precios!$Q$10,0)),"falta $ tela"))</f>
        <v/>
      </c>
      <c r="H663" s="32" t="str">
        <f aca="false">IF(A663="","",A663&amp;"|"&amp;COUNTIF($A$5:A663,A663))</f>
        <v/>
      </c>
    </row>
    <row r="664" customFormat="false" ht="15" hidden="false" customHeight="false" outlineLevel="0" collapsed="false">
      <c r="A664" s="28"/>
      <c r="B664" s="28"/>
      <c r="C664" s="28"/>
      <c r="D664" s="31"/>
      <c r="E664" s="10"/>
      <c r="F664" s="28"/>
      <c r="G664" s="11" t="str">
        <f aca="false">IF(OR(A664="",N(D664)=0),"",IFERROR(D664*(1+IFERROR(IF(ISNUMBER(INDEX(Moldes!$K$5:$K$154,MATCH(A664,Moldes!$A$5:$A$154,0))),INDEX(Moldes!$K$5:$K$154,MATCH(A664,Moldes!$A$5:$A$154,0)),Precios!$Q$12),Precios!$Q$12))*(INDEX(Precios!$F$5:$F$124,MATCH(E664,Precios!$A$5:$A$124,0))+IF(F664="Sí",Precios!$Q$10,0)),"falta $ tela"))</f>
        <v/>
      </c>
      <c r="H664" s="32" t="str">
        <f aca="false">IF(A664="","",A664&amp;"|"&amp;COUNTIF($A$5:A664,A664))</f>
        <v/>
      </c>
    </row>
    <row r="665" customFormat="false" ht="15" hidden="false" customHeight="false" outlineLevel="0" collapsed="false">
      <c r="A665" s="28"/>
      <c r="B665" s="28"/>
      <c r="C665" s="28"/>
      <c r="D665" s="31"/>
      <c r="E665" s="10"/>
      <c r="F665" s="28"/>
      <c r="G665" s="11" t="str">
        <f aca="false">IF(OR(A665="",N(D665)=0),"",IFERROR(D665*(1+IFERROR(IF(ISNUMBER(INDEX(Moldes!$K$5:$K$154,MATCH(A665,Moldes!$A$5:$A$154,0))),INDEX(Moldes!$K$5:$K$154,MATCH(A665,Moldes!$A$5:$A$154,0)),Precios!$Q$12),Precios!$Q$12))*(INDEX(Precios!$F$5:$F$124,MATCH(E665,Precios!$A$5:$A$124,0))+IF(F665="Sí",Precios!$Q$10,0)),"falta $ tela"))</f>
        <v/>
      </c>
      <c r="H665" s="32" t="str">
        <f aca="false">IF(A665="","",A665&amp;"|"&amp;COUNTIF($A$5:A665,A665))</f>
        <v/>
      </c>
    </row>
    <row r="666" customFormat="false" ht="15" hidden="false" customHeight="false" outlineLevel="0" collapsed="false">
      <c r="A666" s="28"/>
      <c r="B666" s="28"/>
      <c r="C666" s="28"/>
      <c r="D666" s="31"/>
      <c r="E666" s="10"/>
      <c r="F666" s="28"/>
      <c r="G666" s="11" t="str">
        <f aca="false">IF(OR(A666="",N(D666)=0),"",IFERROR(D666*(1+IFERROR(IF(ISNUMBER(INDEX(Moldes!$K$5:$K$154,MATCH(A666,Moldes!$A$5:$A$154,0))),INDEX(Moldes!$K$5:$K$154,MATCH(A666,Moldes!$A$5:$A$154,0)),Precios!$Q$12),Precios!$Q$12))*(INDEX(Precios!$F$5:$F$124,MATCH(E666,Precios!$A$5:$A$124,0))+IF(F666="Sí",Precios!$Q$10,0)),"falta $ tela"))</f>
        <v/>
      </c>
      <c r="H666" s="32" t="str">
        <f aca="false">IF(A666="","",A666&amp;"|"&amp;COUNTIF($A$5:A666,A666))</f>
        <v/>
      </c>
    </row>
    <row r="667" customFormat="false" ht="15" hidden="false" customHeight="false" outlineLevel="0" collapsed="false">
      <c r="A667" s="28"/>
      <c r="B667" s="28"/>
      <c r="C667" s="28"/>
      <c r="D667" s="31"/>
      <c r="E667" s="10"/>
      <c r="F667" s="28"/>
      <c r="G667" s="11" t="str">
        <f aca="false">IF(OR(A667="",N(D667)=0),"",IFERROR(D667*(1+IFERROR(IF(ISNUMBER(INDEX(Moldes!$K$5:$K$154,MATCH(A667,Moldes!$A$5:$A$154,0))),INDEX(Moldes!$K$5:$K$154,MATCH(A667,Moldes!$A$5:$A$154,0)),Precios!$Q$12),Precios!$Q$12))*(INDEX(Precios!$F$5:$F$124,MATCH(E667,Precios!$A$5:$A$124,0))+IF(F667="Sí",Precios!$Q$10,0)),"falta $ tela"))</f>
        <v/>
      </c>
      <c r="H667" s="32" t="str">
        <f aca="false">IF(A667="","",A667&amp;"|"&amp;COUNTIF($A$5:A667,A667))</f>
        <v/>
      </c>
    </row>
    <row r="668" customFormat="false" ht="15" hidden="false" customHeight="false" outlineLevel="0" collapsed="false">
      <c r="A668" s="28"/>
      <c r="B668" s="28"/>
      <c r="C668" s="28"/>
      <c r="D668" s="31"/>
      <c r="E668" s="10"/>
      <c r="F668" s="28"/>
      <c r="G668" s="11" t="str">
        <f aca="false">IF(OR(A668="",N(D668)=0),"",IFERROR(D668*(1+IFERROR(IF(ISNUMBER(INDEX(Moldes!$K$5:$K$154,MATCH(A668,Moldes!$A$5:$A$154,0))),INDEX(Moldes!$K$5:$K$154,MATCH(A668,Moldes!$A$5:$A$154,0)),Precios!$Q$12),Precios!$Q$12))*(INDEX(Precios!$F$5:$F$124,MATCH(E668,Precios!$A$5:$A$124,0))+IF(F668="Sí",Precios!$Q$10,0)),"falta $ tela"))</f>
        <v/>
      </c>
      <c r="H668" s="32" t="str">
        <f aca="false">IF(A668="","",A668&amp;"|"&amp;COUNTIF($A$5:A668,A668))</f>
        <v/>
      </c>
    </row>
    <row r="669" customFormat="false" ht="15" hidden="false" customHeight="false" outlineLevel="0" collapsed="false">
      <c r="A669" s="28"/>
      <c r="B669" s="28"/>
      <c r="C669" s="28"/>
      <c r="D669" s="31"/>
      <c r="E669" s="10"/>
      <c r="F669" s="28"/>
      <c r="G669" s="11" t="str">
        <f aca="false">IF(OR(A669="",N(D669)=0),"",IFERROR(D669*(1+IFERROR(IF(ISNUMBER(INDEX(Moldes!$K$5:$K$154,MATCH(A669,Moldes!$A$5:$A$154,0))),INDEX(Moldes!$K$5:$K$154,MATCH(A669,Moldes!$A$5:$A$154,0)),Precios!$Q$12),Precios!$Q$12))*(INDEX(Precios!$F$5:$F$124,MATCH(E669,Precios!$A$5:$A$124,0))+IF(F669="Sí",Precios!$Q$10,0)),"falta $ tela"))</f>
        <v/>
      </c>
      <c r="H669" s="32" t="str">
        <f aca="false">IF(A669="","",A669&amp;"|"&amp;COUNTIF($A$5:A669,A669))</f>
        <v/>
      </c>
    </row>
    <row r="670" customFormat="false" ht="15" hidden="false" customHeight="false" outlineLevel="0" collapsed="false">
      <c r="A670" s="28"/>
      <c r="B670" s="28"/>
      <c r="C670" s="28"/>
      <c r="D670" s="31"/>
      <c r="E670" s="10"/>
      <c r="F670" s="28"/>
      <c r="G670" s="11" t="str">
        <f aca="false">IF(OR(A670="",N(D670)=0),"",IFERROR(D670*(1+IFERROR(IF(ISNUMBER(INDEX(Moldes!$K$5:$K$154,MATCH(A670,Moldes!$A$5:$A$154,0))),INDEX(Moldes!$K$5:$K$154,MATCH(A670,Moldes!$A$5:$A$154,0)),Precios!$Q$12),Precios!$Q$12))*(INDEX(Precios!$F$5:$F$124,MATCH(E670,Precios!$A$5:$A$124,0))+IF(F670="Sí",Precios!$Q$10,0)),"falta $ tela"))</f>
        <v/>
      </c>
      <c r="H670" s="32" t="str">
        <f aca="false">IF(A670="","",A670&amp;"|"&amp;COUNTIF($A$5:A670,A670))</f>
        <v/>
      </c>
    </row>
    <row r="671" customFormat="false" ht="15" hidden="false" customHeight="false" outlineLevel="0" collapsed="false">
      <c r="A671" s="28"/>
      <c r="B671" s="28"/>
      <c r="C671" s="28"/>
      <c r="D671" s="31"/>
      <c r="E671" s="10"/>
      <c r="F671" s="28"/>
      <c r="G671" s="11" t="str">
        <f aca="false">IF(OR(A671="",N(D671)=0),"",IFERROR(D671*(1+IFERROR(IF(ISNUMBER(INDEX(Moldes!$K$5:$K$154,MATCH(A671,Moldes!$A$5:$A$154,0))),INDEX(Moldes!$K$5:$K$154,MATCH(A671,Moldes!$A$5:$A$154,0)),Precios!$Q$12),Precios!$Q$12))*(INDEX(Precios!$F$5:$F$124,MATCH(E671,Precios!$A$5:$A$124,0))+IF(F671="Sí",Precios!$Q$10,0)),"falta $ tela"))</f>
        <v/>
      </c>
      <c r="H671" s="32" t="str">
        <f aca="false">IF(A671="","",A671&amp;"|"&amp;COUNTIF($A$5:A671,A671))</f>
        <v/>
      </c>
    </row>
    <row r="672" customFormat="false" ht="15" hidden="false" customHeight="false" outlineLevel="0" collapsed="false">
      <c r="A672" s="28"/>
      <c r="B672" s="28"/>
      <c r="C672" s="28"/>
      <c r="D672" s="31"/>
      <c r="E672" s="10"/>
      <c r="F672" s="28"/>
      <c r="G672" s="11" t="str">
        <f aca="false">IF(OR(A672="",N(D672)=0),"",IFERROR(D672*(1+IFERROR(IF(ISNUMBER(INDEX(Moldes!$K$5:$K$154,MATCH(A672,Moldes!$A$5:$A$154,0))),INDEX(Moldes!$K$5:$K$154,MATCH(A672,Moldes!$A$5:$A$154,0)),Precios!$Q$12),Precios!$Q$12))*(INDEX(Precios!$F$5:$F$124,MATCH(E672,Precios!$A$5:$A$124,0))+IF(F672="Sí",Precios!$Q$10,0)),"falta $ tela"))</f>
        <v/>
      </c>
      <c r="H672" s="32" t="str">
        <f aca="false">IF(A672="","",A672&amp;"|"&amp;COUNTIF($A$5:A672,A672))</f>
        <v/>
      </c>
    </row>
    <row r="673" customFormat="false" ht="15" hidden="false" customHeight="false" outlineLevel="0" collapsed="false">
      <c r="A673" s="28"/>
      <c r="B673" s="28"/>
      <c r="C673" s="28"/>
      <c r="D673" s="31"/>
      <c r="E673" s="10"/>
      <c r="F673" s="28"/>
      <c r="G673" s="11" t="str">
        <f aca="false">IF(OR(A673="",N(D673)=0),"",IFERROR(D673*(1+IFERROR(IF(ISNUMBER(INDEX(Moldes!$K$5:$K$154,MATCH(A673,Moldes!$A$5:$A$154,0))),INDEX(Moldes!$K$5:$K$154,MATCH(A673,Moldes!$A$5:$A$154,0)),Precios!$Q$12),Precios!$Q$12))*(INDEX(Precios!$F$5:$F$124,MATCH(E673,Precios!$A$5:$A$124,0))+IF(F673="Sí",Precios!$Q$10,0)),"falta $ tela"))</f>
        <v/>
      </c>
      <c r="H673" s="32" t="str">
        <f aca="false">IF(A673="","",A673&amp;"|"&amp;COUNTIF($A$5:A673,A673))</f>
        <v/>
      </c>
    </row>
    <row r="674" customFormat="false" ht="15" hidden="false" customHeight="false" outlineLevel="0" collapsed="false">
      <c r="A674" s="28"/>
      <c r="B674" s="28"/>
      <c r="C674" s="28"/>
      <c r="D674" s="31"/>
      <c r="E674" s="10"/>
      <c r="F674" s="28"/>
      <c r="G674" s="11" t="str">
        <f aca="false">IF(OR(A674="",N(D674)=0),"",IFERROR(D674*(1+IFERROR(IF(ISNUMBER(INDEX(Moldes!$K$5:$K$154,MATCH(A674,Moldes!$A$5:$A$154,0))),INDEX(Moldes!$K$5:$K$154,MATCH(A674,Moldes!$A$5:$A$154,0)),Precios!$Q$12),Precios!$Q$12))*(INDEX(Precios!$F$5:$F$124,MATCH(E674,Precios!$A$5:$A$124,0))+IF(F674="Sí",Precios!$Q$10,0)),"falta $ tela"))</f>
        <v/>
      </c>
      <c r="H674" s="32" t="str">
        <f aca="false">IF(A674="","",A674&amp;"|"&amp;COUNTIF($A$5:A674,A674))</f>
        <v/>
      </c>
    </row>
    <row r="675" customFormat="false" ht="15" hidden="false" customHeight="false" outlineLevel="0" collapsed="false">
      <c r="A675" s="28"/>
      <c r="B675" s="28"/>
      <c r="C675" s="28"/>
      <c r="D675" s="31"/>
      <c r="E675" s="10"/>
      <c r="F675" s="28"/>
      <c r="G675" s="11" t="str">
        <f aca="false">IF(OR(A675="",N(D675)=0),"",IFERROR(D675*(1+IFERROR(IF(ISNUMBER(INDEX(Moldes!$K$5:$K$154,MATCH(A675,Moldes!$A$5:$A$154,0))),INDEX(Moldes!$K$5:$K$154,MATCH(A675,Moldes!$A$5:$A$154,0)),Precios!$Q$12),Precios!$Q$12))*(INDEX(Precios!$F$5:$F$124,MATCH(E675,Precios!$A$5:$A$124,0))+IF(F675="Sí",Precios!$Q$10,0)),"falta $ tela"))</f>
        <v/>
      </c>
      <c r="H675" s="32" t="str">
        <f aca="false">IF(A675="","",A675&amp;"|"&amp;COUNTIF($A$5:A675,A675))</f>
        <v/>
      </c>
    </row>
    <row r="676" customFormat="false" ht="15" hidden="false" customHeight="false" outlineLevel="0" collapsed="false">
      <c r="A676" s="28"/>
      <c r="B676" s="28"/>
      <c r="C676" s="28"/>
      <c r="D676" s="31"/>
      <c r="E676" s="10"/>
      <c r="F676" s="28"/>
      <c r="G676" s="11" t="str">
        <f aca="false">IF(OR(A676="",N(D676)=0),"",IFERROR(D676*(1+IFERROR(IF(ISNUMBER(INDEX(Moldes!$K$5:$K$154,MATCH(A676,Moldes!$A$5:$A$154,0))),INDEX(Moldes!$K$5:$K$154,MATCH(A676,Moldes!$A$5:$A$154,0)),Precios!$Q$12),Precios!$Q$12))*(INDEX(Precios!$F$5:$F$124,MATCH(E676,Precios!$A$5:$A$124,0))+IF(F676="Sí",Precios!$Q$10,0)),"falta $ tela"))</f>
        <v/>
      </c>
      <c r="H676" s="32" t="str">
        <f aca="false">IF(A676="","",A676&amp;"|"&amp;COUNTIF($A$5:A676,A676))</f>
        <v/>
      </c>
    </row>
    <row r="677" customFormat="false" ht="15" hidden="false" customHeight="false" outlineLevel="0" collapsed="false">
      <c r="A677" s="28"/>
      <c r="B677" s="28"/>
      <c r="C677" s="28"/>
      <c r="D677" s="31"/>
      <c r="E677" s="10"/>
      <c r="F677" s="28"/>
      <c r="G677" s="11" t="str">
        <f aca="false">IF(OR(A677="",N(D677)=0),"",IFERROR(D677*(1+IFERROR(IF(ISNUMBER(INDEX(Moldes!$K$5:$K$154,MATCH(A677,Moldes!$A$5:$A$154,0))),INDEX(Moldes!$K$5:$K$154,MATCH(A677,Moldes!$A$5:$A$154,0)),Precios!$Q$12),Precios!$Q$12))*(INDEX(Precios!$F$5:$F$124,MATCH(E677,Precios!$A$5:$A$124,0))+IF(F677="Sí",Precios!$Q$10,0)),"falta $ tela"))</f>
        <v/>
      </c>
      <c r="H677" s="32" t="str">
        <f aca="false">IF(A677="","",A677&amp;"|"&amp;COUNTIF($A$5:A677,A677))</f>
        <v/>
      </c>
    </row>
    <row r="678" customFormat="false" ht="15" hidden="false" customHeight="false" outlineLevel="0" collapsed="false">
      <c r="A678" s="28"/>
      <c r="B678" s="28"/>
      <c r="C678" s="28"/>
      <c r="D678" s="31"/>
      <c r="E678" s="10"/>
      <c r="F678" s="28"/>
      <c r="G678" s="11" t="str">
        <f aca="false">IF(OR(A678="",N(D678)=0),"",IFERROR(D678*(1+IFERROR(IF(ISNUMBER(INDEX(Moldes!$K$5:$K$154,MATCH(A678,Moldes!$A$5:$A$154,0))),INDEX(Moldes!$K$5:$K$154,MATCH(A678,Moldes!$A$5:$A$154,0)),Precios!$Q$12),Precios!$Q$12))*(INDEX(Precios!$F$5:$F$124,MATCH(E678,Precios!$A$5:$A$124,0))+IF(F678="Sí",Precios!$Q$10,0)),"falta $ tela"))</f>
        <v/>
      </c>
      <c r="H678" s="32" t="str">
        <f aca="false">IF(A678="","",A678&amp;"|"&amp;COUNTIF($A$5:A678,A678))</f>
        <v/>
      </c>
    </row>
    <row r="679" customFormat="false" ht="15" hidden="false" customHeight="false" outlineLevel="0" collapsed="false">
      <c r="A679" s="28"/>
      <c r="B679" s="28"/>
      <c r="C679" s="28"/>
      <c r="D679" s="31"/>
      <c r="E679" s="10"/>
      <c r="F679" s="28"/>
      <c r="G679" s="11" t="str">
        <f aca="false">IF(OR(A679="",N(D679)=0),"",IFERROR(D679*(1+IFERROR(IF(ISNUMBER(INDEX(Moldes!$K$5:$K$154,MATCH(A679,Moldes!$A$5:$A$154,0))),INDEX(Moldes!$K$5:$K$154,MATCH(A679,Moldes!$A$5:$A$154,0)),Precios!$Q$12),Precios!$Q$12))*(INDEX(Precios!$F$5:$F$124,MATCH(E679,Precios!$A$5:$A$124,0))+IF(F679="Sí",Precios!$Q$10,0)),"falta $ tela"))</f>
        <v/>
      </c>
      <c r="H679" s="32" t="str">
        <f aca="false">IF(A679="","",A679&amp;"|"&amp;COUNTIF($A$5:A679,A679))</f>
        <v/>
      </c>
    </row>
    <row r="680" customFormat="false" ht="15" hidden="false" customHeight="false" outlineLevel="0" collapsed="false">
      <c r="A680" s="28"/>
      <c r="B680" s="28"/>
      <c r="C680" s="28"/>
      <c r="D680" s="31"/>
      <c r="E680" s="10"/>
      <c r="F680" s="28"/>
      <c r="G680" s="11" t="str">
        <f aca="false">IF(OR(A680="",N(D680)=0),"",IFERROR(D680*(1+IFERROR(IF(ISNUMBER(INDEX(Moldes!$K$5:$K$154,MATCH(A680,Moldes!$A$5:$A$154,0))),INDEX(Moldes!$K$5:$K$154,MATCH(A680,Moldes!$A$5:$A$154,0)),Precios!$Q$12),Precios!$Q$12))*(INDEX(Precios!$F$5:$F$124,MATCH(E680,Precios!$A$5:$A$124,0))+IF(F680="Sí",Precios!$Q$10,0)),"falta $ tela"))</f>
        <v/>
      </c>
      <c r="H680" s="32" t="str">
        <f aca="false">IF(A680="","",A680&amp;"|"&amp;COUNTIF($A$5:A680,A680))</f>
        <v/>
      </c>
    </row>
    <row r="681" customFormat="false" ht="15" hidden="false" customHeight="false" outlineLevel="0" collapsed="false">
      <c r="A681" s="28"/>
      <c r="B681" s="28"/>
      <c r="C681" s="28"/>
      <c r="D681" s="31"/>
      <c r="E681" s="10"/>
      <c r="F681" s="28"/>
      <c r="G681" s="11" t="str">
        <f aca="false">IF(OR(A681="",N(D681)=0),"",IFERROR(D681*(1+IFERROR(IF(ISNUMBER(INDEX(Moldes!$K$5:$K$154,MATCH(A681,Moldes!$A$5:$A$154,0))),INDEX(Moldes!$K$5:$K$154,MATCH(A681,Moldes!$A$5:$A$154,0)),Precios!$Q$12),Precios!$Q$12))*(INDEX(Precios!$F$5:$F$124,MATCH(E681,Precios!$A$5:$A$124,0))+IF(F681="Sí",Precios!$Q$10,0)),"falta $ tela"))</f>
        <v/>
      </c>
      <c r="H681" s="32" t="str">
        <f aca="false">IF(A681="","",A681&amp;"|"&amp;COUNTIF($A$5:A681,A681))</f>
        <v/>
      </c>
    </row>
    <row r="682" customFormat="false" ht="15" hidden="false" customHeight="false" outlineLevel="0" collapsed="false">
      <c r="A682" s="28"/>
      <c r="B682" s="28"/>
      <c r="C682" s="28"/>
      <c r="D682" s="31"/>
      <c r="E682" s="10"/>
      <c r="F682" s="28"/>
      <c r="G682" s="11" t="str">
        <f aca="false">IF(OR(A682="",N(D682)=0),"",IFERROR(D682*(1+IFERROR(IF(ISNUMBER(INDEX(Moldes!$K$5:$K$154,MATCH(A682,Moldes!$A$5:$A$154,0))),INDEX(Moldes!$K$5:$K$154,MATCH(A682,Moldes!$A$5:$A$154,0)),Precios!$Q$12),Precios!$Q$12))*(INDEX(Precios!$F$5:$F$124,MATCH(E682,Precios!$A$5:$A$124,0))+IF(F682="Sí",Precios!$Q$10,0)),"falta $ tela"))</f>
        <v/>
      </c>
      <c r="H682" s="32" t="str">
        <f aca="false">IF(A682="","",A682&amp;"|"&amp;COUNTIF($A$5:A682,A682))</f>
        <v/>
      </c>
    </row>
    <row r="683" customFormat="false" ht="15" hidden="false" customHeight="false" outlineLevel="0" collapsed="false">
      <c r="A683" s="28"/>
      <c r="B683" s="28"/>
      <c r="C683" s="28"/>
      <c r="D683" s="31"/>
      <c r="E683" s="10"/>
      <c r="F683" s="28"/>
      <c r="G683" s="11" t="str">
        <f aca="false">IF(OR(A683="",N(D683)=0),"",IFERROR(D683*(1+IFERROR(IF(ISNUMBER(INDEX(Moldes!$K$5:$K$154,MATCH(A683,Moldes!$A$5:$A$154,0))),INDEX(Moldes!$K$5:$K$154,MATCH(A683,Moldes!$A$5:$A$154,0)),Precios!$Q$12),Precios!$Q$12))*(INDEX(Precios!$F$5:$F$124,MATCH(E683,Precios!$A$5:$A$124,0))+IF(F683="Sí",Precios!$Q$10,0)),"falta $ tela"))</f>
        <v/>
      </c>
      <c r="H683" s="32" t="str">
        <f aca="false">IF(A683="","",A683&amp;"|"&amp;COUNTIF($A$5:A683,A683))</f>
        <v/>
      </c>
    </row>
    <row r="684" customFormat="false" ht="15" hidden="false" customHeight="false" outlineLevel="0" collapsed="false">
      <c r="A684" s="28"/>
      <c r="B684" s="28"/>
      <c r="C684" s="28"/>
      <c r="D684" s="31"/>
      <c r="E684" s="10"/>
      <c r="F684" s="28"/>
      <c r="G684" s="11" t="str">
        <f aca="false">IF(OR(A684="",N(D684)=0),"",IFERROR(D684*(1+IFERROR(IF(ISNUMBER(INDEX(Moldes!$K$5:$K$154,MATCH(A684,Moldes!$A$5:$A$154,0))),INDEX(Moldes!$K$5:$K$154,MATCH(A684,Moldes!$A$5:$A$154,0)),Precios!$Q$12),Precios!$Q$12))*(INDEX(Precios!$F$5:$F$124,MATCH(E684,Precios!$A$5:$A$124,0))+IF(F684="Sí",Precios!$Q$10,0)),"falta $ tela"))</f>
        <v/>
      </c>
      <c r="H684" s="32" t="str">
        <f aca="false">IF(A684="","",A684&amp;"|"&amp;COUNTIF($A$5:A684,A684))</f>
        <v/>
      </c>
    </row>
    <row r="685" customFormat="false" ht="15" hidden="false" customHeight="false" outlineLevel="0" collapsed="false">
      <c r="A685" s="28"/>
      <c r="B685" s="28"/>
      <c r="C685" s="28"/>
      <c r="D685" s="31"/>
      <c r="E685" s="10"/>
      <c r="F685" s="28"/>
      <c r="G685" s="11" t="str">
        <f aca="false">IF(OR(A685="",N(D685)=0),"",IFERROR(D685*(1+IFERROR(IF(ISNUMBER(INDEX(Moldes!$K$5:$K$154,MATCH(A685,Moldes!$A$5:$A$154,0))),INDEX(Moldes!$K$5:$K$154,MATCH(A685,Moldes!$A$5:$A$154,0)),Precios!$Q$12),Precios!$Q$12))*(INDEX(Precios!$F$5:$F$124,MATCH(E685,Precios!$A$5:$A$124,0))+IF(F685="Sí",Precios!$Q$10,0)),"falta $ tela"))</f>
        <v/>
      </c>
      <c r="H685" s="32" t="str">
        <f aca="false">IF(A685="","",A685&amp;"|"&amp;COUNTIF($A$5:A685,A685))</f>
        <v/>
      </c>
    </row>
    <row r="686" customFormat="false" ht="15" hidden="false" customHeight="false" outlineLevel="0" collapsed="false">
      <c r="A686" s="28"/>
      <c r="B686" s="28"/>
      <c r="C686" s="28"/>
      <c r="D686" s="31"/>
      <c r="E686" s="10"/>
      <c r="F686" s="28"/>
      <c r="G686" s="11" t="str">
        <f aca="false">IF(OR(A686="",N(D686)=0),"",IFERROR(D686*(1+IFERROR(IF(ISNUMBER(INDEX(Moldes!$K$5:$K$154,MATCH(A686,Moldes!$A$5:$A$154,0))),INDEX(Moldes!$K$5:$K$154,MATCH(A686,Moldes!$A$5:$A$154,0)),Precios!$Q$12),Precios!$Q$12))*(INDEX(Precios!$F$5:$F$124,MATCH(E686,Precios!$A$5:$A$124,0))+IF(F686="Sí",Precios!$Q$10,0)),"falta $ tela"))</f>
        <v/>
      </c>
      <c r="H686" s="32" t="str">
        <f aca="false">IF(A686="","",A686&amp;"|"&amp;COUNTIF($A$5:A686,A686))</f>
        <v/>
      </c>
    </row>
    <row r="687" customFormat="false" ht="15" hidden="false" customHeight="false" outlineLevel="0" collapsed="false">
      <c r="A687" s="28"/>
      <c r="B687" s="28"/>
      <c r="C687" s="28"/>
      <c r="D687" s="31"/>
      <c r="E687" s="10"/>
      <c r="F687" s="28"/>
      <c r="G687" s="11" t="str">
        <f aca="false">IF(OR(A687="",N(D687)=0),"",IFERROR(D687*(1+IFERROR(IF(ISNUMBER(INDEX(Moldes!$K$5:$K$154,MATCH(A687,Moldes!$A$5:$A$154,0))),INDEX(Moldes!$K$5:$K$154,MATCH(A687,Moldes!$A$5:$A$154,0)),Precios!$Q$12),Precios!$Q$12))*(INDEX(Precios!$F$5:$F$124,MATCH(E687,Precios!$A$5:$A$124,0))+IF(F687="Sí",Precios!$Q$10,0)),"falta $ tela"))</f>
        <v/>
      </c>
      <c r="H687" s="32" t="str">
        <f aca="false">IF(A687="","",A687&amp;"|"&amp;COUNTIF($A$5:A687,A687))</f>
        <v/>
      </c>
    </row>
    <row r="688" customFormat="false" ht="15" hidden="false" customHeight="false" outlineLevel="0" collapsed="false">
      <c r="A688" s="28"/>
      <c r="B688" s="28"/>
      <c r="C688" s="28"/>
      <c r="D688" s="31"/>
      <c r="E688" s="10"/>
      <c r="F688" s="28"/>
      <c r="G688" s="11" t="str">
        <f aca="false">IF(OR(A688="",N(D688)=0),"",IFERROR(D688*(1+IFERROR(IF(ISNUMBER(INDEX(Moldes!$K$5:$K$154,MATCH(A688,Moldes!$A$5:$A$154,0))),INDEX(Moldes!$K$5:$K$154,MATCH(A688,Moldes!$A$5:$A$154,0)),Precios!$Q$12),Precios!$Q$12))*(INDEX(Precios!$F$5:$F$124,MATCH(E688,Precios!$A$5:$A$124,0))+IF(F688="Sí",Precios!$Q$10,0)),"falta $ tela"))</f>
        <v/>
      </c>
      <c r="H688" s="32" t="str">
        <f aca="false">IF(A688="","",A688&amp;"|"&amp;COUNTIF($A$5:A688,A688))</f>
        <v/>
      </c>
    </row>
    <row r="689" customFormat="false" ht="15" hidden="false" customHeight="false" outlineLevel="0" collapsed="false">
      <c r="A689" s="28"/>
      <c r="B689" s="28"/>
      <c r="C689" s="28"/>
      <c r="D689" s="31"/>
      <c r="E689" s="10"/>
      <c r="F689" s="28"/>
      <c r="G689" s="11" t="str">
        <f aca="false">IF(OR(A689="",N(D689)=0),"",IFERROR(D689*(1+IFERROR(IF(ISNUMBER(INDEX(Moldes!$K$5:$K$154,MATCH(A689,Moldes!$A$5:$A$154,0))),INDEX(Moldes!$K$5:$K$154,MATCH(A689,Moldes!$A$5:$A$154,0)),Precios!$Q$12),Precios!$Q$12))*(INDEX(Precios!$F$5:$F$124,MATCH(E689,Precios!$A$5:$A$124,0))+IF(F689="Sí",Precios!$Q$10,0)),"falta $ tela"))</f>
        <v/>
      </c>
      <c r="H689" s="32" t="str">
        <f aca="false">IF(A689="","",A689&amp;"|"&amp;COUNTIF($A$5:A689,A689))</f>
        <v/>
      </c>
    </row>
    <row r="690" customFormat="false" ht="15" hidden="false" customHeight="false" outlineLevel="0" collapsed="false">
      <c r="A690" s="28"/>
      <c r="B690" s="28"/>
      <c r="C690" s="28"/>
      <c r="D690" s="31"/>
      <c r="E690" s="10"/>
      <c r="F690" s="28"/>
      <c r="G690" s="11" t="str">
        <f aca="false">IF(OR(A690="",N(D690)=0),"",IFERROR(D690*(1+IFERROR(IF(ISNUMBER(INDEX(Moldes!$K$5:$K$154,MATCH(A690,Moldes!$A$5:$A$154,0))),INDEX(Moldes!$K$5:$K$154,MATCH(A690,Moldes!$A$5:$A$154,0)),Precios!$Q$12),Precios!$Q$12))*(INDEX(Precios!$F$5:$F$124,MATCH(E690,Precios!$A$5:$A$124,0))+IF(F690="Sí",Precios!$Q$10,0)),"falta $ tela"))</f>
        <v/>
      </c>
      <c r="H690" s="32" t="str">
        <f aca="false">IF(A690="","",A690&amp;"|"&amp;COUNTIF($A$5:A690,A690))</f>
        <v/>
      </c>
    </row>
    <row r="691" customFormat="false" ht="15" hidden="false" customHeight="false" outlineLevel="0" collapsed="false">
      <c r="A691" s="28"/>
      <c r="B691" s="28"/>
      <c r="C691" s="28"/>
      <c r="D691" s="31"/>
      <c r="E691" s="10"/>
      <c r="F691" s="28"/>
      <c r="G691" s="11" t="str">
        <f aca="false">IF(OR(A691="",N(D691)=0),"",IFERROR(D691*(1+IFERROR(IF(ISNUMBER(INDEX(Moldes!$K$5:$K$154,MATCH(A691,Moldes!$A$5:$A$154,0))),INDEX(Moldes!$K$5:$K$154,MATCH(A691,Moldes!$A$5:$A$154,0)),Precios!$Q$12),Precios!$Q$12))*(INDEX(Precios!$F$5:$F$124,MATCH(E691,Precios!$A$5:$A$124,0))+IF(F691="Sí",Precios!$Q$10,0)),"falta $ tela"))</f>
        <v/>
      </c>
      <c r="H691" s="32" t="str">
        <f aca="false">IF(A691="","",A691&amp;"|"&amp;COUNTIF($A$5:A691,A691))</f>
        <v/>
      </c>
    </row>
    <row r="692" customFormat="false" ht="15" hidden="false" customHeight="false" outlineLevel="0" collapsed="false">
      <c r="A692" s="28"/>
      <c r="B692" s="28"/>
      <c r="C692" s="28"/>
      <c r="D692" s="31"/>
      <c r="E692" s="10"/>
      <c r="F692" s="28"/>
      <c r="G692" s="11" t="str">
        <f aca="false">IF(OR(A692="",N(D692)=0),"",IFERROR(D692*(1+IFERROR(IF(ISNUMBER(INDEX(Moldes!$K$5:$K$154,MATCH(A692,Moldes!$A$5:$A$154,0))),INDEX(Moldes!$K$5:$K$154,MATCH(A692,Moldes!$A$5:$A$154,0)),Precios!$Q$12),Precios!$Q$12))*(INDEX(Precios!$F$5:$F$124,MATCH(E692,Precios!$A$5:$A$124,0))+IF(F692="Sí",Precios!$Q$10,0)),"falta $ tela"))</f>
        <v/>
      </c>
      <c r="H692" s="32" t="str">
        <f aca="false">IF(A692="","",A692&amp;"|"&amp;COUNTIF($A$5:A692,A692))</f>
        <v/>
      </c>
    </row>
    <row r="693" customFormat="false" ht="15" hidden="false" customHeight="false" outlineLevel="0" collapsed="false">
      <c r="A693" s="28"/>
      <c r="B693" s="28"/>
      <c r="C693" s="28"/>
      <c r="D693" s="31"/>
      <c r="E693" s="10"/>
      <c r="F693" s="28"/>
      <c r="G693" s="11" t="str">
        <f aca="false">IF(OR(A693="",N(D693)=0),"",IFERROR(D693*(1+IFERROR(IF(ISNUMBER(INDEX(Moldes!$K$5:$K$154,MATCH(A693,Moldes!$A$5:$A$154,0))),INDEX(Moldes!$K$5:$K$154,MATCH(A693,Moldes!$A$5:$A$154,0)),Precios!$Q$12),Precios!$Q$12))*(INDEX(Precios!$F$5:$F$124,MATCH(E693,Precios!$A$5:$A$124,0))+IF(F693="Sí",Precios!$Q$10,0)),"falta $ tela"))</f>
        <v/>
      </c>
      <c r="H693" s="32" t="str">
        <f aca="false">IF(A693="","",A693&amp;"|"&amp;COUNTIF($A$5:A693,A693))</f>
        <v/>
      </c>
    </row>
    <row r="694" customFormat="false" ht="15" hidden="false" customHeight="false" outlineLevel="0" collapsed="false">
      <c r="A694" s="28"/>
      <c r="B694" s="28"/>
      <c r="C694" s="28"/>
      <c r="D694" s="31"/>
      <c r="E694" s="10"/>
      <c r="F694" s="28"/>
      <c r="G694" s="11" t="str">
        <f aca="false">IF(OR(A694="",N(D694)=0),"",IFERROR(D694*(1+IFERROR(IF(ISNUMBER(INDEX(Moldes!$K$5:$K$154,MATCH(A694,Moldes!$A$5:$A$154,0))),INDEX(Moldes!$K$5:$K$154,MATCH(A694,Moldes!$A$5:$A$154,0)),Precios!$Q$12),Precios!$Q$12))*(INDEX(Precios!$F$5:$F$124,MATCH(E694,Precios!$A$5:$A$124,0))+IF(F694="Sí",Precios!$Q$10,0)),"falta $ tela"))</f>
        <v/>
      </c>
      <c r="H694" s="32" t="str">
        <f aca="false">IF(A694="","",A694&amp;"|"&amp;COUNTIF($A$5:A694,A694))</f>
        <v/>
      </c>
    </row>
    <row r="695" customFormat="false" ht="15" hidden="false" customHeight="false" outlineLevel="0" collapsed="false">
      <c r="A695" s="28"/>
      <c r="B695" s="28"/>
      <c r="C695" s="28"/>
      <c r="D695" s="31"/>
      <c r="E695" s="10"/>
      <c r="F695" s="28"/>
      <c r="G695" s="11" t="str">
        <f aca="false">IF(OR(A695="",N(D695)=0),"",IFERROR(D695*(1+IFERROR(IF(ISNUMBER(INDEX(Moldes!$K$5:$K$154,MATCH(A695,Moldes!$A$5:$A$154,0))),INDEX(Moldes!$K$5:$K$154,MATCH(A695,Moldes!$A$5:$A$154,0)),Precios!$Q$12),Precios!$Q$12))*(INDEX(Precios!$F$5:$F$124,MATCH(E695,Precios!$A$5:$A$124,0))+IF(F695="Sí",Precios!$Q$10,0)),"falta $ tela"))</f>
        <v/>
      </c>
      <c r="H695" s="32" t="str">
        <f aca="false">IF(A695="","",A695&amp;"|"&amp;COUNTIF($A$5:A695,A695))</f>
        <v/>
      </c>
    </row>
    <row r="696" customFormat="false" ht="15" hidden="false" customHeight="false" outlineLevel="0" collapsed="false">
      <c r="A696" s="28"/>
      <c r="B696" s="28"/>
      <c r="C696" s="28"/>
      <c r="D696" s="31"/>
      <c r="E696" s="10"/>
      <c r="F696" s="28"/>
      <c r="G696" s="11" t="str">
        <f aca="false">IF(OR(A696="",N(D696)=0),"",IFERROR(D696*(1+IFERROR(IF(ISNUMBER(INDEX(Moldes!$K$5:$K$154,MATCH(A696,Moldes!$A$5:$A$154,0))),INDEX(Moldes!$K$5:$K$154,MATCH(A696,Moldes!$A$5:$A$154,0)),Precios!$Q$12),Precios!$Q$12))*(INDEX(Precios!$F$5:$F$124,MATCH(E696,Precios!$A$5:$A$124,0))+IF(F696="Sí",Precios!$Q$10,0)),"falta $ tela"))</f>
        <v/>
      </c>
      <c r="H696" s="32" t="str">
        <f aca="false">IF(A696="","",A696&amp;"|"&amp;COUNTIF($A$5:A696,A696))</f>
        <v/>
      </c>
    </row>
    <row r="697" customFormat="false" ht="15" hidden="false" customHeight="false" outlineLevel="0" collapsed="false">
      <c r="A697" s="28"/>
      <c r="B697" s="28"/>
      <c r="C697" s="28"/>
      <c r="D697" s="31"/>
      <c r="E697" s="10"/>
      <c r="F697" s="28"/>
      <c r="G697" s="11" t="str">
        <f aca="false">IF(OR(A697="",N(D697)=0),"",IFERROR(D697*(1+IFERROR(IF(ISNUMBER(INDEX(Moldes!$K$5:$K$154,MATCH(A697,Moldes!$A$5:$A$154,0))),INDEX(Moldes!$K$5:$K$154,MATCH(A697,Moldes!$A$5:$A$154,0)),Precios!$Q$12),Precios!$Q$12))*(INDEX(Precios!$F$5:$F$124,MATCH(E697,Precios!$A$5:$A$124,0))+IF(F697="Sí",Precios!$Q$10,0)),"falta $ tela"))</f>
        <v/>
      </c>
      <c r="H697" s="32" t="str">
        <f aca="false">IF(A697="","",A697&amp;"|"&amp;COUNTIF($A$5:A697,A697))</f>
        <v/>
      </c>
    </row>
    <row r="698" customFormat="false" ht="15" hidden="false" customHeight="false" outlineLevel="0" collapsed="false">
      <c r="A698" s="28"/>
      <c r="B698" s="28"/>
      <c r="C698" s="28"/>
      <c r="D698" s="31"/>
      <c r="E698" s="10"/>
      <c r="F698" s="28"/>
      <c r="G698" s="11" t="str">
        <f aca="false">IF(OR(A698="",N(D698)=0),"",IFERROR(D698*(1+IFERROR(IF(ISNUMBER(INDEX(Moldes!$K$5:$K$154,MATCH(A698,Moldes!$A$5:$A$154,0))),INDEX(Moldes!$K$5:$K$154,MATCH(A698,Moldes!$A$5:$A$154,0)),Precios!$Q$12),Precios!$Q$12))*(INDEX(Precios!$F$5:$F$124,MATCH(E698,Precios!$A$5:$A$124,0))+IF(F698="Sí",Precios!$Q$10,0)),"falta $ tela"))</f>
        <v/>
      </c>
      <c r="H698" s="32" t="str">
        <f aca="false">IF(A698="","",A698&amp;"|"&amp;COUNTIF($A$5:A698,A698))</f>
        <v/>
      </c>
    </row>
    <row r="699" customFormat="false" ht="15" hidden="false" customHeight="false" outlineLevel="0" collapsed="false">
      <c r="A699" s="28"/>
      <c r="B699" s="28"/>
      <c r="C699" s="28"/>
      <c r="D699" s="31"/>
      <c r="E699" s="10"/>
      <c r="F699" s="28"/>
      <c r="G699" s="11" t="str">
        <f aca="false">IF(OR(A699="",N(D699)=0),"",IFERROR(D699*(1+IFERROR(IF(ISNUMBER(INDEX(Moldes!$K$5:$K$154,MATCH(A699,Moldes!$A$5:$A$154,0))),INDEX(Moldes!$K$5:$K$154,MATCH(A699,Moldes!$A$5:$A$154,0)),Precios!$Q$12),Precios!$Q$12))*(INDEX(Precios!$F$5:$F$124,MATCH(E699,Precios!$A$5:$A$124,0))+IF(F699="Sí",Precios!$Q$10,0)),"falta $ tela"))</f>
        <v/>
      </c>
      <c r="H699" s="32" t="str">
        <f aca="false">IF(A699="","",A699&amp;"|"&amp;COUNTIF($A$5:A699,A699))</f>
        <v/>
      </c>
    </row>
    <row r="700" customFormat="false" ht="15" hidden="false" customHeight="false" outlineLevel="0" collapsed="false">
      <c r="A700" s="28"/>
      <c r="B700" s="28"/>
      <c r="C700" s="28"/>
      <c r="D700" s="31"/>
      <c r="E700" s="10"/>
      <c r="F700" s="28"/>
      <c r="G700" s="11" t="str">
        <f aca="false">IF(OR(A700="",N(D700)=0),"",IFERROR(D700*(1+IFERROR(IF(ISNUMBER(INDEX(Moldes!$K$5:$K$154,MATCH(A700,Moldes!$A$5:$A$154,0))),INDEX(Moldes!$K$5:$K$154,MATCH(A700,Moldes!$A$5:$A$154,0)),Precios!$Q$12),Precios!$Q$12))*(INDEX(Precios!$F$5:$F$124,MATCH(E700,Precios!$A$5:$A$124,0))+IF(F700="Sí",Precios!$Q$10,0)),"falta $ tela"))</f>
        <v/>
      </c>
      <c r="H700" s="32" t="str">
        <f aca="false">IF(A700="","",A700&amp;"|"&amp;COUNTIF($A$5:A700,A700))</f>
        <v/>
      </c>
    </row>
    <row r="701" customFormat="false" ht="15" hidden="false" customHeight="false" outlineLevel="0" collapsed="false">
      <c r="A701" s="28"/>
      <c r="B701" s="28"/>
      <c r="C701" s="28"/>
      <c r="D701" s="31"/>
      <c r="E701" s="10"/>
      <c r="F701" s="28"/>
      <c r="G701" s="11" t="str">
        <f aca="false">IF(OR(A701="",N(D701)=0),"",IFERROR(D701*(1+IFERROR(IF(ISNUMBER(INDEX(Moldes!$K$5:$K$154,MATCH(A701,Moldes!$A$5:$A$154,0))),INDEX(Moldes!$K$5:$K$154,MATCH(A701,Moldes!$A$5:$A$154,0)),Precios!$Q$12),Precios!$Q$12))*(INDEX(Precios!$F$5:$F$124,MATCH(E701,Precios!$A$5:$A$124,0))+IF(F701="Sí",Precios!$Q$10,0)),"falta $ tela"))</f>
        <v/>
      </c>
      <c r="H701" s="32" t="str">
        <f aca="false">IF(A701="","",A701&amp;"|"&amp;COUNTIF($A$5:A701,A701))</f>
        <v/>
      </c>
    </row>
    <row r="702" customFormat="false" ht="15" hidden="false" customHeight="false" outlineLevel="0" collapsed="false">
      <c r="A702" s="28"/>
      <c r="B702" s="28"/>
      <c r="C702" s="28"/>
      <c r="D702" s="31"/>
      <c r="E702" s="10"/>
      <c r="F702" s="28"/>
      <c r="G702" s="11" t="str">
        <f aca="false">IF(OR(A702="",N(D702)=0),"",IFERROR(D702*(1+IFERROR(IF(ISNUMBER(INDEX(Moldes!$K$5:$K$154,MATCH(A702,Moldes!$A$5:$A$154,0))),INDEX(Moldes!$K$5:$K$154,MATCH(A702,Moldes!$A$5:$A$154,0)),Precios!$Q$12),Precios!$Q$12))*(INDEX(Precios!$F$5:$F$124,MATCH(E702,Precios!$A$5:$A$124,0))+IF(F702="Sí",Precios!$Q$10,0)),"falta $ tela"))</f>
        <v/>
      </c>
      <c r="H702" s="32" t="str">
        <f aca="false">IF(A702="","",A702&amp;"|"&amp;COUNTIF($A$5:A702,A702))</f>
        <v/>
      </c>
    </row>
    <row r="703" customFormat="false" ht="15" hidden="false" customHeight="false" outlineLevel="0" collapsed="false">
      <c r="A703" s="28"/>
      <c r="B703" s="28"/>
      <c r="C703" s="28"/>
      <c r="D703" s="31"/>
      <c r="E703" s="10"/>
      <c r="F703" s="28"/>
      <c r="G703" s="11" t="str">
        <f aca="false">IF(OR(A703="",N(D703)=0),"",IFERROR(D703*(1+IFERROR(IF(ISNUMBER(INDEX(Moldes!$K$5:$K$154,MATCH(A703,Moldes!$A$5:$A$154,0))),INDEX(Moldes!$K$5:$K$154,MATCH(A703,Moldes!$A$5:$A$154,0)),Precios!$Q$12),Precios!$Q$12))*(INDEX(Precios!$F$5:$F$124,MATCH(E703,Precios!$A$5:$A$124,0))+IF(F703="Sí",Precios!$Q$10,0)),"falta $ tela"))</f>
        <v/>
      </c>
      <c r="H703" s="32" t="str">
        <f aca="false">IF(A703="","",A703&amp;"|"&amp;COUNTIF($A$5:A703,A703))</f>
        <v/>
      </c>
    </row>
    <row r="704" customFormat="false" ht="15" hidden="false" customHeight="false" outlineLevel="0" collapsed="false">
      <c r="A704" s="28"/>
      <c r="B704" s="28"/>
      <c r="C704" s="28"/>
      <c r="D704" s="31"/>
      <c r="E704" s="10"/>
      <c r="F704" s="28"/>
      <c r="G704" s="11" t="str">
        <f aca="false">IF(OR(A704="",N(D704)=0),"",IFERROR(D704*(1+IFERROR(IF(ISNUMBER(INDEX(Moldes!$K$5:$K$154,MATCH(A704,Moldes!$A$5:$A$154,0))),INDEX(Moldes!$K$5:$K$154,MATCH(A704,Moldes!$A$5:$A$154,0)),Precios!$Q$12),Precios!$Q$12))*(INDEX(Precios!$F$5:$F$124,MATCH(E704,Precios!$A$5:$A$124,0))+IF(F704="Sí",Precios!$Q$10,0)),"falta $ tela"))</f>
        <v/>
      </c>
      <c r="H704" s="32" t="str">
        <f aca="false">IF(A704="","",A704&amp;"|"&amp;COUNTIF($A$5:A704,A704))</f>
        <v/>
      </c>
    </row>
    <row r="705" customFormat="false" ht="15" hidden="false" customHeight="false" outlineLevel="0" collapsed="false">
      <c r="A705" s="28"/>
      <c r="B705" s="28"/>
      <c r="C705" s="28"/>
      <c r="D705" s="31"/>
      <c r="E705" s="10"/>
      <c r="F705" s="28"/>
      <c r="G705" s="11" t="str">
        <f aca="false">IF(OR(A705="",N(D705)=0),"",IFERROR(D705*(1+IFERROR(IF(ISNUMBER(INDEX(Moldes!$K$5:$K$154,MATCH(A705,Moldes!$A$5:$A$154,0))),INDEX(Moldes!$K$5:$K$154,MATCH(A705,Moldes!$A$5:$A$154,0)),Precios!$Q$12),Precios!$Q$12))*(INDEX(Precios!$F$5:$F$124,MATCH(E705,Precios!$A$5:$A$124,0))+IF(F705="Sí",Precios!$Q$10,0)),"falta $ tela"))</f>
        <v/>
      </c>
      <c r="H705" s="32" t="str">
        <f aca="false">IF(A705="","",A705&amp;"|"&amp;COUNTIF($A$5:A705,A705))</f>
        <v/>
      </c>
    </row>
    <row r="706" customFormat="false" ht="15" hidden="false" customHeight="false" outlineLevel="0" collapsed="false">
      <c r="A706" s="28"/>
      <c r="B706" s="28"/>
      <c r="C706" s="28"/>
      <c r="D706" s="31"/>
      <c r="E706" s="10"/>
      <c r="F706" s="28"/>
      <c r="G706" s="11" t="str">
        <f aca="false">IF(OR(A706="",N(D706)=0),"",IFERROR(D706*(1+IFERROR(IF(ISNUMBER(INDEX(Moldes!$K$5:$K$154,MATCH(A706,Moldes!$A$5:$A$154,0))),INDEX(Moldes!$K$5:$K$154,MATCH(A706,Moldes!$A$5:$A$154,0)),Precios!$Q$12),Precios!$Q$12))*(INDEX(Precios!$F$5:$F$124,MATCH(E706,Precios!$A$5:$A$124,0))+IF(F706="Sí",Precios!$Q$10,0)),"falta $ tela"))</f>
        <v/>
      </c>
      <c r="H706" s="32" t="str">
        <f aca="false">IF(A706="","",A706&amp;"|"&amp;COUNTIF($A$5:A706,A706))</f>
        <v/>
      </c>
    </row>
    <row r="707" customFormat="false" ht="15" hidden="false" customHeight="false" outlineLevel="0" collapsed="false">
      <c r="A707" s="28"/>
      <c r="B707" s="28"/>
      <c r="C707" s="28"/>
      <c r="D707" s="31"/>
      <c r="E707" s="10"/>
      <c r="F707" s="28"/>
      <c r="G707" s="11" t="str">
        <f aca="false">IF(OR(A707="",N(D707)=0),"",IFERROR(D707*(1+IFERROR(IF(ISNUMBER(INDEX(Moldes!$K$5:$K$154,MATCH(A707,Moldes!$A$5:$A$154,0))),INDEX(Moldes!$K$5:$K$154,MATCH(A707,Moldes!$A$5:$A$154,0)),Precios!$Q$12),Precios!$Q$12))*(INDEX(Precios!$F$5:$F$124,MATCH(E707,Precios!$A$5:$A$124,0))+IF(F707="Sí",Precios!$Q$10,0)),"falta $ tela"))</f>
        <v/>
      </c>
      <c r="H707" s="32" t="str">
        <f aca="false">IF(A707="","",A707&amp;"|"&amp;COUNTIF($A$5:A707,A707))</f>
        <v/>
      </c>
    </row>
    <row r="708" customFormat="false" ht="15" hidden="false" customHeight="false" outlineLevel="0" collapsed="false">
      <c r="A708" s="28"/>
      <c r="B708" s="28"/>
      <c r="C708" s="28"/>
      <c r="D708" s="31"/>
      <c r="E708" s="10"/>
      <c r="F708" s="28"/>
      <c r="G708" s="11" t="str">
        <f aca="false">IF(OR(A708="",N(D708)=0),"",IFERROR(D708*(1+IFERROR(IF(ISNUMBER(INDEX(Moldes!$K$5:$K$154,MATCH(A708,Moldes!$A$5:$A$154,0))),INDEX(Moldes!$K$5:$K$154,MATCH(A708,Moldes!$A$5:$A$154,0)),Precios!$Q$12),Precios!$Q$12))*(INDEX(Precios!$F$5:$F$124,MATCH(E708,Precios!$A$5:$A$124,0))+IF(F708="Sí",Precios!$Q$10,0)),"falta $ tela"))</f>
        <v/>
      </c>
      <c r="H708" s="32" t="str">
        <f aca="false">IF(A708="","",A708&amp;"|"&amp;COUNTIF($A$5:A708,A708))</f>
        <v/>
      </c>
    </row>
    <row r="709" customFormat="false" ht="15" hidden="false" customHeight="false" outlineLevel="0" collapsed="false">
      <c r="A709" s="28"/>
      <c r="B709" s="28"/>
      <c r="C709" s="28"/>
      <c r="D709" s="31"/>
      <c r="E709" s="10"/>
      <c r="F709" s="28"/>
      <c r="G709" s="11" t="str">
        <f aca="false">IF(OR(A709="",N(D709)=0),"",IFERROR(D709*(1+IFERROR(IF(ISNUMBER(INDEX(Moldes!$K$5:$K$154,MATCH(A709,Moldes!$A$5:$A$154,0))),INDEX(Moldes!$K$5:$K$154,MATCH(A709,Moldes!$A$5:$A$154,0)),Precios!$Q$12),Precios!$Q$12))*(INDEX(Precios!$F$5:$F$124,MATCH(E709,Precios!$A$5:$A$124,0))+IF(F709="Sí",Precios!$Q$10,0)),"falta $ tela"))</f>
        <v/>
      </c>
      <c r="H709" s="32" t="str">
        <f aca="false">IF(A709="","",A709&amp;"|"&amp;COUNTIF($A$5:A709,A709))</f>
        <v/>
      </c>
    </row>
    <row r="710" customFormat="false" ht="15" hidden="false" customHeight="false" outlineLevel="0" collapsed="false">
      <c r="A710" s="28"/>
      <c r="B710" s="28"/>
      <c r="C710" s="28"/>
      <c r="D710" s="31"/>
      <c r="E710" s="10"/>
      <c r="F710" s="28"/>
      <c r="G710" s="11" t="str">
        <f aca="false">IF(OR(A710="",N(D710)=0),"",IFERROR(D710*(1+IFERROR(IF(ISNUMBER(INDEX(Moldes!$K$5:$K$154,MATCH(A710,Moldes!$A$5:$A$154,0))),INDEX(Moldes!$K$5:$K$154,MATCH(A710,Moldes!$A$5:$A$154,0)),Precios!$Q$12),Precios!$Q$12))*(INDEX(Precios!$F$5:$F$124,MATCH(E710,Precios!$A$5:$A$124,0))+IF(F710="Sí",Precios!$Q$10,0)),"falta $ tela"))</f>
        <v/>
      </c>
      <c r="H710" s="32" t="str">
        <f aca="false">IF(A710="","",A710&amp;"|"&amp;COUNTIF($A$5:A710,A710))</f>
        <v/>
      </c>
    </row>
    <row r="711" customFormat="false" ht="15" hidden="false" customHeight="false" outlineLevel="0" collapsed="false">
      <c r="A711" s="28"/>
      <c r="B711" s="28"/>
      <c r="C711" s="28"/>
      <c r="D711" s="31"/>
      <c r="E711" s="10"/>
      <c r="F711" s="28"/>
      <c r="G711" s="11" t="str">
        <f aca="false">IF(OR(A711="",N(D711)=0),"",IFERROR(D711*(1+IFERROR(IF(ISNUMBER(INDEX(Moldes!$K$5:$K$154,MATCH(A711,Moldes!$A$5:$A$154,0))),INDEX(Moldes!$K$5:$K$154,MATCH(A711,Moldes!$A$5:$A$154,0)),Precios!$Q$12),Precios!$Q$12))*(INDEX(Precios!$F$5:$F$124,MATCH(E711,Precios!$A$5:$A$124,0))+IF(F711="Sí",Precios!$Q$10,0)),"falta $ tela"))</f>
        <v/>
      </c>
      <c r="H711" s="32" t="str">
        <f aca="false">IF(A711="","",A711&amp;"|"&amp;COUNTIF($A$5:A711,A711))</f>
        <v/>
      </c>
    </row>
    <row r="712" customFormat="false" ht="15" hidden="false" customHeight="false" outlineLevel="0" collapsed="false">
      <c r="A712" s="28"/>
      <c r="B712" s="28"/>
      <c r="C712" s="28"/>
      <c r="D712" s="31"/>
      <c r="E712" s="10"/>
      <c r="F712" s="28"/>
      <c r="G712" s="11" t="str">
        <f aca="false">IF(OR(A712="",N(D712)=0),"",IFERROR(D712*(1+IFERROR(IF(ISNUMBER(INDEX(Moldes!$K$5:$K$154,MATCH(A712,Moldes!$A$5:$A$154,0))),INDEX(Moldes!$K$5:$K$154,MATCH(A712,Moldes!$A$5:$A$154,0)),Precios!$Q$12),Precios!$Q$12))*(INDEX(Precios!$F$5:$F$124,MATCH(E712,Precios!$A$5:$A$124,0))+IF(F712="Sí",Precios!$Q$10,0)),"falta $ tela"))</f>
        <v/>
      </c>
      <c r="H712" s="32" t="str">
        <f aca="false">IF(A712="","",A712&amp;"|"&amp;COUNTIF($A$5:A712,A712))</f>
        <v/>
      </c>
    </row>
    <row r="713" customFormat="false" ht="15" hidden="false" customHeight="false" outlineLevel="0" collapsed="false">
      <c r="A713" s="28"/>
      <c r="B713" s="28"/>
      <c r="C713" s="28"/>
      <c r="D713" s="31"/>
      <c r="E713" s="10"/>
      <c r="F713" s="28"/>
      <c r="G713" s="11" t="str">
        <f aca="false">IF(OR(A713="",N(D713)=0),"",IFERROR(D713*(1+IFERROR(IF(ISNUMBER(INDEX(Moldes!$K$5:$K$154,MATCH(A713,Moldes!$A$5:$A$154,0))),INDEX(Moldes!$K$5:$K$154,MATCH(A713,Moldes!$A$5:$A$154,0)),Precios!$Q$12),Precios!$Q$12))*(INDEX(Precios!$F$5:$F$124,MATCH(E713,Precios!$A$5:$A$124,0))+IF(F713="Sí",Precios!$Q$10,0)),"falta $ tela"))</f>
        <v/>
      </c>
      <c r="H713" s="32" t="str">
        <f aca="false">IF(A713="","",A713&amp;"|"&amp;COUNTIF($A$5:A713,A713))</f>
        <v/>
      </c>
    </row>
    <row r="714" customFormat="false" ht="15" hidden="false" customHeight="false" outlineLevel="0" collapsed="false">
      <c r="A714" s="28"/>
      <c r="B714" s="28"/>
      <c r="C714" s="28"/>
      <c r="D714" s="31"/>
      <c r="E714" s="10"/>
      <c r="F714" s="28"/>
      <c r="G714" s="11" t="str">
        <f aca="false">IF(OR(A714="",N(D714)=0),"",IFERROR(D714*(1+IFERROR(IF(ISNUMBER(INDEX(Moldes!$K$5:$K$154,MATCH(A714,Moldes!$A$5:$A$154,0))),INDEX(Moldes!$K$5:$K$154,MATCH(A714,Moldes!$A$5:$A$154,0)),Precios!$Q$12),Precios!$Q$12))*(INDEX(Precios!$F$5:$F$124,MATCH(E714,Precios!$A$5:$A$124,0))+IF(F714="Sí",Precios!$Q$10,0)),"falta $ tela"))</f>
        <v/>
      </c>
      <c r="H714" s="32" t="str">
        <f aca="false">IF(A714="","",A714&amp;"|"&amp;COUNTIF($A$5:A714,A714))</f>
        <v/>
      </c>
    </row>
    <row r="715" customFormat="false" ht="15" hidden="false" customHeight="false" outlineLevel="0" collapsed="false">
      <c r="A715" s="28"/>
      <c r="B715" s="28"/>
      <c r="C715" s="28"/>
      <c r="D715" s="31"/>
      <c r="E715" s="10"/>
      <c r="F715" s="28"/>
      <c r="G715" s="11" t="str">
        <f aca="false">IF(OR(A715="",N(D715)=0),"",IFERROR(D715*(1+IFERROR(IF(ISNUMBER(INDEX(Moldes!$K$5:$K$154,MATCH(A715,Moldes!$A$5:$A$154,0))),INDEX(Moldes!$K$5:$K$154,MATCH(A715,Moldes!$A$5:$A$154,0)),Precios!$Q$12),Precios!$Q$12))*(INDEX(Precios!$F$5:$F$124,MATCH(E715,Precios!$A$5:$A$124,0))+IF(F715="Sí",Precios!$Q$10,0)),"falta $ tela"))</f>
        <v/>
      </c>
      <c r="H715" s="32" t="str">
        <f aca="false">IF(A715="","",A715&amp;"|"&amp;COUNTIF($A$5:A715,A715))</f>
        <v/>
      </c>
    </row>
    <row r="716" customFormat="false" ht="15" hidden="false" customHeight="false" outlineLevel="0" collapsed="false">
      <c r="A716" s="28"/>
      <c r="B716" s="28"/>
      <c r="C716" s="28"/>
      <c r="D716" s="31"/>
      <c r="E716" s="10"/>
      <c r="F716" s="28"/>
      <c r="G716" s="11" t="str">
        <f aca="false">IF(OR(A716="",N(D716)=0),"",IFERROR(D716*(1+IFERROR(IF(ISNUMBER(INDEX(Moldes!$K$5:$K$154,MATCH(A716,Moldes!$A$5:$A$154,0))),INDEX(Moldes!$K$5:$K$154,MATCH(A716,Moldes!$A$5:$A$154,0)),Precios!$Q$12),Precios!$Q$12))*(INDEX(Precios!$F$5:$F$124,MATCH(E716,Precios!$A$5:$A$124,0))+IF(F716="Sí",Precios!$Q$10,0)),"falta $ tela"))</f>
        <v/>
      </c>
      <c r="H716" s="32" t="str">
        <f aca="false">IF(A716="","",A716&amp;"|"&amp;COUNTIF($A$5:A716,A716))</f>
        <v/>
      </c>
    </row>
    <row r="717" customFormat="false" ht="15" hidden="false" customHeight="false" outlineLevel="0" collapsed="false">
      <c r="A717" s="28"/>
      <c r="B717" s="28"/>
      <c r="C717" s="28"/>
      <c r="D717" s="31"/>
      <c r="E717" s="10"/>
      <c r="F717" s="28"/>
      <c r="G717" s="11" t="str">
        <f aca="false">IF(OR(A717="",N(D717)=0),"",IFERROR(D717*(1+IFERROR(IF(ISNUMBER(INDEX(Moldes!$K$5:$K$154,MATCH(A717,Moldes!$A$5:$A$154,0))),INDEX(Moldes!$K$5:$K$154,MATCH(A717,Moldes!$A$5:$A$154,0)),Precios!$Q$12),Precios!$Q$12))*(INDEX(Precios!$F$5:$F$124,MATCH(E717,Precios!$A$5:$A$124,0))+IF(F717="Sí",Precios!$Q$10,0)),"falta $ tela"))</f>
        <v/>
      </c>
      <c r="H717" s="32" t="str">
        <f aca="false">IF(A717="","",A717&amp;"|"&amp;COUNTIF($A$5:A717,A717))</f>
        <v/>
      </c>
    </row>
    <row r="718" customFormat="false" ht="15" hidden="false" customHeight="false" outlineLevel="0" collapsed="false">
      <c r="A718" s="28"/>
      <c r="B718" s="28"/>
      <c r="C718" s="28"/>
      <c r="D718" s="31"/>
      <c r="E718" s="10"/>
      <c r="F718" s="28"/>
      <c r="G718" s="11" t="str">
        <f aca="false">IF(OR(A718="",N(D718)=0),"",IFERROR(D718*(1+IFERROR(IF(ISNUMBER(INDEX(Moldes!$K$5:$K$154,MATCH(A718,Moldes!$A$5:$A$154,0))),INDEX(Moldes!$K$5:$K$154,MATCH(A718,Moldes!$A$5:$A$154,0)),Precios!$Q$12),Precios!$Q$12))*(INDEX(Precios!$F$5:$F$124,MATCH(E718,Precios!$A$5:$A$124,0))+IF(F718="Sí",Precios!$Q$10,0)),"falta $ tela"))</f>
        <v/>
      </c>
      <c r="H718" s="32" t="str">
        <f aca="false">IF(A718="","",A718&amp;"|"&amp;COUNTIF($A$5:A718,A718))</f>
        <v/>
      </c>
    </row>
    <row r="719" customFormat="false" ht="15" hidden="false" customHeight="false" outlineLevel="0" collapsed="false">
      <c r="A719" s="28"/>
      <c r="B719" s="28"/>
      <c r="C719" s="28"/>
      <c r="D719" s="31"/>
      <c r="E719" s="10"/>
      <c r="F719" s="28"/>
      <c r="G719" s="11" t="str">
        <f aca="false">IF(OR(A719="",N(D719)=0),"",IFERROR(D719*(1+IFERROR(IF(ISNUMBER(INDEX(Moldes!$K$5:$K$154,MATCH(A719,Moldes!$A$5:$A$154,0))),INDEX(Moldes!$K$5:$K$154,MATCH(A719,Moldes!$A$5:$A$154,0)),Precios!$Q$12),Precios!$Q$12))*(INDEX(Precios!$F$5:$F$124,MATCH(E719,Precios!$A$5:$A$124,0))+IF(F719="Sí",Precios!$Q$10,0)),"falta $ tela"))</f>
        <v/>
      </c>
      <c r="H719" s="32" t="str">
        <f aca="false">IF(A719="","",A719&amp;"|"&amp;COUNTIF($A$5:A719,A719))</f>
        <v/>
      </c>
    </row>
    <row r="720" customFormat="false" ht="15" hidden="false" customHeight="false" outlineLevel="0" collapsed="false">
      <c r="A720" s="28"/>
      <c r="B720" s="28"/>
      <c r="C720" s="28"/>
      <c r="D720" s="31"/>
      <c r="E720" s="10"/>
      <c r="F720" s="28"/>
      <c r="G720" s="11" t="str">
        <f aca="false">IF(OR(A720="",N(D720)=0),"",IFERROR(D720*(1+IFERROR(IF(ISNUMBER(INDEX(Moldes!$K$5:$K$154,MATCH(A720,Moldes!$A$5:$A$154,0))),INDEX(Moldes!$K$5:$K$154,MATCH(A720,Moldes!$A$5:$A$154,0)),Precios!$Q$12),Precios!$Q$12))*(INDEX(Precios!$F$5:$F$124,MATCH(E720,Precios!$A$5:$A$124,0))+IF(F720="Sí",Precios!$Q$10,0)),"falta $ tela"))</f>
        <v/>
      </c>
      <c r="H720" s="32" t="str">
        <f aca="false">IF(A720="","",A720&amp;"|"&amp;COUNTIF($A$5:A720,A720))</f>
        <v/>
      </c>
    </row>
    <row r="721" customFormat="false" ht="15" hidden="false" customHeight="false" outlineLevel="0" collapsed="false">
      <c r="A721" s="28"/>
      <c r="B721" s="28"/>
      <c r="C721" s="28"/>
      <c r="D721" s="31"/>
      <c r="E721" s="10"/>
      <c r="F721" s="28"/>
      <c r="G721" s="11" t="str">
        <f aca="false">IF(OR(A721="",N(D721)=0),"",IFERROR(D721*(1+IFERROR(IF(ISNUMBER(INDEX(Moldes!$K$5:$K$154,MATCH(A721,Moldes!$A$5:$A$154,0))),INDEX(Moldes!$K$5:$K$154,MATCH(A721,Moldes!$A$5:$A$154,0)),Precios!$Q$12),Precios!$Q$12))*(INDEX(Precios!$F$5:$F$124,MATCH(E721,Precios!$A$5:$A$124,0))+IF(F721="Sí",Precios!$Q$10,0)),"falta $ tela"))</f>
        <v/>
      </c>
      <c r="H721" s="32" t="str">
        <f aca="false">IF(A721="","",A721&amp;"|"&amp;COUNTIF($A$5:A721,A721))</f>
        <v/>
      </c>
    </row>
    <row r="722" customFormat="false" ht="15" hidden="false" customHeight="false" outlineLevel="0" collapsed="false">
      <c r="A722" s="28"/>
      <c r="B722" s="28"/>
      <c r="C722" s="28"/>
      <c r="D722" s="31"/>
      <c r="E722" s="10"/>
      <c r="F722" s="28"/>
      <c r="G722" s="11" t="str">
        <f aca="false">IF(OR(A722="",N(D722)=0),"",IFERROR(D722*(1+IFERROR(IF(ISNUMBER(INDEX(Moldes!$K$5:$K$154,MATCH(A722,Moldes!$A$5:$A$154,0))),INDEX(Moldes!$K$5:$K$154,MATCH(A722,Moldes!$A$5:$A$154,0)),Precios!$Q$12),Precios!$Q$12))*(INDEX(Precios!$F$5:$F$124,MATCH(E722,Precios!$A$5:$A$124,0))+IF(F722="Sí",Precios!$Q$10,0)),"falta $ tela"))</f>
        <v/>
      </c>
      <c r="H722" s="32" t="str">
        <f aca="false">IF(A722="","",A722&amp;"|"&amp;COUNTIF($A$5:A722,A722))</f>
        <v/>
      </c>
    </row>
    <row r="723" customFormat="false" ht="15" hidden="false" customHeight="false" outlineLevel="0" collapsed="false">
      <c r="A723" s="28"/>
      <c r="B723" s="28"/>
      <c r="C723" s="28"/>
      <c r="D723" s="31"/>
      <c r="E723" s="10"/>
      <c r="F723" s="28"/>
      <c r="G723" s="11" t="str">
        <f aca="false">IF(OR(A723="",N(D723)=0),"",IFERROR(D723*(1+IFERROR(IF(ISNUMBER(INDEX(Moldes!$K$5:$K$154,MATCH(A723,Moldes!$A$5:$A$154,0))),INDEX(Moldes!$K$5:$K$154,MATCH(A723,Moldes!$A$5:$A$154,0)),Precios!$Q$12),Precios!$Q$12))*(INDEX(Precios!$F$5:$F$124,MATCH(E723,Precios!$A$5:$A$124,0))+IF(F723="Sí",Precios!$Q$10,0)),"falta $ tela"))</f>
        <v/>
      </c>
      <c r="H723" s="32" t="str">
        <f aca="false">IF(A723="","",A723&amp;"|"&amp;COUNTIF($A$5:A723,A723))</f>
        <v/>
      </c>
    </row>
    <row r="724" customFormat="false" ht="15" hidden="false" customHeight="false" outlineLevel="0" collapsed="false">
      <c r="A724" s="28"/>
      <c r="B724" s="28"/>
      <c r="C724" s="28"/>
      <c r="D724" s="31"/>
      <c r="E724" s="10"/>
      <c r="F724" s="28"/>
      <c r="G724" s="11" t="str">
        <f aca="false">IF(OR(A724="",N(D724)=0),"",IFERROR(D724*(1+IFERROR(IF(ISNUMBER(INDEX(Moldes!$K$5:$K$154,MATCH(A724,Moldes!$A$5:$A$154,0))),INDEX(Moldes!$K$5:$K$154,MATCH(A724,Moldes!$A$5:$A$154,0)),Precios!$Q$12),Precios!$Q$12))*(INDEX(Precios!$F$5:$F$124,MATCH(E724,Precios!$A$5:$A$124,0))+IF(F724="Sí",Precios!$Q$10,0)),"falta $ tela"))</f>
        <v/>
      </c>
      <c r="H724" s="32" t="str">
        <f aca="false">IF(A724="","",A724&amp;"|"&amp;COUNTIF($A$5:A724,A724))</f>
        <v/>
      </c>
    </row>
    <row r="725" customFormat="false" ht="15" hidden="false" customHeight="false" outlineLevel="0" collapsed="false">
      <c r="A725" s="28"/>
      <c r="B725" s="28"/>
      <c r="C725" s="28"/>
      <c r="D725" s="31"/>
      <c r="E725" s="10"/>
      <c r="F725" s="28"/>
      <c r="G725" s="11" t="str">
        <f aca="false">IF(OR(A725="",N(D725)=0),"",IFERROR(D725*(1+IFERROR(IF(ISNUMBER(INDEX(Moldes!$K$5:$K$154,MATCH(A725,Moldes!$A$5:$A$154,0))),INDEX(Moldes!$K$5:$K$154,MATCH(A725,Moldes!$A$5:$A$154,0)),Precios!$Q$12),Precios!$Q$12))*(INDEX(Precios!$F$5:$F$124,MATCH(E725,Precios!$A$5:$A$124,0))+IF(F725="Sí",Precios!$Q$10,0)),"falta $ tela"))</f>
        <v/>
      </c>
      <c r="H725" s="32" t="str">
        <f aca="false">IF(A725="","",A725&amp;"|"&amp;COUNTIF($A$5:A725,A725))</f>
        <v/>
      </c>
    </row>
    <row r="726" customFormat="false" ht="15" hidden="false" customHeight="false" outlineLevel="0" collapsed="false">
      <c r="A726" s="28"/>
      <c r="B726" s="28"/>
      <c r="C726" s="28"/>
      <c r="D726" s="31"/>
      <c r="E726" s="10"/>
      <c r="F726" s="28"/>
      <c r="G726" s="11" t="str">
        <f aca="false">IF(OR(A726="",N(D726)=0),"",IFERROR(D726*(1+IFERROR(IF(ISNUMBER(INDEX(Moldes!$K$5:$K$154,MATCH(A726,Moldes!$A$5:$A$154,0))),INDEX(Moldes!$K$5:$K$154,MATCH(A726,Moldes!$A$5:$A$154,0)),Precios!$Q$12),Precios!$Q$12))*(INDEX(Precios!$F$5:$F$124,MATCH(E726,Precios!$A$5:$A$124,0))+IF(F726="Sí",Precios!$Q$10,0)),"falta $ tela"))</f>
        <v/>
      </c>
      <c r="H726" s="32" t="str">
        <f aca="false">IF(A726="","",A726&amp;"|"&amp;COUNTIF($A$5:A726,A726))</f>
        <v/>
      </c>
    </row>
    <row r="727" customFormat="false" ht="15" hidden="false" customHeight="false" outlineLevel="0" collapsed="false">
      <c r="A727" s="28"/>
      <c r="B727" s="28"/>
      <c r="C727" s="28"/>
      <c r="D727" s="31"/>
      <c r="E727" s="10"/>
      <c r="F727" s="28"/>
      <c r="G727" s="11" t="str">
        <f aca="false">IF(OR(A727="",N(D727)=0),"",IFERROR(D727*(1+IFERROR(IF(ISNUMBER(INDEX(Moldes!$K$5:$K$154,MATCH(A727,Moldes!$A$5:$A$154,0))),INDEX(Moldes!$K$5:$K$154,MATCH(A727,Moldes!$A$5:$A$154,0)),Precios!$Q$12),Precios!$Q$12))*(INDEX(Precios!$F$5:$F$124,MATCH(E727,Precios!$A$5:$A$124,0))+IF(F727="Sí",Precios!$Q$10,0)),"falta $ tela"))</f>
        <v/>
      </c>
      <c r="H727" s="32" t="str">
        <f aca="false">IF(A727="","",A727&amp;"|"&amp;COUNTIF($A$5:A727,A727))</f>
        <v/>
      </c>
    </row>
    <row r="728" customFormat="false" ht="15" hidden="false" customHeight="false" outlineLevel="0" collapsed="false">
      <c r="A728" s="28"/>
      <c r="B728" s="28"/>
      <c r="C728" s="28"/>
      <c r="D728" s="31"/>
      <c r="E728" s="10"/>
      <c r="F728" s="28"/>
      <c r="G728" s="11" t="str">
        <f aca="false">IF(OR(A728="",N(D728)=0),"",IFERROR(D728*(1+IFERROR(IF(ISNUMBER(INDEX(Moldes!$K$5:$K$154,MATCH(A728,Moldes!$A$5:$A$154,0))),INDEX(Moldes!$K$5:$K$154,MATCH(A728,Moldes!$A$5:$A$154,0)),Precios!$Q$12),Precios!$Q$12))*(INDEX(Precios!$F$5:$F$124,MATCH(E728,Precios!$A$5:$A$124,0))+IF(F728="Sí",Precios!$Q$10,0)),"falta $ tela"))</f>
        <v/>
      </c>
      <c r="H728" s="32" t="str">
        <f aca="false">IF(A728="","",A728&amp;"|"&amp;COUNTIF($A$5:A728,A728))</f>
        <v/>
      </c>
    </row>
    <row r="729" customFormat="false" ht="15" hidden="false" customHeight="false" outlineLevel="0" collapsed="false">
      <c r="A729" s="28"/>
      <c r="B729" s="28"/>
      <c r="C729" s="28"/>
      <c r="D729" s="31"/>
      <c r="E729" s="10"/>
      <c r="F729" s="28"/>
      <c r="G729" s="11" t="str">
        <f aca="false">IF(OR(A729="",N(D729)=0),"",IFERROR(D729*(1+IFERROR(IF(ISNUMBER(INDEX(Moldes!$K$5:$K$154,MATCH(A729,Moldes!$A$5:$A$154,0))),INDEX(Moldes!$K$5:$K$154,MATCH(A729,Moldes!$A$5:$A$154,0)),Precios!$Q$12),Precios!$Q$12))*(INDEX(Precios!$F$5:$F$124,MATCH(E729,Precios!$A$5:$A$124,0))+IF(F729="Sí",Precios!$Q$10,0)),"falta $ tela"))</f>
        <v/>
      </c>
      <c r="H729" s="32" t="str">
        <f aca="false">IF(A729="","",A729&amp;"|"&amp;COUNTIF($A$5:A729,A729))</f>
        <v/>
      </c>
    </row>
    <row r="730" customFormat="false" ht="15" hidden="false" customHeight="false" outlineLevel="0" collapsed="false">
      <c r="A730" s="28"/>
      <c r="B730" s="28"/>
      <c r="C730" s="28"/>
      <c r="D730" s="31"/>
      <c r="E730" s="10"/>
      <c r="F730" s="28"/>
      <c r="G730" s="11" t="str">
        <f aca="false">IF(OR(A730="",N(D730)=0),"",IFERROR(D730*(1+IFERROR(IF(ISNUMBER(INDEX(Moldes!$K$5:$K$154,MATCH(A730,Moldes!$A$5:$A$154,0))),INDEX(Moldes!$K$5:$K$154,MATCH(A730,Moldes!$A$5:$A$154,0)),Precios!$Q$12),Precios!$Q$12))*(INDEX(Precios!$F$5:$F$124,MATCH(E730,Precios!$A$5:$A$124,0))+IF(F730="Sí",Precios!$Q$10,0)),"falta $ tela"))</f>
        <v/>
      </c>
      <c r="H730" s="32" t="str">
        <f aca="false">IF(A730="","",A730&amp;"|"&amp;COUNTIF($A$5:A730,A730))</f>
        <v/>
      </c>
    </row>
    <row r="731" customFormat="false" ht="15" hidden="false" customHeight="false" outlineLevel="0" collapsed="false">
      <c r="A731" s="28"/>
      <c r="B731" s="28"/>
      <c r="C731" s="28"/>
      <c r="D731" s="31"/>
      <c r="E731" s="10"/>
      <c r="F731" s="28"/>
      <c r="G731" s="11" t="str">
        <f aca="false">IF(OR(A731="",N(D731)=0),"",IFERROR(D731*(1+IFERROR(IF(ISNUMBER(INDEX(Moldes!$K$5:$K$154,MATCH(A731,Moldes!$A$5:$A$154,0))),INDEX(Moldes!$K$5:$K$154,MATCH(A731,Moldes!$A$5:$A$154,0)),Precios!$Q$12),Precios!$Q$12))*(INDEX(Precios!$F$5:$F$124,MATCH(E731,Precios!$A$5:$A$124,0))+IF(F731="Sí",Precios!$Q$10,0)),"falta $ tela"))</f>
        <v/>
      </c>
      <c r="H731" s="32" t="str">
        <f aca="false">IF(A731="","",A731&amp;"|"&amp;COUNTIF($A$5:A731,A731))</f>
        <v/>
      </c>
    </row>
    <row r="732" customFormat="false" ht="15" hidden="false" customHeight="false" outlineLevel="0" collapsed="false">
      <c r="A732" s="28"/>
      <c r="B732" s="28"/>
      <c r="C732" s="28"/>
      <c r="D732" s="31"/>
      <c r="E732" s="10"/>
      <c r="F732" s="28"/>
      <c r="G732" s="11" t="str">
        <f aca="false">IF(OR(A732="",N(D732)=0),"",IFERROR(D732*(1+IFERROR(IF(ISNUMBER(INDEX(Moldes!$K$5:$K$154,MATCH(A732,Moldes!$A$5:$A$154,0))),INDEX(Moldes!$K$5:$K$154,MATCH(A732,Moldes!$A$5:$A$154,0)),Precios!$Q$12),Precios!$Q$12))*(INDEX(Precios!$F$5:$F$124,MATCH(E732,Precios!$A$5:$A$124,0))+IF(F732="Sí",Precios!$Q$10,0)),"falta $ tela"))</f>
        <v/>
      </c>
      <c r="H732" s="32" t="str">
        <f aca="false">IF(A732="","",A732&amp;"|"&amp;COUNTIF($A$5:A732,A732))</f>
        <v/>
      </c>
    </row>
    <row r="733" customFormat="false" ht="15" hidden="false" customHeight="false" outlineLevel="0" collapsed="false">
      <c r="A733" s="28"/>
      <c r="B733" s="28"/>
      <c r="C733" s="28"/>
      <c r="D733" s="31"/>
      <c r="E733" s="10"/>
      <c r="F733" s="28"/>
      <c r="G733" s="11" t="str">
        <f aca="false">IF(OR(A733="",N(D733)=0),"",IFERROR(D733*(1+IFERROR(IF(ISNUMBER(INDEX(Moldes!$K$5:$K$154,MATCH(A733,Moldes!$A$5:$A$154,0))),INDEX(Moldes!$K$5:$K$154,MATCH(A733,Moldes!$A$5:$A$154,0)),Precios!$Q$12),Precios!$Q$12))*(INDEX(Precios!$F$5:$F$124,MATCH(E733,Precios!$A$5:$A$124,0))+IF(F733="Sí",Precios!$Q$10,0)),"falta $ tela"))</f>
        <v/>
      </c>
      <c r="H733" s="32" t="str">
        <f aca="false">IF(A733="","",A733&amp;"|"&amp;COUNTIF($A$5:A733,A733))</f>
        <v/>
      </c>
    </row>
    <row r="734" customFormat="false" ht="15" hidden="false" customHeight="false" outlineLevel="0" collapsed="false">
      <c r="A734" s="28"/>
      <c r="B734" s="28"/>
      <c r="C734" s="28"/>
      <c r="D734" s="31"/>
      <c r="E734" s="10"/>
      <c r="F734" s="28"/>
      <c r="G734" s="11" t="str">
        <f aca="false">IF(OR(A734="",N(D734)=0),"",IFERROR(D734*(1+IFERROR(IF(ISNUMBER(INDEX(Moldes!$K$5:$K$154,MATCH(A734,Moldes!$A$5:$A$154,0))),INDEX(Moldes!$K$5:$K$154,MATCH(A734,Moldes!$A$5:$A$154,0)),Precios!$Q$12),Precios!$Q$12))*(INDEX(Precios!$F$5:$F$124,MATCH(E734,Precios!$A$5:$A$124,0))+IF(F734="Sí",Precios!$Q$10,0)),"falta $ tela"))</f>
        <v/>
      </c>
      <c r="H734" s="32" t="str">
        <f aca="false">IF(A734="","",A734&amp;"|"&amp;COUNTIF($A$5:A734,A734))</f>
        <v/>
      </c>
    </row>
    <row r="735" customFormat="false" ht="15" hidden="false" customHeight="false" outlineLevel="0" collapsed="false">
      <c r="A735" s="28"/>
      <c r="B735" s="28"/>
      <c r="C735" s="28"/>
      <c r="D735" s="31"/>
      <c r="E735" s="10"/>
      <c r="F735" s="28"/>
      <c r="G735" s="11" t="str">
        <f aca="false">IF(OR(A735="",N(D735)=0),"",IFERROR(D735*(1+IFERROR(IF(ISNUMBER(INDEX(Moldes!$K$5:$K$154,MATCH(A735,Moldes!$A$5:$A$154,0))),INDEX(Moldes!$K$5:$K$154,MATCH(A735,Moldes!$A$5:$A$154,0)),Precios!$Q$12),Precios!$Q$12))*(INDEX(Precios!$F$5:$F$124,MATCH(E735,Precios!$A$5:$A$124,0))+IF(F735="Sí",Precios!$Q$10,0)),"falta $ tela"))</f>
        <v/>
      </c>
      <c r="H735" s="32" t="str">
        <f aca="false">IF(A735="","",A735&amp;"|"&amp;COUNTIF($A$5:A735,A735))</f>
        <v/>
      </c>
    </row>
    <row r="736" customFormat="false" ht="15" hidden="false" customHeight="false" outlineLevel="0" collapsed="false">
      <c r="A736" s="28"/>
      <c r="B736" s="28"/>
      <c r="C736" s="28"/>
      <c r="D736" s="31"/>
      <c r="E736" s="10"/>
      <c r="F736" s="28"/>
      <c r="G736" s="11" t="str">
        <f aca="false">IF(OR(A736="",N(D736)=0),"",IFERROR(D736*(1+IFERROR(IF(ISNUMBER(INDEX(Moldes!$K$5:$K$154,MATCH(A736,Moldes!$A$5:$A$154,0))),INDEX(Moldes!$K$5:$K$154,MATCH(A736,Moldes!$A$5:$A$154,0)),Precios!$Q$12),Precios!$Q$12))*(INDEX(Precios!$F$5:$F$124,MATCH(E736,Precios!$A$5:$A$124,0))+IF(F736="Sí",Precios!$Q$10,0)),"falta $ tela"))</f>
        <v/>
      </c>
      <c r="H736" s="32" t="str">
        <f aca="false">IF(A736="","",A736&amp;"|"&amp;COUNTIF($A$5:A736,A736))</f>
        <v/>
      </c>
    </row>
    <row r="737" customFormat="false" ht="15" hidden="false" customHeight="false" outlineLevel="0" collapsed="false">
      <c r="A737" s="28"/>
      <c r="B737" s="28"/>
      <c r="C737" s="28"/>
      <c r="D737" s="31"/>
      <c r="E737" s="10"/>
      <c r="F737" s="28"/>
      <c r="G737" s="11" t="str">
        <f aca="false">IF(OR(A737="",N(D737)=0),"",IFERROR(D737*(1+IFERROR(IF(ISNUMBER(INDEX(Moldes!$K$5:$K$154,MATCH(A737,Moldes!$A$5:$A$154,0))),INDEX(Moldes!$K$5:$K$154,MATCH(A737,Moldes!$A$5:$A$154,0)),Precios!$Q$12),Precios!$Q$12))*(INDEX(Precios!$F$5:$F$124,MATCH(E737,Precios!$A$5:$A$124,0))+IF(F737="Sí",Precios!$Q$10,0)),"falta $ tela"))</f>
        <v/>
      </c>
      <c r="H737" s="32" t="str">
        <f aca="false">IF(A737="","",A737&amp;"|"&amp;COUNTIF($A$5:A737,A737))</f>
        <v/>
      </c>
    </row>
    <row r="738" customFormat="false" ht="15" hidden="false" customHeight="false" outlineLevel="0" collapsed="false">
      <c r="A738" s="28"/>
      <c r="B738" s="28"/>
      <c r="C738" s="28"/>
      <c r="D738" s="31"/>
      <c r="E738" s="10"/>
      <c r="F738" s="28"/>
      <c r="G738" s="11" t="str">
        <f aca="false">IF(OR(A738="",N(D738)=0),"",IFERROR(D738*(1+IFERROR(IF(ISNUMBER(INDEX(Moldes!$K$5:$K$154,MATCH(A738,Moldes!$A$5:$A$154,0))),INDEX(Moldes!$K$5:$K$154,MATCH(A738,Moldes!$A$5:$A$154,0)),Precios!$Q$12),Precios!$Q$12))*(INDEX(Precios!$F$5:$F$124,MATCH(E738,Precios!$A$5:$A$124,0))+IF(F738="Sí",Precios!$Q$10,0)),"falta $ tela"))</f>
        <v/>
      </c>
      <c r="H738" s="32" t="str">
        <f aca="false">IF(A738="","",A738&amp;"|"&amp;COUNTIF($A$5:A738,A738))</f>
        <v/>
      </c>
    </row>
    <row r="739" customFormat="false" ht="15" hidden="false" customHeight="false" outlineLevel="0" collapsed="false">
      <c r="A739" s="28"/>
      <c r="B739" s="28"/>
      <c r="C739" s="28"/>
      <c r="D739" s="31"/>
      <c r="E739" s="10"/>
      <c r="F739" s="28"/>
      <c r="G739" s="11" t="str">
        <f aca="false">IF(OR(A739="",N(D739)=0),"",IFERROR(D739*(1+IFERROR(IF(ISNUMBER(INDEX(Moldes!$K$5:$K$154,MATCH(A739,Moldes!$A$5:$A$154,0))),INDEX(Moldes!$K$5:$K$154,MATCH(A739,Moldes!$A$5:$A$154,0)),Precios!$Q$12),Precios!$Q$12))*(INDEX(Precios!$F$5:$F$124,MATCH(E739,Precios!$A$5:$A$124,0))+IF(F739="Sí",Precios!$Q$10,0)),"falta $ tela"))</f>
        <v/>
      </c>
      <c r="H739" s="32" t="str">
        <f aca="false">IF(A739="","",A739&amp;"|"&amp;COUNTIF($A$5:A739,A739))</f>
        <v/>
      </c>
    </row>
    <row r="740" customFormat="false" ht="15" hidden="false" customHeight="false" outlineLevel="0" collapsed="false">
      <c r="A740" s="28"/>
      <c r="B740" s="28"/>
      <c r="C740" s="28"/>
      <c r="D740" s="31"/>
      <c r="E740" s="10"/>
      <c r="F740" s="28"/>
      <c r="G740" s="11" t="str">
        <f aca="false">IF(OR(A740="",N(D740)=0),"",IFERROR(D740*(1+IFERROR(IF(ISNUMBER(INDEX(Moldes!$K$5:$K$154,MATCH(A740,Moldes!$A$5:$A$154,0))),INDEX(Moldes!$K$5:$K$154,MATCH(A740,Moldes!$A$5:$A$154,0)),Precios!$Q$12),Precios!$Q$12))*(INDEX(Precios!$F$5:$F$124,MATCH(E740,Precios!$A$5:$A$124,0))+IF(F740="Sí",Precios!$Q$10,0)),"falta $ tela"))</f>
        <v/>
      </c>
      <c r="H740" s="32" t="str">
        <f aca="false">IF(A740="","",A740&amp;"|"&amp;COUNTIF($A$5:A740,A740))</f>
        <v/>
      </c>
    </row>
    <row r="741" customFormat="false" ht="15" hidden="false" customHeight="false" outlineLevel="0" collapsed="false">
      <c r="A741" s="28"/>
      <c r="B741" s="28"/>
      <c r="C741" s="28"/>
      <c r="D741" s="31"/>
      <c r="E741" s="10"/>
      <c r="F741" s="28"/>
      <c r="G741" s="11" t="str">
        <f aca="false">IF(OR(A741="",N(D741)=0),"",IFERROR(D741*(1+IFERROR(IF(ISNUMBER(INDEX(Moldes!$K$5:$K$154,MATCH(A741,Moldes!$A$5:$A$154,0))),INDEX(Moldes!$K$5:$K$154,MATCH(A741,Moldes!$A$5:$A$154,0)),Precios!$Q$12),Precios!$Q$12))*(INDEX(Precios!$F$5:$F$124,MATCH(E741,Precios!$A$5:$A$124,0))+IF(F741="Sí",Precios!$Q$10,0)),"falta $ tela"))</f>
        <v/>
      </c>
      <c r="H741" s="32" t="str">
        <f aca="false">IF(A741="","",A741&amp;"|"&amp;COUNTIF($A$5:A741,A741))</f>
        <v/>
      </c>
    </row>
    <row r="742" customFormat="false" ht="15" hidden="false" customHeight="false" outlineLevel="0" collapsed="false">
      <c r="A742" s="28"/>
      <c r="B742" s="28"/>
      <c r="C742" s="28"/>
      <c r="D742" s="31"/>
      <c r="E742" s="10"/>
      <c r="F742" s="28"/>
      <c r="G742" s="11" t="str">
        <f aca="false">IF(OR(A742="",N(D742)=0),"",IFERROR(D742*(1+IFERROR(IF(ISNUMBER(INDEX(Moldes!$K$5:$K$154,MATCH(A742,Moldes!$A$5:$A$154,0))),INDEX(Moldes!$K$5:$K$154,MATCH(A742,Moldes!$A$5:$A$154,0)),Precios!$Q$12),Precios!$Q$12))*(INDEX(Precios!$F$5:$F$124,MATCH(E742,Precios!$A$5:$A$124,0))+IF(F742="Sí",Precios!$Q$10,0)),"falta $ tela"))</f>
        <v/>
      </c>
      <c r="H742" s="32" t="str">
        <f aca="false">IF(A742="","",A742&amp;"|"&amp;COUNTIF($A$5:A742,A742))</f>
        <v/>
      </c>
    </row>
    <row r="743" customFormat="false" ht="15" hidden="false" customHeight="false" outlineLevel="0" collapsed="false">
      <c r="A743" s="28"/>
      <c r="B743" s="28"/>
      <c r="C743" s="28"/>
      <c r="D743" s="31"/>
      <c r="E743" s="10"/>
      <c r="F743" s="28"/>
      <c r="G743" s="11" t="str">
        <f aca="false">IF(OR(A743="",N(D743)=0),"",IFERROR(D743*(1+IFERROR(IF(ISNUMBER(INDEX(Moldes!$K$5:$K$154,MATCH(A743,Moldes!$A$5:$A$154,0))),INDEX(Moldes!$K$5:$K$154,MATCH(A743,Moldes!$A$5:$A$154,0)),Precios!$Q$12),Precios!$Q$12))*(INDEX(Precios!$F$5:$F$124,MATCH(E743,Precios!$A$5:$A$124,0))+IF(F743="Sí",Precios!$Q$10,0)),"falta $ tela"))</f>
        <v/>
      </c>
      <c r="H743" s="32" t="str">
        <f aca="false">IF(A743="","",A743&amp;"|"&amp;COUNTIF($A$5:A743,A743))</f>
        <v/>
      </c>
    </row>
    <row r="744" customFormat="false" ht="15" hidden="false" customHeight="false" outlineLevel="0" collapsed="false">
      <c r="A744" s="28"/>
      <c r="B744" s="28"/>
      <c r="C744" s="28"/>
      <c r="D744" s="31"/>
      <c r="E744" s="10"/>
      <c r="F744" s="28"/>
      <c r="G744" s="11" t="str">
        <f aca="false">IF(OR(A744="",N(D744)=0),"",IFERROR(D744*(1+IFERROR(IF(ISNUMBER(INDEX(Moldes!$K$5:$K$154,MATCH(A744,Moldes!$A$5:$A$154,0))),INDEX(Moldes!$K$5:$K$154,MATCH(A744,Moldes!$A$5:$A$154,0)),Precios!$Q$12),Precios!$Q$12))*(INDEX(Precios!$F$5:$F$124,MATCH(E744,Precios!$A$5:$A$124,0))+IF(F744="Sí",Precios!$Q$10,0)),"falta $ tela"))</f>
        <v/>
      </c>
      <c r="H744" s="32" t="str">
        <f aca="false">IF(A744="","",A744&amp;"|"&amp;COUNTIF($A$5:A744,A744))</f>
        <v/>
      </c>
    </row>
    <row r="745" customFormat="false" ht="15" hidden="false" customHeight="false" outlineLevel="0" collapsed="false">
      <c r="A745" s="28"/>
      <c r="B745" s="28"/>
      <c r="C745" s="28"/>
      <c r="D745" s="31"/>
      <c r="E745" s="10"/>
      <c r="F745" s="28"/>
      <c r="G745" s="11" t="str">
        <f aca="false">IF(OR(A745="",N(D745)=0),"",IFERROR(D745*(1+IFERROR(IF(ISNUMBER(INDEX(Moldes!$K$5:$K$154,MATCH(A745,Moldes!$A$5:$A$154,0))),INDEX(Moldes!$K$5:$K$154,MATCH(A745,Moldes!$A$5:$A$154,0)),Precios!$Q$12),Precios!$Q$12))*(INDEX(Precios!$F$5:$F$124,MATCH(E745,Precios!$A$5:$A$124,0))+IF(F745="Sí",Precios!$Q$10,0)),"falta $ tela"))</f>
        <v/>
      </c>
      <c r="H745" s="32" t="str">
        <f aca="false">IF(A745="","",A745&amp;"|"&amp;COUNTIF($A$5:A745,A745))</f>
        <v/>
      </c>
    </row>
    <row r="746" customFormat="false" ht="15" hidden="false" customHeight="false" outlineLevel="0" collapsed="false">
      <c r="A746" s="28"/>
      <c r="B746" s="28"/>
      <c r="C746" s="28"/>
      <c r="D746" s="31"/>
      <c r="E746" s="10"/>
      <c r="F746" s="28"/>
      <c r="G746" s="11" t="str">
        <f aca="false">IF(OR(A746="",N(D746)=0),"",IFERROR(D746*(1+IFERROR(IF(ISNUMBER(INDEX(Moldes!$K$5:$K$154,MATCH(A746,Moldes!$A$5:$A$154,0))),INDEX(Moldes!$K$5:$K$154,MATCH(A746,Moldes!$A$5:$A$154,0)),Precios!$Q$12),Precios!$Q$12))*(INDEX(Precios!$F$5:$F$124,MATCH(E746,Precios!$A$5:$A$124,0))+IF(F746="Sí",Precios!$Q$10,0)),"falta $ tela"))</f>
        <v/>
      </c>
      <c r="H746" s="32" t="str">
        <f aca="false">IF(A746="","",A746&amp;"|"&amp;COUNTIF($A$5:A746,A746))</f>
        <v/>
      </c>
    </row>
    <row r="747" customFormat="false" ht="15" hidden="false" customHeight="false" outlineLevel="0" collapsed="false">
      <c r="A747" s="28"/>
      <c r="B747" s="28"/>
      <c r="C747" s="28"/>
      <c r="D747" s="31"/>
      <c r="E747" s="10"/>
      <c r="F747" s="28"/>
      <c r="G747" s="11" t="str">
        <f aca="false">IF(OR(A747="",N(D747)=0),"",IFERROR(D747*(1+IFERROR(IF(ISNUMBER(INDEX(Moldes!$K$5:$K$154,MATCH(A747,Moldes!$A$5:$A$154,0))),INDEX(Moldes!$K$5:$K$154,MATCH(A747,Moldes!$A$5:$A$154,0)),Precios!$Q$12),Precios!$Q$12))*(INDEX(Precios!$F$5:$F$124,MATCH(E747,Precios!$A$5:$A$124,0))+IF(F747="Sí",Precios!$Q$10,0)),"falta $ tela"))</f>
        <v/>
      </c>
      <c r="H747" s="32" t="str">
        <f aca="false">IF(A747="","",A747&amp;"|"&amp;COUNTIF($A$5:A747,A747))</f>
        <v/>
      </c>
    </row>
    <row r="748" customFormat="false" ht="15" hidden="false" customHeight="false" outlineLevel="0" collapsed="false">
      <c r="A748" s="28"/>
      <c r="B748" s="28"/>
      <c r="C748" s="28"/>
      <c r="D748" s="31"/>
      <c r="E748" s="10"/>
      <c r="F748" s="28"/>
      <c r="G748" s="11" t="str">
        <f aca="false">IF(OR(A748="",N(D748)=0),"",IFERROR(D748*(1+IFERROR(IF(ISNUMBER(INDEX(Moldes!$K$5:$K$154,MATCH(A748,Moldes!$A$5:$A$154,0))),INDEX(Moldes!$K$5:$K$154,MATCH(A748,Moldes!$A$5:$A$154,0)),Precios!$Q$12),Precios!$Q$12))*(INDEX(Precios!$F$5:$F$124,MATCH(E748,Precios!$A$5:$A$124,0))+IF(F748="Sí",Precios!$Q$10,0)),"falta $ tela"))</f>
        <v/>
      </c>
      <c r="H748" s="32" t="str">
        <f aca="false">IF(A748="","",A748&amp;"|"&amp;COUNTIF($A$5:A748,A748))</f>
        <v/>
      </c>
    </row>
    <row r="749" customFormat="false" ht="15" hidden="false" customHeight="false" outlineLevel="0" collapsed="false">
      <c r="A749" s="28"/>
      <c r="B749" s="28"/>
      <c r="C749" s="28"/>
      <c r="D749" s="31"/>
      <c r="E749" s="10"/>
      <c r="F749" s="28"/>
      <c r="G749" s="11" t="str">
        <f aca="false">IF(OR(A749="",N(D749)=0),"",IFERROR(D749*(1+IFERROR(IF(ISNUMBER(INDEX(Moldes!$K$5:$K$154,MATCH(A749,Moldes!$A$5:$A$154,0))),INDEX(Moldes!$K$5:$K$154,MATCH(A749,Moldes!$A$5:$A$154,0)),Precios!$Q$12),Precios!$Q$12))*(INDEX(Precios!$F$5:$F$124,MATCH(E749,Precios!$A$5:$A$124,0))+IF(F749="Sí",Precios!$Q$10,0)),"falta $ tela"))</f>
        <v/>
      </c>
      <c r="H749" s="32" t="str">
        <f aca="false">IF(A749="","",A749&amp;"|"&amp;COUNTIF($A$5:A749,A749))</f>
        <v/>
      </c>
    </row>
    <row r="750" customFormat="false" ht="15" hidden="false" customHeight="false" outlineLevel="0" collapsed="false">
      <c r="A750" s="28"/>
      <c r="B750" s="28"/>
      <c r="C750" s="28"/>
      <c r="D750" s="31"/>
      <c r="E750" s="10"/>
      <c r="F750" s="28"/>
      <c r="G750" s="11" t="str">
        <f aca="false">IF(OR(A750="",N(D750)=0),"",IFERROR(D750*(1+IFERROR(IF(ISNUMBER(INDEX(Moldes!$K$5:$K$154,MATCH(A750,Moldes!$A$5:$A$154,0))),INDEX(Moldes!$K$5:$K$154,MATCH(A750,Moldes!$A$5:$A$154,0)),Precios!$Q$12),Precios!$Q$12))*(INDEX(Precios!$F$5:$F$124,MATCH(E750,Precios!$A$5:$A$124,0))+IF(F750="Sí",Precios!$Q$10,0)),"falta $ tela"))</f>
        <v/>
      </c>
      <c r="H750" s="32" t="str">
        <f aca="false">IF(A750="","",A750&amp;"|"&amp;COUNTIF($A$5:A750,A750))</f>
        <v/>
      </c>
    </row>
    <row r="751" customFormat="false" ht="15" hidden="false" customHeight="false" outlineLevel="0" collapsed="false">
      <c r="A751" s="28"/>
      <c r="B751" s="28"/>
      <c r="C751" s="28"/>
      <c r="D751" s="31"/>
      <c r="E751" s="10"/>
      <c r="F751" s="28"/>
      <c r="G751" s="11" t="str">
        <f aca="false">IF(OR(A751="",N(D751)=0),"",IFERROR(D751*(1+IFERROR(IF(ISNUMBER(INDEX(Moldes!$K$5:$K$154,MATCH(A751,Moldes!$A$5:$A$154,0))),INDEX(Moldes!$K$5:$K$154,MATCH(A751,Moldes!$A$5:$A$154,0)),Precios!$Q$12),Precios!$Q$12))*(INDEX(Precios!$F$5:$F$124,MATCH(E751,Precios!$A$5:$A$124,0))+IF(F751="Sí",Precios!$Q$10,0)),"falta $ tela"))</f>
        <v/>
      </c>
      <c r="H751" s="32" t="str">
        <f aca="false">IF(A751="","",A751&amp;"|"&amp;COUNTIF($A$5:A751,A751))</f>
        <v/>
      </c>
    </row>
    <row r="752" customFormat="false" ht="15" hidden="false" customHeight="false" outlineLevel="0" collapsed="false">
      <c r="A752" s="28"/>
      <c r="B752" s="28"/>
      <c r="C752" s="28"/>
      <c r="D752" s="31"/>
      <c r="E752" s="10"/>
      <c r="F752" s="28"/>
      <c r="G752" s="11" t="str">
        <f aca="false">IF(OR(A752="",N(D752)=0),"",IFERROR(D752*(1+IFERROR(IF(ISNUMBER(INDEX(Moldes!$K$5:$K$154,MATCH(A752,Moldes!$A$5:$A$154,0))),INDEX(Moldes!$K$5:$K$154,MATCH(A752,Moldes!$A$5:$A$154,0)),Precios!$Q$12),Precios!$Q$12))*(INDEX(Precios!$F$5:$F$124,MATCH(E752,Precios!$A$5:$A$124,0))+IF(F752="Sí",Precios!$Q$10,0)),"falta $ tela"))</f>
        <v/>
      </c>
      <c r="H752" s="32" t="str">
        <f aca="false">IF(A752="","",A752&amp;"|"&amp;COUNTIF($A$5:A752,A752))</f>
        <v/>
      </c>
    </row>
    <row r="753" customFormat="false" ht="15" hidden="false" customHeight="false" outlineLevel="0" collapsed="false">
      <c r="A753" s="28"/>
      <c r="B753" s="28"/>
      <c r="C753" s="28"/>
      <c r="D753" s="31"/>
      <c r="E753" s="10"/>
      <c r="F753" s="28"/>
      <c r="G753" s="11" t="str">
        <f aca="false">IF(OR(A753="",N(D753)=0),"",IFERROR(D753*(1+IFERROR(IF(ISNUMBER(INDEX(Moldes!$K$5:$K$154,MATCH(A753,Moldes!$A$5:$A$154,0))),INDEX(Moldes!$K$5:$K$154,MATCH(A753,Moldes!$A$5:$A$154,0)),Precios!$Q$12),Precios!$Q$12))*(INDEX(Precios!$F$5:$F$124,MATCH(E753,Precios!$A$5:$A$124,0))+IF(F753="Sí",Precios!$Q$10,0)),"falta $ tela"))</f>
        <v/>
      </c>
      <c r="H753" s="32" t="str">
        <f aca="false">IF(A753="","",A753&amp;"|"&amp;COUNTIF($A$5:A753,A753))</f>
        <v/>
      </c>
    </row>
    <row r="754" customFormat="false" ht="15" hidden="false" customHeight="false" outlineLevel="0" collapsed="false">
      <c r="A754" s="28"/>
      <c r="B754" s="28"/>
      <c r="C754" s="28"/>
      <c r="D754" s="31"/>
      <c r="E754" s="10"/>
      <c r="F754" s="28"/>
      <c r="G754" s="11" t="str">
        <f aca="false">IF(OR(A754="",N(D754)=0),"",IFERROR(D754*(1+IFERROR(IF(ISNUMBER(INDEX(Moldes!$K$5:$K$154,MATCH(A754,Moldes!$A$5:$A$154,0))),INDEX(Moldes!$K$5:$K$154,MATCH(A754,Moldes!$A$5:$A$154,0)),Precios!$Q$12),Precios!$Q$12))*(INDEX(Precios!$F$5:$F$124,MATCH(E754,Precios!$A$5:$A$124,0))+IF(F754="Sí",Precios!$Q$10,0)),"falta $ tela"))</f>
        <v/>
      </c>
      <c r="H754" s="32" t="str">
        <f aca="false">IF(A754="","",A754&amp;"|"&amp;COUNTIF($A$5:A754,A754))</f>
        <v/>
      </c>
    </row>
    <row r="755" customFormat="false" ht="15" hidden="false" customHeight="false" outlineLevel="0" collapsed="false">
      <c r="A755" s="28"/>
      <c r="B755" s="28"/>
      <c r="C755" s="28"/>
      <c r="D755" s="31"/>
      <c r="E755" s="10"/>
      <c r="F755" s="28"/>
      <c r="G755" s="11" t="str">
        <f aca="false">IF(OR(A755="",N(D755)=0),"",IFERROR(D755*(1+IFERROR(IF(ISNUMBER(INDEX(Moldes!$K$5:$K$154,MATCH(A755,Moldes!$A$5:$A$154,0))),INDEX(Moldes!$K$5:$K$154,MATCH(A755,Moldes!$A$5:$A$154,0)),Precios!$Q$12),Precios!$Q$12))*(INDEX(Precios!$F$5:$F$124,MATCH(E755,Precios!$A$5:$A$124,0))+IF(F755="Sí",Precios!$Q$10,0)),"falta $ tela"))</f>
        <v/>
      </c>
      <c r="H755" s="32" t="str">
        <f aca="false">IF(A755="","",A755&amp;"|"&amp;COUNTIF($A$5:A755,A755))</f>
        <v/>
      </c>
    </row>
    <row r="756" customFormat="false" ht="15" hidden="false" customHeight="false" outlineLevel="0" collapsed="false">
      <c r="A756" s="28"/>
      <c r="B756" s="28"/>
      <c r="C756" s="28"/>
      <c r="D756" s="31"/>
      <c r="E756" s="10"/>
      <c r="F756" s="28"/>
      <c r="G756" s="11" t="str">
        <f aca="false">IF(OR(A756="",N(D756)=0),"",IFERROR(D756*(1+IFERROR(IF(ISNUMBER(INDEX(Moldes!$K$5:$K$154,MATCH(A756,Moldes!$A$5:$A$154,0))),INDEX(Moldes!$K$5:$K$154,MATCH(A756,Moldes!$A$5:$A$154,0)),Precios!$Q$12),Precios!$Q$12))*(INDEX(Precios!$F$5:$F$124,MATCH(E756,Precios!$A$5:$A$124,0))+IF(F756="Sí",Precios!$Q$10,0)),"falta $ tela"))</f>
        <v/>
      </c>
      <c r="H756" s="32" t="str">
        <f aca="false">IF(A756="","",A756&amp;"|"&amp;COUNTIF($A$5:A756,A756))</f>
        <v/>
      </c>
    </row>
    <row r="757" customFormat="false" ht="15" hidden="false" customHeight="false" outlineLevel="0" collapsed="false">
      <c r="A757" s="28"/>
      <c r="B757" s="28"/>
      <c r="C757" s="28"/>
      <c r="D757" s="31"/>
      <c r="E757" s="10"/>
      <c r="F757" s="28"/>
      <c r="G757" s="11" t="str">
        <f aca="false">IF(OR(A757="",N(D757)=0),"",IFERROR(D757*(1+IFERROR(IF(ISNUMBER(INDEX(Moldes!$K$5:$K$154,MATCH(A757,Moldes!$A$5:$A$154,0))),INDEX(Moldes!$K$5:$K$154,MATCH(A757,Moldes!$A$5:$A$154,0)),Precios!$Q$12),Precios!$Q$12))*(INDEX(Precios!$F$5:$F$124,MATCH(E757,Precios!$A$5:$A$124,0))+IF(F757="Sí",Precios!$Q$10,0)),"falta $ tela"))</f>
        <v/>
      </c>
      <c r="H757" s="32" t="str">
        <f aca="false">IF(A757="","",A757&amp;"|"&amp;COUNTIF($A$5:A757,A757))</f>
        <v/>
      </c>
    </row>
    <row r="758" customFormat="false" ht="15" hidden="false" customHeight="false" outlineLevel="0" collapsed="false">
      <c r="A758" s="28"/>
      <c r="B758" s="28"/>
      <c r="C758" s="28"/>
      <c r="D758" s="31"/>
      <c r="E758" s="10"/>
      <c r="F758" s="28"/>
      <c r="G758" s="11" t="str">
        <f aca="false">IF(OR(A758="",N(D758)=0),"",IFERROR(D758*(1+IFERROR(IF(ISNUMBER(INDEX(Moldes!$K$5:$K$154,MATCH(A758,Moldes!$A$5:$A$154,0))),INDEX(Moldes!$K$5:$K$154,MATCH(A758,Moldes!$A$5:$A$154,0)),Precios!$Q$12),Precios!$Q$12))*(INDEX(Precios!$F$5:$F$124,MATCH(E758,Precios!$A$5:$A$124,0))+IF(F758="Sí",Precios!$Q$10,0)),"falta $ tela"))</f>
        <v/>
      </c>
      <c r="H758" s="32" t="str">
        <f aca="false">IF(A758="","",A758&amp;"|"&amp;COUNTIF($A$5:A758,A758))</f>
        <v/>
      </c>
    </row>
    <row r="759" customFormat="false" ht="15" hidden="false" customHeight="false" outlineLevel="0" collapsed="false">
      <c r="A759" s="28"/>
      <c r="B759" s="28"/>
      <c r="C759" s="28"/>
      <c r="D759" s="31"/>
      <c r="E759" s="10"/>
      <c r="F759" s="28"/>
      <c r="G759" s="11" t="str">
        <f aca="false">IF(OR(A759="",N(D759)=0),"",IFERROR(D759*(1+IFERROR(IF(ISNUMBER(INDEX(Moldes!$K$5:$K$154,MATCH(A759,Moldes!$A$5:$A$154,0))),INDEX(Moldes!$K$5:$K$154,MATCH(A759,Moldes!$A$5:$A$154,0)),Precios!$Q$12),Precios!$Q$12))*(INDEX(Precios!$F$5:$F$124,MATCH(E759,Precios!$A$5:$A$124,0))+IF(F759="Sí",Precios!$Q$10,0)),"falta $ tela"))</f>
        <v/>
      </c>
      <c r="H759" s="32" t="str">
        <f aca="false">IF(A759="","",A759&amp;"|"&amp;COUNTIF($A$5:A759,A759))</f>
        <v/>
      </c>
    </row>
    <row r="760" customFormat="false" ht="15" hidden="false" customHeight="false" outlineLevel="0" collapsed="false">
      <c r="A760" s="28"/>
      <c r="B760" s="28"/>
      <c r="C760" s="28"/>
      <c r="D760" s="31"/>
      <c r="E760" s="10"/>
      <c r="F760" s="28"/>
      <c r="G760" s="11" t="str">
        <f aca="false">IF(OR(A760="",N(D760)=0),"",IFERROR(D760*(1+IFERROR(IF(ISNUMBER(INDEX(Moldes!$K$5:$K$154,MATCH(A760,Moldes!$A$5:$A$154,0))),INDEX(Moldes!$K$5:$K$154,MATCH(A760,Moldes!$A$5:$A$154,0)),Precios!$Q$12),Precios!$Q$12))*(INDEX(Precios!$F$5:$F$124,MATCH(E760,Precios!$A$5:$A$124,0))+IF(F760="Sí",Precios!$Q$10,0)),"falta $ tela"))</f>
        <v/>
      </c>
      <c r="H760" s="32" t="str">
        <f aca="false">IF(A760="","",A760&amp;"|"&amp;COUNTIF($A$5:A760,A760))</f>
        <v/>
      </c>
    </row>
    <row r="761" customFormat="false" ht="15" hidden="false" customHeight="false" outlineLevel="0" collapsed="false">
      <c r="A761" s="28"/>
      <c r="B761" s="28"/>
      <c r="C761" s="28"/>
      <c r="D761" s="31"/>
      <c r="E761" s="10"/>
      <c r="F761" s="28"/>
      <c r="G761" s="11" t="str">
        <f aca="false">IF(OR(A761="",N(D761)=0),"",IFERROR(D761*(1+IFERROR(IF(ISNUMBER(INDEX(Moldes!$K$5:$K$154,MATCH(A761,Moldes!$A$5:$A$154,0))),INDEX(Moldes!$K$5:$K$154,MATCH(A761,Moldes!$A$5:$A$154,0)),Precios!$Q$12),Precios!$Q$12))*(INDEX(Precios!$F$5:$F$124,MATCH(E761,Precios!$A$5:$A$124,0))+IF(F761="Sí",Precios!$Q$10,0)),"falta $ tela"))</f>
        <v/>
      </c>
      <c r="H761" s="32" t="str">
        <f aca="false">IF(A761="","",A761&amp;"|"&amp;COUNTIF($A$5:A761,A761))</f>
        <v/>
      </c>
    </row>
    <row r="762" customFormat="false" ht="15" hidden="false" customHeight="false" outlineLevel="0" collapsed="false">
      <c r="A762" s="28"/>
      <c r="B762" s="28"/>
      <c r="C762" s="28"/>
      <c r="D762" s="31"/>
      <c r="E762" s="10"/>
      <c r="F762" s="28"/>
      <c r="G762" s="11" t="str">
        <f aca="false">IF(OR(A762="",N(D762)=0),"",IFERROR(D762*(1+IFERROR(IF(ISNUMBER(INDEX(Moldes!$K$5:$K$154,MATCH(A762,Moldes!$A$5:$A$154,0))),INDEX(Moldes!$K$5:$K$154,MATCH(A762,Moldes!$A$5:$A$154,0)),Precios!$Q$12),Precios!$Q$12))*(INDEX(Precios!$F$5:$F$124,MATCH(E762,Precios!$A$5:$A$124,0))+IF(F762="Sí",Precios!$Q$10,0)),"falta $ tela"))</f>
        <v/>
      </c>
      <c r="H762" s="32" t="str">
        <f aca="false">IF(A762="","",A762&amp;"|"&amp;COUNTIF($A$5:A762,A762))</f>
        <v/>
      </c>
    </row>
    <row r="763" customFormat="false" ht="15" hidden="false" customHeight="false" outlineLevel="0" collapsed="false">
      <c r="A763" s="28"/>
      <c r="B763" s="28"/>
      <c r="C763" s="28"/>
      <c r="D763" s="31"/>
      <c r="E763" s="10"/>
      <c r="F763" s="28"/>
      <c r="G763" s="11" t="str">
        <f aca="false">IF(OR(A763="",N(D763)=0),"",IFERROR(D763*(1+IFERROR(IF(ISNUMBER(INDEX(Moldes!$K$5:$K$154,MATCH(A763,Moldes!$A$5:$A$154,0))),INDEX(Moldes!$K$5:$K$154,MATCH(A763,Moldes!$A$5:$A$154,0)),Precios!$Q$12),Precios!$Q$12))*(INDEX(Precios!$F$5:$F$124,MATCH(E763,Precios!$A$5:$A$124,0))+IF(F763="Sí",Precios!$Q$10,0)),"falta $ tela"))</f>
        <v/>
      </c>
      <c r="H763" s="32" t="str">
        <f aca="false">IF(A763="","",A763&amp;"|"&amp;COUNTIF($A$5:A763,A763))</f>
        <v/>
      </c>
    </row>
    <row r="764" customFormat="false" ht="15" hidden="false" customHeight="false" outlineLevel="0" collapsed="false">
      <c r="A764" s="28"/>
      <c r="B764" s="28"/>
      <c r="C764" s="28"/>
      <c r="D764" s="31"/>
      <c r="E764" s="10"/>
      <c r="F764" s="28"/>
      <c r="G764" s="11" t="str">
        <f aca="false">IF(OR(A764="",N(D764)=0),"",IFERROR(D764*(1+IFERROR(IF(ISNUMBER(INDEX(Moldes!$K$5:$K$154,MATCH(A764,Moldes!$A$5:$A$154,0))),INDEX(Moldes!$K$5:$K$154,MATCH(A764,Moldes!$A$5:$A$154,0)),Precios!$Q$12),Precios!$Q$12))*(INDEX(Precios!$F$5:$F$124,MATCH(E764,Precios!$A$5:$A$124,0))+IF(F764="Sí",Precios!$Q$10,0)),"falta $ tela"))</f>
        <v/>
      </c>
      <c r="H764" s="32" t="str">
        <f aca="false">IF(A764="","",A764&amp;"|"&amp;COUNTIF($A$5:A764,A764))</f>
        <v/>
      </c>
    </row>
    <row r="765" customFormat="false" ht="15" hidden="false" customHeight="false" outlineLevel="0" collapsed="false">
      <c r="A765" s="28"/>
      <c r="B765" s="28"/>
      <c r="C765" s="28"/>
      <c r="D765" s="31"/>
      <c r="E765" s="10"/>
      <c r="F765" s="28"/>
      <c r="G765" s="11" t="str">
        <f aca="false">IF(OR(A765="",N(D765)=0),"",IFERROR(D765*(1+IFERROR(IF(ISNUMBER(INDEX(Moldes!$K$5:$K$154,MATCH(A765,Moldes!$A$5:$A$154,0))),INDEX(Moldes!$K$5:$K$154,MATCH(A765,Moldes!$A$5:$A$154,0)),Precios!$Q$12),Precios!$Q$12))*(INDEX(Precios!$F$5:$F$124,MATCH(E765,Precios!$A$5:$A$124,0))+IF(F765="Sí",Precios!$Q$10,0)),"falta $ tela"))</f>
        <v/>
      </c>
      <c r="H765" s="32" t="str">
        <f aca="false">IF(A765="","",A765&amp;"|"&amp;COUNTIF($A$5:A765,A765))</f>
        <v/>
      </c>
    </row>
    <row r="766" customFormat="false" ht="15" hidden="false" customHeight="false" outlineLevel="0" collapsed="false">
      <c r="A766" s="28"/>
      <c r="B766" s="28"/>
      <c r="C766" s="28"/>
      <c r="D766" s="31"/>
      <c r="E766" s="10"/>
      <c r="F766" s="28"/>
      <c r="G766" s="11" t="str">
        <f aca="false">IF(OR(A766="",N(D766)=0),"",IFERROR(D766*(1+IFERROR(IF(ISNUMBER(INDEX(Moldes!$K$5:$K$154,MATCH(A766,Moldes!$A$5:$A$154,0))),INDEX(Moldes!$K$5:$K$154,MATCH(A766,Moldes!$A$5:$A$154,0)),Precios!$Q$12),Precios!$Q$12))*(INDEX(Precios!$F$5:$F$124,MATCH(E766,Precios!$A$5:$A$124,0))+IF(F766="Sí",Precios!$Q$10,0)),"falta $ tela"))</f>
        <v/>
      </c>
      <c r="H766" s="32" t="str">
        <f aca="false">IF(A766="","",A766&amp;"|"&amp;COUNTIF($A$5:A766,A766))</f>
        <v/>
      </c>
    </row>
    <row r="767" customFormat="false" ht="15" hidden="false" customHeight="false" outlineLevel="0" collapsed="false">
      <c r="A767" s="28"/>
      <c r="B767" s="28"/>
      <c r="C767" s="28"/>
      <c r="D767" s="31"/>
      <c r="E767" s="10"/>
      <c r="F767" s="28"/>
      <c r="G767" s="11" t="str">
        <f aca="false">IF(OR(A767="",N(D767)=0),"",IFERROR(D767*(1+IFERROR(IF(ISNUMBER(INDEX(Moldes!$K$5:$K$154,MATCH(A767,Moldes!$A$5:$A$154,0))),INDEX(Moldes!$K$5:$K$154,MATCH(A767,Moldes!$A$5:$A$154,0)),Precios!$Q$12),Precios!$Q$12))*(INDEX(Precios!$F$5:$F$124,MATCH(E767,Precios!$A$5:$A$124,0))+IF(F767="Sí",Precios!$Q$10,0)),"falta $ tela"))</f>
        <v/>
      </c>
      <c r="H767" s="32" t="str">
        <f aca="false">IF(A767="","",A767&amp;"|"&amp;COUNTIF($A$5:A767,A767))</f>
        <v/>
      </c>
    </row>
    <row r="768" customFormat="false" ht="15" hidden="false" customHeight="false" outlineLevel="0" collapsed="false">
      <c r="A768" s="28"/>
      <c r="B768" s="28"/>
      <c r="C768" s="28"/>
      <c r="D768" s="31"/>
      <c r="E768" s="10"/>
      <c r="F768" s="28"/>
      <c r="G768" s="11" t="str">
        <f aca="false">IF(OR(A768="",N(D768)=0),"",IFERROR(D768*(1+IFERROR(IF(ISNUMBER(INDEX(Moldes!$K$5:$K$154,MATCH(A768,Moldes!$A$5:$A$154,0))),INDEX(Moldes!$K$5:$K$154,MATCH(A768,Moldes!$A$5:$A$154,0)),Precios!$Q$12),Precios!$Q$12))*(INDEX(Precios!$F$5:$F$124,MATCH(E768,Precios!$A$5:$A$124,0))+IF(F768="Sí",Precios!$Q$10,0)),"falta $ tela"))</f>
        <v/>
      </c>
      <c r="H768" s="32" t="str">
        <f aca="false">IF(A768="","",A768&amp;"|"&amp;COUNTIF($A$5:A768,A768))</f>
        <v/>
      </c>
    </row>
    <row r="769" customFormat="false" ht="15" hidden="false" customHeight="false" outlineLevel="0" collapsed="false">
      <c r="A769" s="28"/>
      <c r="B769" s="28"/>
      <c r="C769" s="28"/>
      <c r="D769" s="31"/>
      <c r="E769" s="10"/>
      <c r="F769" s="28"/>
      <c r="G769" s="11" t="str">
        <f aca="false">IF(OR(A769="",N(D769)=0),"",IFERROR(D769*(1+IFERROR(IF(ISNUMBER(INDEX(Moldes!$K$5:$K$154,MATCH(A769,Moldes!$A$5:$A$154,0))),INDEX(Moldes!$K$5:$K$154,MATCH(A769,Moldes!$A$5:$A$154,0)),Precios!$Q$12),Precios!$Q$12))*(INDEX(Precios!$F$5:$F$124,MATCH(E769,Precios!$A$5:$A$124,0))+IF(F769="Sí",Precios!$Q$10,0)),"falta $ tela"))</f>
        <v/>
      </c>
      <c r="H769" s="32" t="str">
        <f aca="false">IF(A769="","",A769&amp;"|"&amp;COUNTIF($A$5:A769,A769))</f>
        <v/>
      </c>
    </row>
    <row r="770" customFormat="false" ht="15" hidden="false" customHeight="false" outlineLevel="0" collapsed="false">
      <c r="A770" s="28"/>
      <c r="B770" s="28"/>
      <c r="C770" s="28"/>
      <c r="D770" s="31"/>
      <c r="E770" s="10"/>
      <c r="F770" s="28"/>
      <c r="G770" s="11" t="str">
        <f aca="false">IF(OR(A770="",N(D770)=0),"",IFERROR(D770*(1+IFERROR(IF(ISNUMBER(INDEX(Moldes!$K$5:$K$154,MATCH(A770,Moldes!$A$5:$A$154,0))),INDEX(Moldes!$K$5:$K$154,MATCH(A770,Moldes!$A$5:$A$154,0)),Precios!$Q$12),Precios!$Q$12))*(INDEX(Precios!$F$5:$F$124,MATCH(E770,Precios!$A$5:$A$124,0))+IF(F770="Sí",Precios!$Q$10,0)),"falta $ tela"))</f>
        <v/>
      </c>
      <c r="H770" s="32" t="str">
        <f aca="false">IF(A770="","",A770&amp;"|"&amp;COUNTIF($A$5:A770,A770))</f>
        <v/>
      </c>
    </row>
    <row r="771" customFormat="false" ht="15" hidden="false" customHeight="false" outlineLevel="0" collapsed="false">
      <c r="A771" s="28"/>
      <c r="B771" s="28"/>
      <c r="C771" s="28"/>
      <c r="D771" s="31"/>
      <c r="E771" s="10"/>
      <c r="F771" s="28"/>
      <c r="G771" s="11" t="str">
        <f aca="false">IF(OR(A771="",N(D771)=0),"",IFERROR(D771*(1+IFERROR(IF(ISNUMBER(INDEX(Moldes!$K$5:$K$154,MATCH(A771,Moldes!$A$5:$A$154,0))),INDEX(Moldes!$K$5:$K$154,MATCH(A771,Moldes!$A$5:$A$154,0)),Precios!$Q$12),Precios!$Q$12))*(INDEX(Precios!$F$5:$F$124,MATCH(E771,Precios!$A$5:$A$124,0))+IF(F771="Sí",Precios!$Q$10,0)),"falta $ tela"))</f>
        <v/>
      </c>
      <c r="H771" s="32" t="str">
        <f aca="false">IF(A771="","",A771&amp;"|"&amp;COUNTIF($A$5:A771,A771))</f>
        <v/>
      </c>
    </row>
    <row r="772" customFormat="false" ht="15" hidden="false" customHeight="false" outlineLevel="0" collapsed="false">
      <c r="A772" s="28"/>
      <c r="B772" s="28"/>
      <c r="C772" s="28"/>
      <c r="D772" s="31"/>
      <c r="E772" s="10"/>
      <c r="F772" s="28"/>
      <c r="G772" s="11" t="str">
        <f aca="false">IF(OR(A772="",N(D772)=0),"",IFERROR(D772*(1+IFERROR(IF(ISNUMBER(INDEX(Moldes!$K$5:$K$154,MATCH(A772,Moldes!$A$5:$A$154,0))),INDEX(Moldes!$K$5:$K$154,MATCH(A772,Moldes!$A$5:$A$154,0)),Precios!$Q$12),Precios!$Q$12))*(INDEX(Precios!$F$5:$F$124,MATCH(E772,Precios!$A$5:$A$124,0))+IF(F772="Sí",Precios!$Q$10,0)),"falta $ tela"))</f>
        <v/>
      </c>
      <c r="H772" s="32" t="str">
        <f aca="false">IF(A772="","",A772&amp;"|"&amp;COUNTIF($A$5:A772,A772))</f>
        <v/>
      </c>
    </row>
    <row r="773" customFormat="false" ht="15" hidden="false" customHeight="false" outlineLevel="0" collapsed="false">
      <c r="A773" s="28"/>
      <c r="B773" s="28"/>
      <c r="C773" s="28"/>
      <c r="D773" s="31"/>
      <c r="E773" s="10"/>
      <c r="F773" s="28"/>
      <c r="G773" s="11" t="str">
        <f aca="false">IF(OR(A773="",N(D773)=0),"",IFERROR(D773*(1+IFERROR(IF(ISNUMBER(INDEX(Moldes!$K$5:$K$154,MATCH(A773,Moldes!$A$5:$A$154,0))),INDEX(Moldes!$K$5:$K$154,MATCH(A773,Moldes!$A$5:$A$154,0)),Precios!$Q$12),Precios!$Q$12))*(INDEX(Precios!$F$5:$F$124,MATCH(E773,Precios!$A$5:$A$124,0))+IF(F773="Sí",Precios!$Q$10,0)),"falta $ tela"))</f>
        <v/>
      </c>
      <c r="H773" s="32" t="str">
        <f aca="false">IF(A773="","",A773&amp;"|"&amp;COUNTIF($A$5:A773,A773))</f>
        <v/>
      </c>
    </row>
    <row r="774" customFormat="false" ht="15" hidden="false" customHeight="false" outlineLevel="0" collapsed="false">
      <c r="A774" s="28"/>
      <c r="B774" s="28"/>
      <c r="C774" s="28"/>
      <c r="D774" s="31"/>
      <c r="E774" s="10"/>
      <c r="F774" s="28"/>
      <c r="G774" s="11" t="str">
        <f aca="false">IF(OR(A774="",N(D774)=0),"",IFERROR(D774*(1+IFERROR(IF(ISNUMBER(INDEX(Moldes!$K$5:$K$154,MATCH(A774,Moldes!$A$5:$A$154,0))),INDEX(Moldes!$K$5:$K$154,MATCH(A774,Moldes!$A$5:$A$154,0)),Precios!$Q$12),Precios!$Q$12))*(INDEX(Precios!$F$5:$F$124,MATCH(E774,Precios!$A$5:$A$124,0))+IF(F774="Sí",Precios!$Q$10,0)),"falta $ tela"))</f>
        <v/>
      </c>
      <c r="H774" s="32" t="str">
        <f aca="false">IF(A774="","",A774&amp;"|"&amp;COUNTIF($A$5:A774,A774))</f>
        <v/>
      </c>
    </row>
    <row r="775" customFormat="false" ht="15" hidden="false" customHeight="false" outlineLevel="0" collapsed="false">
      <c r="A775" s="28"/>
      <c r="B775" s="28"/>
      <c r="C775" s="28"/>
      <c r="D775" s="31"/>
      <c r="E775" s="10"/>
      <c r="F775" s="28"/>
      <c r="G775" s="11" t="str">
        <f aca="false">IF(OR(A775="",N(D775)=0),"",IFERROR(D775*(1+IFERROR(IF(ISNUMBER(INDEX(Moldes!$K$5:$K$154,MATCH(A775,Moldes!$A$5:$A$154,0))),INDEX(Moldes!$K$5:$K$154,MATCH(A775,Moldes!$A$5:$A$154,0)),Precios!$Q$12),Precios!$Q$12))*(INDEX(Precios!$F$5:$F$124,MATCH(E775,Precios!$A$5:$A$124,0))+IF(F775="Sí",Precios!$Q$10,0)),"falta $ tela"))</f>
        <v/>
      </c>
      <c r="H775" s="32" t="str">
        <f aca="false">IF(A775="","",A775&amp;"|"&amp;COUNTIF($A$5:A775,A775))</f>
        <v/>
      </c>
    </row>
    <row r="776" customFormat="false" ht="15" hidden="false" customHeight="false" outlineLevel="0" collapsed="false">
      <c r="A776" s="28"/>
      <c r="B776" s="28"/>
      <c r="C776" s="28"/>
      <c r="D776" s="31"/>
      <c r="E776" s="10"/>
      <c r="F776" s="28"/>
      <c r="G776" s="11" t="str">
        <f aca="false">IF(OR(A776="",N(D776)=0),"",IFERROR(D776*(1+IFERROR(IF(ISNUMBER(INDEX(Moldes!$K$5:$K$154,MATCH(A776,Moldes!$A$5:$A$154,0))),INDEX(Moldes!$K$5:$K$154,MATCH(A776,Moldes!$A$5:$A$154,0)),Precios!$Q$12),Precios!$Q$12))*(INDEX(Precios!$F$5:$F$124,MATCH(E776,Precios!$A$5:$A$124,0))+IF(F776="Sí",Precios!$Q$10,0)),"falta $ tela"))</f>
        <v/>
      </c>
      <c r="H776" s="32" t="str">
        <f aca="false">IF(A776="","",A776&amp;"|"&amp;COUNTIF($A$5:A776,A776))</f>
        <v/>
      </c>
    </row>
    <row r="777" customFormat="false" ht="15" hidden="false" customHeight="false" outlineLevel="0" collapsed="false">
      <c r="A777" s="28"/>
      <c r="B777" s="28"/>
      <c r="C777" s="28"/>
      <c r="D777" s="31"/>
      <c r="E777" s="10"/>
      <c r="F777" s="28"/>
      <c r="G777" s="11" t="str">
        <f aca="false">IF(OR(A777="",N(D777)=0),"",IFERROR(D777*(1+IFERROR(IF(ISNUMBER(INDEX(Moldes!$K$5:$K$154,MATCH(A777,Moldes!$A$5:$A$154,0))),INDEX(Moldes!$K$5:$K$154,MATCH(A777,Moldes!$A$5:$A$154,0)),Precios!$Q$12),Precios!$Q$12))*(INDEX(Precios!$F$5:$F$124,MATCH(E777,Precios!$A$5:$A$124,0))+IF(F777="Sí",Precios!$Q$10,0)),"falta $ tela"))</f>
        <v/>
      </c>
      <c r="H777" s="32" t="str">
        <f aca="false">IF(A777="","",A777&amp;"|"&amp;COUNTIF($A$5:A777,A777))</f>
        <v/>
      </c>
    </row>
    <row r="778" customFormat="false" ht="15" hidden="false" customHeight="false" outlineLevel="0" collapsed="false">
      <c r="A778" s="28"/>
      <c r="B778" s="28"/>
      <c r="C778" s="28"/>
      <c r="D778" s="31"/>
      <c r="E778" s="10"/>
      <c r="F778" s="28"/>
      <c r="G778" s="11" t="str">
        <f aca="false">IF(OR(A778="",N(D778)=0),"",IFERROR(D778*(1+IFERROR(IF(ISNUMBER(INDEX(Moldes!$K$5:$K$154,MATCH(A778,Moldes!$A$5:$A$154,0))),INDEX(Moldes!$K$5:$K$154,MATCH(A778,Moldes!$A$5:$A$154,0)),Precios!$Q$12),Precios!$Q$12))*(INDEX(Precios!$F$5:$F$124,MATCH(E778,Precios!$A$5:$A$124,0))+IF(F778="Sí",Precios!$Q$10,0)),"falta $ tela"))</f>
        <v/>
      </c>
      <c r="H778" s="32" t="str">
        <f aca="false">IF(A778="","",A778&amp;"|"&amp;COUNTIF($A$5:A778,A778))</f>
        <v/>
      </c>
    </row>
    <row r="779" customFormat="false" ht="15" hidden="false" customHeight="false" outlineLevel="0" collapsed="false">
      <c r="A779" s="28"/>
      <c r="B779" s="28"/>
      <c r="C779" s="28"/>
      <c r="D779" s="31"/>
      <c r="E779" s="10"/>
      <c r="F779" s="28"/>
      <c r="G779" s="11" t="str">
        <f aca="false">IF(OR(A779="",N(D779)=0),"",IFERROR(D779*(1+IFERROR(IF(ISNUMBER(INDEX(Moldes!$K$5:$K$154,MATCH(A779,Moldes!$A$5:$A$154,0))),INDEX(Moldes!$K$5:$K$154,MATCH(A779,Moldes!$A$5:$A$154,0)),Precios!$Q$12),Precios!$Q$12))*(INDEX(Precios!$F$5:$F$124,MATCH(E779,Precios!$A$5:$A$124,0))+IF(F779="Sí",Precios!$Q$10,0)),"falta $ tela"))</f>
        <v/>
      </c>
      <c r="H779" s="32" t="str">
        <f aca="false">IF(A779="","",A779&amp;"|"&amp;COUNTIF($A$5:A779,A779))</f>
        <v/>
      </c>
    </row>
    <row r="780" customFormat="false" ht="15" hidden="false" customHeight="false" outlineLevel="0" collapsed="false">
      <c r="A780" s="28"/>
      <c r="B780" s="28"/>
      <c r="C780" s="28"/>
      <c r="D780" s="31"/>
      <c r="E780" s="10"/>
      <c r="F780" s="28"/>
      <c r="G780" s="11" t="str">
        <f aca="false">IF(OR(A780="",N(D780)=0),"",IFERROR(D780*(1+IFERROR(IF(ISNUMBER(INDEX(Moldes!$K$5:$K$154,MATCH(A780,Moldes!$A$5:$A$154,0))),INDEX(Moldes!$K$5:$K$154,MATCH(A780,Moldes!$A$5:$A$154,0)),Precios!$Q$12),Precios!$Q$12))*(INDEX(Precios!$F$5:$F$124,MATCH(E780,Precios!$A$5:$A$124,0))+IF(F780="Sí",Precios!$Q$10,0)),"falta $ tela"))</f>
        <v/>
      </c>
      <c r="H780" s="32" t="str">
        <f aca="false">IF(A780="","",A780&amp;"|"&amp;COUNTIF($A$5:A780,A780))</f>
        <v/>
      </c>
    </row>
    <row r="781" customFormat="false" ht="15" hidden="false" customHeight="false" outlineLevel="0" collapsed="false">
      <c r="A781" s="28"/>
      <c r="B781" s="28"/>
      <c r="C781" s="28"/>
      <c r="D781" s="31"/>
      <c r="E781" s="10"/>
      <c r="F781" s="28"/>
      <c r="G781" s="11" t="str">
        <f aca="false">IF(OR(A781="",N(D781)=0),"",IFERROR(D781*(1+IFERROR(IF(ISNUMBER(INDEX(Moldes!$K$5:$K$154,MATCH(A781,Moldes!$A$5:$A$154,0))),INDEX(Moldes!$K$5:$K$154,MATCH(A781,Moldes!$A$5:$A$154,0)),Precios!$Q$12),Precios!$Q$12))*(INDEX(Precios!$F$5:$F$124,MATCH(E781,Precios!$A$5:$A$124,0))+IF(F781="Sí",Precios!$Q$10,0)),"falta $ tela"))</f>
        <v/>
      </c>
      <c r="H781" s="32" t="str">
        <f aca="false">IF(A781="","",A781&amp;"|"&amp;COUNTIF($A$5:A781,A781))</f>
        <v/>
      </c>
    </row>
    <row r="782" customFormat="false" ht="15" hidden="false" customHeight="false" outlineLevel="0" collapsed="false">
      <c r="A782" s="28"/>
      <c r="B782" s="28"/>
      <c r="C782" s="28"/>
      <c r="D782" s="31"/>
      <c r="E782" s="10"/>
      <c r="F782" s="28"/>
      <c r="G782" s="11" t="str">
        <f aca="false">IF(OR(A782="",N(D782)=0),"",IFERROR(D782*(1+IFERROR(IF(ISNUMBER(INDEX(Moldes!$K$5:$K$154,MATCH(A782,Moldes!$A$5:$A$154,0))),INDEX(Moldes!$K$5:$K$154,MATCH(A782,Moldes!$A$5:$A$154,0)),Precios!$Q$12),Precios!$Q$12))*(INDEX(Precios!$F$5:$F$124,MATCH(E782,Precios!$A$5:$A$124,0))+IF(F782="Sí",Precios!$Q$10,0)),"falta $ tela"))</f>
        <v/>
      </c>
      <c r="H782" s="32" t="str">
        <f aca="false">IF(A782="","",A782&amp;"|"&amp;COUNTIF($A$5:A782,A782))</f>
        <v/>
      </c>
    </row>
    <row r="783" customFormat="false" ht="15" hidden="false" customHeight="false" outlineLevel="0" collapsed="false">
      <c r="A783" s="28"/>
      <c r="B783" s="28"/>
      <c r="C783" s="28"/>
      <c r="D783" s="31"/>
      <c r="E783" s="10"/>
      <c r="F783" s="28"/>
      <c r="G783" s="11" t="str">
        <f aca="false">IF(OR(A783="",N(D783)=0),"",IFERROR(D783*(1+IFERROR(IF(ISNUMBER(INDEX(Moldes!$K$5:$K$154,MATCH(A783,Moldes!$A$5:$A$154,0))),INDEX(Moldes!$K$5:$K$154,MATCH(A783,Moldes!$A$5:$A$154,0)),Precios!$Q$12),Precios!$Q$12))*(INDEX(Precios!$F$5:$F$124,MATCH(E783,Precios!$A$5:$A$124,0))+IF(F783="Sí",Precios!$Q$10,0)),"falta $ tela"))</f>
        <v/>
      </c>
      <c r="H783" s="32" t="str">
        <f aca="false">IF(A783="","",A783&amp;"|"&amp;COUNTIF($A$5:A783,A783))</f>
        <v/>
      </c>
    </row>
    <row r="784" customFormat="false" ht="15" hidden="false" customHeight="false" outlineLevel="0" collapsed="false">
      <c r="A784" s="28"/>
      <c r="B784" s="28"/>
      <c r="C784" s="28"/>
      <c r="D784" s="31"/>
      <c r="E784" s="10"/>
      <c r="F784" s="28"/>
      <c r="G784" s="11" t="str">
        <f aca="false">IF(OR(A784="",N(D784)=0),"",IFERROR(D784*(1+IFERROR(IF(ISNUMBER(INDEX(Moldes!$K$5:$K$154,MATCH(A784,Moldes!$A$5:$A$154,0))),INDEX(Moldes!$K$5:$K$154,MATCH(A784,Moldes!$A$5:$A$154,0)),Precios!$Q$12),Precios!$Q$12))*(INDEX(Precios!$F$5:$F$124,MATCH(E784,Precios!$A$5:$A$124,0))+IF(F784="Sí",Precios!$Q$10,0)),"falta $ tela"))</f>
        <v/>
      </c>
      <c r="H784" s="32" t="str">
        <f aca="false">IF(A784="","",A784&amp;"|"&amp;COUNTIF($A$5:A784,A784))</f>
        <v/>
      </c>
    </row>
    <row r="785" customFormat="false" ht="15" hidden="false" customHeight="false" outlineLevel="0" collapsed="false">
      <c r="A785" s="28"/>
      <c r="B785" s="28"/>
      <c r="C785" s="28"/>
      <c r="D785" s="31"/>
      <c r="E785" s="10"/>
      <c r="F785" s="28"/>
      <c r="G785" s="11" t="str">
        <f aca="false">IF(OR(A785="",N(D785)=0),"",IFERROR(D785*(1+IFERROR(IF(ISNUMBER(INDEX(Moldes!$K$5:$K$154,MATCH(A785,Moldes!$A$5:$A$154,0))),INDEX(Moldes!$K$5:$K$154,MATCH(A785,Moldes!$A$5:$A$154,0)),Precios!$Q$12),Precios!$Q$12))*(INDEX(Precios!$F$5:$F$124,MATCH(E785,Precios!$A$5:$A$124,0))+IF(F785="Sí",Precios!$Q$10,0)),"falta $ tela"))</f>
        <v/>
      </c>
      <c r="H785" s="32" t="str">
        <f aca="false">IF(A785="","",A785&amp;"|"&amp;COUNTIF($A$5:A785,A785))</f>
        <v/>
      </c>
    </row>
    <row r="786" customFormat="false" ht="15" hidden="false" customHeight="false" outlineLevel="0" collapsed="false">
      <c r="A786" s="28"/>
      <c r="B786" s="28"/>
      <c r="C786" s="28"/>
      <c r="D786" s="31"/>
      <c r="E786" s="10"/>
      <c r="F786" s="28"/>
      <c r="G786" s="11" t="str">
        <f aca="false">IF(OR(A786="",N(D786)=0),"",IFERROR(D786*(1+IFERROR(IF(ISNUMBER(INDEX(Moldes!$K$5:$K$154,MATCH(A786,Moldes!$A$5:$A$154,0))),INDEX(Moldes!$K$5:$K$154,MATCH(A786,Moldes!$A$5:$A$154,0)),Precios!$Q$12),Precios!$Q$12))*(INDEX(Precios!$F$5:$F$124,MATCH(E786,Precios!$A$5:$A$124,0))+IF(F786="Sí",Precios!$Q$10,0)),"falta $ tela"))</f>
        <v/>
      </c>
      <c r="H786" s="32" t="str">
        <f aca="false">IF(A786="","",A786&amp;"|"&amp;COUNTIF($A$5:A786,A786))</f>
        <v/>
      </c>
    </row>
    <row r="787" customFormat="false" ht="15" hidden="false" customHeight="false" outlineLevel="0" collapsed="false">
      <c r="A787" s="28"/>
      <c r="B787" s="28"/>
      <c r="C787" s="28"/>
      <c r="D787" s="31"/>
      <c r="E787" s="10"/>
      <c r="F787" s="28"/>
      <c r="G787" s="11" t="str">
        <f aca="false">IF(OR(A787="",N(D787)=0),"",IFERROR(D787*(1+IFERROR(IF(ISNUMBER(INDEX(Moldes!$K$5:$K$154,MATCH(A787,Moldes!$A$5:$A$154,0))),INDEX(Moldes!$K$5:$K$154,MATCH(A787,Moldes!$A$5:$A$154,0)),Precios!$Q$12),Precios!$Q$12))*(INDEX(Precios!$F$5:$F$124,MATCH(E787,Precios!$A$5:$A$124,0))+IF(F787="Sí",Precios!$Q$10,0)),"falta $ tela"))</f>
        <v/>
      </c>
      <c r="H787" s="32" t="str">
        <f aca="false">IF(A787="","",A787&amp;"|"&amp;COUNTIF($A$5:A787,A787))</f>
        <v/>
      </c>
    </row>
    <row r="788" customFormat="false" ht="15" hidden="false" customHeight="false" outlineLevel="0" collapsed="false">
      <c r="A788" s="28"/>
      <c r="B788" s="28"/>
      <c r="C788" s="28"/>
      <c r="D788" s="31"/>
      <c r="E788" s="10"/>
      <c r="F788" s="28"/>
      <c r="G788" s="11" t="str">
        <f aca="false">IF(OR(A788="",N(D788)=0),"",IFERROR(D788*(1+IFERROR(IF(ISNUMBER(INDEX(Moldes!$K$5:$K$154,MATCH(A788,Moldes!$A$5:$A$154,0))),INDEX(Moldes!$K$5:$K$154,MATCH(A788,Moldes!$A$5:$A$154,0)),Precios!$Q$12),Precios!$Q$12))*(INDEX(Precios!$F$5:$F$124,MATCH(E788,Precios!$A$5:$A$124,0))+IF(F788="Sí",Precios!$Q$10,0)),"falta $ tela"))</f>
        <v/>
      </c>
      <c r="H788" s="32" t="str">
        <f aca="false">IF(A788="","",A788&amp;"|"&amp;COUNTIF($A$5:A788,A788))</f>
        <v/>
      </c>
    </row>
    <row r="789" customFormat="false" ht="15" hidden="false" customHeight="false" outlineLevel="0" collapsed="false">
      <c r="A789" s="28"/>
      <c r="B789" s="28"/>
      <c r="C789" s="28"/>
      <c r="D789" s="31"/>
      <c r="E789" s="10"/>
      <c r="F789" s="28"/>
      <c r="G789" s="11" t="str">
        <f aca="false">IF(OR(A789="",N(D789)=0),"",IFERROR(D789*(1+IFERROR(IF(ISNUMBER(INDEX(Moldes!$K$5:$K$154,MATCH(A789,Moldes!$A$5:$A$154,0))),INDEX(Moldes!$K$5:$K$154,MATCH(A789,Moldes!$A$5:$A$154,0)),Precios!$Q$12),Precios!$Q$12))*(INDEX(Precios!$F$5:$F$124,MATCH(E789,Precios!$A$5:$A$124,0))+IF(F789="Sí",Precios!$Q$10,0)),"falta $ tela"))</f>
        <v/>
      </c>
      <c r="H789" s="32" t="str">
        <f aca="false">IF(A789="","",A789&amp;"|"&amp;COUNTIF($A$5:A789,A789))</f>
        <v/>
      </c>
    </row>
    <row r="790" customFormat="false" ht="15" hidden="false" customHeight="false" outlineLevel="0" collapsed="false">
      <c r="A790" s="28"/>
      <c r="B790" s="28"/>
      <c r="C790" s="28"/>
      <c r="D790" s="31"/>
      <c r="E790" s="10"/>
      <c r="F790" s="28"/>
      <c r="G790" s="11" t="str">
        <f aca="false">IF(OR(A790="",N(D790)=0),"",IFERROR(D790*(1+IFERROR(IF(ISNUMBER(INDEX(Moldes!$K$5:$K$154,MATCH(A790,Moldes!$A$5:$A$154,0))),INDEX(Moldes!$K$5:$K$154,MATCH(A790,Moldes!$A$5:$A$154,0)),Precios!$Q$12),Precios!$Q$12))*(INDEX(Precios!$F$5:$F$124,MATCH(E790,Precios!$A$5:$A$124,0))+IF(F790="Sí",Precios!$Q$10,0)),"falta $ tela"))</f>
        <v/>
      </c>
      <c r="H790" s="32" t="str">
        <f aca="false">IF(A790="","",A790&amp;"|"&amp;COUNTIF($A$5:A790,A790))</f>
        <v/>
      </c>
    </row>
    <row r="791" customFormat="false" ht="15" hidden="false" customHeight="false" outlineLevel="0" collapsed="false">
      <c r="A791" s="28"/>
      <c r="B791" s="28"/>
      <c r="C791" s="28"/>
      <c r="D791" s="31"/>
      <c r="E791" s="10"/>
      <c r="F791" s="28"/>
      <c r="G791" s="11" t="str">
        <f aca="false">IF(OR(A791="",N(D791)=0),"",IFERROR(D791*(1+IFERROR(IF(ISNUMBER(INDEX(Moldes!$K$5:$K$154,MATCH(A791,Moldes!$A$5:$A$154,0))),INDEX(Moldes!$K$5:$K$154,MATCH(A791,Moldes!$A$5:$A$154,0)),Precios!$Q$12),Precios!$Q$12))*(INDEX(Precios!$F$5:$F$124,MATCH(E791,Precios!$A$5:$A$124,0))+IF(F791="Sí",Precios!$Q$10,0)),"falta $ tela"))</f>
        <v/>
      </c>
      <c r="H791" s="32" t="str">
        <f aca="false">IF(A791="","",A791&amp;"|"&amp;COUNTIF($A$5:A791,A791))</f>
        <v/>
      </c>
    </row>
    <row r="792" customFormat="false" ht="15" hidden="false" customHeight="false" outlineLevel="0" collapsed="false">
      <c r="A792" s="28"/>
      <c r="B792" s="28"/>
      <c r="C792" s="28"/>
      <c r="D792" s="31"/>
      <c r="E792" s="10"/>
      <c r="F792" s="28"/>
      <c r="G792" s="11" t="str">
        <f aca="false">IF(OR(A792="",N(D792)=0),"",IFERROR(D792*(1+IFERROR(IF(ISNUMBER(INDEX(Moldes!$K$5:$K$154,MATCH(A792,Moldes!$A$5:$A$154,0))),INDEX(Moldes!$K$5:$K$154,MATCH(A792,Moldes!$A$5:$A$154,0)),Precios!$Q$12),Precios!$Q$12))*(INDEX(Precios!$F$5:$F$124,MATCH(E792,Precios!$A$5:$A$124,0))+IF(F792="Sí",Precios!$Q$10,0)),"falta $ tela"))</f>
        <v/>
      </c>
      <c r="H792" s="32" t="str">
        <f aca="false">IF(A792="","",A792&amp;"|"&amp;COUNTIF($A$5:A792,A792))</f>
        <v/>
      </c>
    </row>
    <row r="793" customFormat="false" ht="15" hidden="false" customHeight="false" outlineLevel="0" collapsed="false">
      <c r="A793" s="28"/>
      <c r="B793" s="28"/>
      <c r="C793" s="28"/>
      <c r="D793" s="31"/>
      <c r="E793" s="10"/>
      <c r="F793" s="28"/>
      <c r="G793" s="11" t="str">
        <f aca="false">IF(OR(A793="",N(D793)=0),"",IFERROR(D793*(1+IFERROR(IF(ISNUMBER(INDEX(Moldes!$K$5:$K$154,MATCH(A793,Moldes!$A$5:$A$154,0))),INDEX(Moldes!$K$5:$K$154,MATCH(A793,Moldes!$A$5:$A$154,0)),Precios!$Q$12),Precios!$Q$12))*(INDEX(Precios!$F$5:$F$124,MATCH(E793,Precios!$A$5:$A$124,0))+IF(F793="Sí",Precios!$Q$10,0)),"falta $ tela"))</f>
        <v/>
      </c>
      <c r="H793" s="32" t="str">
        <f aca="false">IF(A793="","",A793&amp;"|"&amp;COUNTIF($A$5:A793,A793))</f>
        <v/>
      </c>
    </row>
    <row r="794" customFormat="false" ht="15" hidden="false" customHeight="false" outlineLevel="0" collapsed="false">
      <c r="A794" s="28"/>
      <c r="B794" s="28"/>
      <c r="C794" s="28"/>
      <c r="D794" s="31"/>
      <c r="E794" s="10"/>
      <c r="F794" s="28"/>
      <c r="G794" s="11" t="str">
        <f aca="false">IF(OR(A794="",N(D794)=0),"",IFERROR(D794*(1+IFERROR(IF(ISNUMBER(INDEX(Moldes!$K$5:$K$154,MATCH(A794,Moldes!$A$5:$A$154,0))),INDEX(Moldes!$K$5:$K$154,MATCH(A794,Moldes!$A$5:$A$154,0)),Precios!$Q$12),Precios!$Q$12))*(INDEX(Precios!$F$5:$F$124,MATCH(E794,Precios!$A$5:$A$124,0))+IF(F794="Sí",Precios!$Q$10,0)),"falta $ tela"))</f>
        <v/>
      </c>
      <c r="H794" s="32" t="str">
        <f aca="false">IF(A794="","",A794&amp;"|"&amp;COUNTIF($A$5:A794,A794))</f>
        <v/>
      </c>
    </row>
    <row r="795" customFormat="false" ht="15" hidden="false" customHeight="false" outlineLevel="0" collapsed="false">
      <c r="A795" s="28"/>
      <c r="B795" s="28"/>
      <c r="C795" s="28"/>
      <c r="D795" s="31"/>
      <c r="E795" s="10"/>
      <c r="F795" s="28"/>
      <c r="G795" s="11" t="str">
        <f aca="false">IF(OR(A795="",N(D795)=0),"",IFERROR(D795*(1+IFERROR(IF(ISNUMBER(INDEX(Moldes!$K$5:$K$154,MATCH(A795,Moldes!$A$5:$A$154,0))),INDEX(Moldes!$K$5:$K$154,MATCH(A795,Moldes!$A$5:$A$154,0)),Precios!$Q$12),Precios!$Q$12))*(INDEX(Precios!$F$5:$F$124,MATCH(E795,Precios!$A$5:$A$124,0))+IF(F795="Sí",Precios!$Q$10,0)),"falta $ tela"))</f>
        <v/>
      </c>
      <c r="H795" s="32" t="str">
        <f aca="false">IF(A795="","",A795&amp;"|"&amp;COUNTIF($A$5:A795,A795))</f>
        <v/>
      </c>
    </row>
    <row r="796" customFormat="false" ht="15" hidden="false" customHeight="false" outlineLevel="0" collapsed="false">
      <c r="A796" s="28"/>
      <c r="B796" s="28"/>
      <c r="C796" s="28"/>
      <c r="D796" s="31"/>
      <c r="E796" s="10"/>
      <c r="F796" s="28"/>
      <c r="G796" s="11" t="str">
        <f aca="false">IF(OR(A796="",N(D796)=0),"",IFERROR(D796*(1+IFERROR(IF(ISNUMBER(INDEX(Moldes!$K$5:$K$154,MATCH(A796,Moldes!$A$5:$A$154,0))),INDEX(Moldes!$K$5:$K$154,MATCH(A796,Moldes!$A$5:$A$154,0)),Precios!$Q$12),Precios!$Q$12))*(INDEX(Precios!$F$5:$F$124,MATCH(E796,Precios!$A$5:$A$124,0))+IF(F796="Sí",Precios!$Q$10,0)),"falta $ tela"))</f>
        <v/>
      </c>
      <c r="H796" s="32" t="str">
        <f aca="false">IF(A796="","",A796&amp;"|"&amp;COUNTIF($A$5:A796,A796))</f>
        <v/>
      </c>
    </row>
    <row r="797" customFormat="false" ht="15" hidden="false" customHeight="false" outlineLevel="0" collapsed="false">
      <c r="A797" s="28"/>
      <c r="B797" s="28"/>
      <c r="C797" s="28"/>
      <c r="D797" s="31"/>
      <c r="E797" s="10"/>
      <c r="F797" s="28"/>
      <c r="G797" s="11" t="str">
        <f aca="false">IF(OR(A797="",N(D797)=0),"",IFERROR(D797*(1+IFERROR(IF(ISNUMBER(INDEX(Moldes!$K$5:$K$154,MATCH(A797,Moldes!$A$5:$A$154,0))),INDEX(Moldes!$K$5:$K$154,MATCH(A797,Moldes!$A$5:$A$154,0)),Precios!$Q$12),Precios!$Q$12))*(INDEX(Precios!$F$5:$F$124,MATCH(E797,Precios!$A$5:$A$124,0))+IF(F797="Sí",Precios!$Q$10,0)),"falta $ tela"))</f>
        <v/>
      </c>
      <c r="H797" s="32" t="str">
        <f aca="false">IF(A797="","",A797&amp;"|"&amp;COUNTIF($A$5:A797,A797))</f>
        <v/>
      </c>
    </row>
    <row r="798" customFormat="false" ht="15" hidden="false" customHeight="false" outlineLevel="0" collapsed="false">
      <c r="A798" s="28"/>
      <c r="B798" s="28"/>
      <c r="C798" s="28"/>
      <c r="D798" s="31"/>
      <c r="E798" s="10"/>
      <c r="F798" s="28"/>
      <c r="G798" s="11" t="str">
        <f aca="false">IF(OR(A798="",N(D798)=0),"",IFERROR(D798*(1+IFERROR(IF(ISNUMBER(INDEX(Moldes!$K$5:$K$154,MATCH(A798,Moldes!$A$5:$A$154,0))),INDEX(Moldes!$K$5:$K$154,MATCH(A798,Moldes!$A$5:$A$154,0)),Precios!$Q$12),Precios!$Q$12))*(INDEX(Precios!$F$5:$F$124,MATCH(E798,Precios!$A$5:$A$124,0))+IF(F798="Sí",Precios!$Q$10,0)),"falta $ tela"))</f>
        <v/>
      </c>
      <c r="H798" s="32" t="str">
        <f aca="false">IF(A798="","",A798&amp;"|"&amp;COUNTIF($A$5:A798,A798))</f>
        <v/>
      </c>
    </row>
    <row r="799" customFormat="false" ht="15" hidden="false" customHeight="false" outlineLevel="0" collapsed="false">
      <c r="A799" s="28"/>
      <c r="B799" s="28"/>
      <c r="C799" s="28"/>
      <c r="D799" s="31"/>
      <c r="E799" s="10"/>
      <c r="F799" s="28"/>
      <c r="G799" s="11" t="str">
        <f aca="false">IF(OR(A799="",N(D799)=0),"",IFERROR(D799*(1+IFERROR(IF(ISNUMBER(INDEX(Moldes!$K$5:$K$154,MATCH(A799,Moldes!$A$5:$A$154,0))),INDEX(Moldes!$K$5:$K$154,MATCH(A799,Moldes!$A$5:$A$154,0)),Precios!$Q$12),Precios!$Q$12))*(INDEX(Precios!$F$5:$F$124,MATCH(E799,Precios!$A$5:$A$124,0))+IF(F799="Sí",Precios!$Q$10,0)),"falta $ tela"))</f>
        <v/>
      </c>
      <c r="H799" s="32" t="str">
        <f aca="false">IF(A799="","",A799&amp;"|"&amp;COUNTIF($A$5:A799,A799))</f>
        <v/>
      </c>
    </row>
    <row r="800" customFormat="false" ht="15" hidden="false" customHeight="false" outlineLevel="0" collapsed="false">
      <c r="A800" s="28"/>
      <c r="B800" s="28"/>
      <c r="C800" s="28"/>
      <c r="D800" s="31"/>
      <c r="E800" s="10"/>
      <c r="F800" s="28"/>
      <c r="G800" s="11" t="str">
        <f aca="false">IF(OR(A800="",N(D800)=0),"",IFERROR(D800*(1+IFERROR(IF(ISNUMBER(INDEX(Moldes!$K$5:$K$154,MATCH(A800,Moldes!$A$5:$A$154,0))),INDEX(Moldes!$K$5:$K$154,MATCH(A800,Moldes!$A$5:$A$154,0)),Precios!$Q$12),Precios!$Q$12))*(INDEX(Precios!$F$5:$F$124,MATCH(E800,Precios!$A$5:$A$124,0))+IF(F800="Sí",Precios!$Q$10,0)),"falta $ tela"))</f>
        <v/>
      </c>
      <c r="H800" s="32" t="str">
        <f aca="false">IF(A800="","",A800&amp;"|"&amp;COUNTIF($A$5:A800,A800))</f>
        <v/>
      </c>
    </row>
    <row r="801" customFormat="false" ht="15" hidden="false" customHeight="false" outlineLevel="0" collapsed="false">
      <c r="A801" s="28"/>
      <c r="B801" s="28"/>
      <c r="C801" s="28"/>
      <c r="D801" s="31"/>
      <c r="E801" s="10"/>
      <c r="F801" s="28"/>
      <c r="G801" s="11" t="str">
        <f aca="false">IF(OR(A801="",N(D801)=0),"",IFERROR(D801*(1+IFERROR(IF(ISNUMBER(INDEX(Moldes!$K$5:$K$154,MATCH(A801,Moldes!$A$5:$A$154,0))),INDEX(Moldes!$K$5:$K$154,MATCH(A801,Moldes!$A$5:$A$154,0)),Precios!$Q$12),Precios!$Q$12))*(INDEX(Precios!$F$5:$F$124,MATCH(E801,Precios!$A$5:$A$124,0))+IF(F801="Sí",Precios!$Q$10,0)),"falta $ tela"))</f>
        <v/>
      </c>
      <c r="H801" s="32" t="str">
        <f aca="false">IF(A801="","",A801&amp;"|"&amp;COUNTIF($A$5:A801,A801))</f>
        <v/>
      </c>
    </row>
    <row r="802" customFormat="false" ht="15" hidden="false" customHeight="false" outlineLevel="0" collapsed="false">
      <c r="A802" s="28"/>
      <c r="B802" s="28"/>
      <c r="C802" s="28"/>
      <c r="D802" s="31"/>
      <c r="E802" s="10"/>
      <c r="F802" s="28"/>
      <c r="G802" s="11" t="str">
        <f aca="false">IF(OR(A802="",N(D802)=0),"",IFERROR(D802*(1+IFERROR(IF(ISNUMBER(INDEX(Moldes!$K$5:$K$154,MATCH(A802,Moldes!$A$5:$A$154,0))),INDEX(Moldes!$K$5:$K$154,MATCH(A802,Moldes!$A$5:$A$154,0)),Precios!$Q$12),Precios!$Q$12))*(INDEX(Precios!$F$5:$F$124,MATCH(E802,Precios!$A$5:$A$124,0))+IF(F802="Sí",Precios!$Q$10,0)),"falta $ tela"))</f>
        <v/>
      </c>
      <c r="H802" s="32" t="str">
        <f aca="false">IF(A802="","",A802&amp;"|"&amp;COUNTIF($A$5:A802,A802))</f>
        <v/>
      </c>
    </row>
    <row r="803" customFormat="false" ht="15" hidden="false" customHeight="false" outlineLevel="0" collapsed="false">
      <c r="A803" s="28"/>
      <c r="B803" s="28"/>
      <c r="C803" s="28"/>
      <c r="D803" s="31"/>
      <c r="E803" s="10"/>
      <c r="F803" s="28"/>
      <c r="G803" s="11" t="str">
        <f aca="false">IF(OR(A803="",N(D803)=0),"",IFERROR(D803*(1+IFERROR(IF(ISNUMBER(INDEX(Moldes!$K$5:$K$154,MATCH(A803,Moldes!$A$5:$A$154,0))),INDEX(Moldes!$K$5:$K$154,MATCH(A803,Moldes!$A$5:$A$154,0)),Precios!$Q$12),Precios!$Q$12))*(INDEX(Precios!$F$5:$F$124,MATCH(E803,Precios!$A$5:$A$124,0))+IF(F803="Sí",Precios!$Q$10,0)),"falta $ tela"))</f>
        <v/>
      </c>
      <c r="H803" s="32" t="str">
        <f aca="false">IF(A803="","",A803&amp;"|"&amp;COUNTIF($A$5:A803,A803))</f>
        <v/>
      </c>
    </row>
    <row r="804" customFormat="false" ht="15" hidden="false" customHeight="false" outlineLevel="0" collapsed="false">
      <c r="A804" s="28"/>
      <c r="B804" s="28"/>
      <c r="C804" s="28"/>
      <c r="D804" s="31"/>
      <c r="E804" s="10"/>
      <c r="F804" s="28"/>
      <c r="G804" s="11" t="str">
        <f aca="false">IF(OR(A804="",N(D804)=0),"",IFERROR(D804*(1+IFERROR(IF(ISNUMBER(INDEX(Moldes!$K$5:$K$154,MATCH(A804,Moldes!$A$5:$A$154,0))),INDEX(Moldes!$K$5:$K$154,MATCH(A804,Moldes!$A$5:$A$154,0)),Precios!$Q$12),Precios!$Q$12))*(INDEX(Precios!$F$5:$F$124,MATCH(E804,Precios!$A$5:$A$124,0))+IF(F804="Sí",Precios!$Q$10,0)),"falta $ tela"))</f>
        <v/>
      </c>
      <c r="H804" s="32" t="str">
        <f aca="false">IF(A804="","",A804&amp;"|"&amp;COUNTIF($A$5:A804,A804))</f>
        <v/>
      </c>
    </row>
    <row r="805" customFormat="false" ht="15" hidden="false" customHeight="false" outlineLevel="0" collapsed="false">
      <c r="A805" s="28"/>
      <c r="B805" s="28"/>
      <c r="C805" s="28"/>
      <c r="D805" s="31"/>
      <c r="E805" s="10"/>
      <c r="F805" s="28"/>
      <c r="G805" s="11" t="str">
        <f aca="false">IF(OR(A805="",N(D805)=0),"",IFERROR(D805*(1+IFERROR(IF(ISNUMBER(INDEX(Moldes!$K$5:$K$154,MATCH(A805,Moldes!$A$5:$A$154,0))),INDEX(Moldes!$K$5:$K$154,MATCH(A805,Moldes!$A$5:$A$154,0)),Precios!$Q$12),Precios!$Q$12))*(INDEX(Precios!$F$5:$F$124,MATCH(E805,Precios!$A$5:$A$124,0))+IF(F805="Sí",Precios!$Q$10,0)),"falta $ tela"))</f>
        <v/>
      </c>
      <c r="H805" s="32" t="str">
        <f aca="false">IF(A805="","",A805&amp;"|"&amp;COUNTIF($A$5:A805,A805))</f>
        <v/>
      </c>
    </row>
    <row r="806" customFormat="false" ht="15" hidden="false" customHeight="false" outlineLevel="0" collapsed="false">
      <c r="A806" s="28"/>
      <c r="B806" s="28"/>
      <c r="C806" s="28"/>
      <c r="D806" s="31"/>
      <c r="E806" s="10"/>
      <c r="F806" s="28"/>
      <c r="G806" s="11" t="str">
        <f aca="false">IF(OR(A806="",N(D806)=0),"",IFERROR(D806*(1+IFERROR(IF(ISNUMBER(INDEX(Moldes!$K$5:$K$154,MATCH(A806,Moldes!$A$5:$A$154,0))),INDEX(Moldes!$K$5:$K$154,MATCH(A806,Moldes!$A$5:$A$154,0)),Precios!$Q$12),Precios!$Q$12))*(INDEX(Precios!$F$5:$F$124,MATCH(E806,Precios!$A$5:$A$124,0))+IF(F806="Sí",Precios!$Q$10,0)),"falta $ tela"))</f>
        <v/>
      </c>
      <c r="H806" s="32" t="str">
        <f aca="false">IF(A806="","",A806&amp;"|"&amp;COUNTIF($A$5:A806,A806))</f>
        <v/>
      </c>
    </row>
    <row r="807" customFormat="false" ht="15" hidden="false" customHeight="false" outlineLevel="0" collapsed="false">
      <c r="A807" s="28"/>
      <c r="B807" s="28"/>
      <c r="C807" s="28"/>
      <c r="D807" s="31"/>
      <c r="E807" s="10"/>
      <c r="F807" s="28"/>
      <c r="G807" s="11" t="str">
        <f aca="false">IF(OR(A807="",N(D807)=0),"",IFERROR(D807*(1+IFERROR(IF(ISNUMBER(INDEX(Moldes!$K$5:$K$154,MATCH(A807,Moldes!$A$5:$A$154,0))),INDEX(Moldes!$K$5:$K$154,MATCH(A807,Moldes!$A$5:$A$154,0)),Precios!$Q$12),Precios!$Q$12))*(INDEX(Precios!$F$5:$F$124,MATCH(E807,Precios!$A$5:$A$124,0))+IF(F807="Sí",Precios!$Q$10,0)),"falta $ tela"))</f>
        <v/>
      </c>
      <c r="H807" s="32" t="str">
        <f aca="false">IF(A807="","",A807&amp;"|"&amp;COUNTIF($A$5:A807,A807))</f>
        <v/>
      </c>
    </row>
    <row r="808" customFormat="false" ht="15" hidden="false" customHeight="false" outlineLevel="0" collapsed="false">
      <c r="A808" s="28"/>
      <c r="B808" s="28"/>
      <c r="C808" s="28"/>
      <c r="D808" s="31"/>
      <c r="E808" s="10"/>
      <c r="F808" s="28"/>
      <c r="G808" s="11" t="str">
        <f aca="false">IF(OR(A808="",N(D808)=0),"",IFERROR(D808*(1+IFERROR(IF(ISNUMBER(INDEX(Moldes!$K$5:$K$154,MATCH(A808,Moldes!$A$5:$A$154,0))),INDEX(Moldes!$K$5:$K$154,MATCH(A808,Moldes!$A$5:$A$154,0)),Precios!$Q$12),Precios!$Q$12))*(INDEX(Precios!$F$5:$F$124,MATCH(E808,Precios!$A$5:$A$124,0))+IF(F808="Sí",Precios!$Q$10,0)),"falta $ tela"))</f>
        <v/>
      </c>
      <c r="H808" s="32" t="str">
        <f aca="false">IF(A808="","",A808&amp;"|"&amp;COUNTIF($A$5:A808,A808))</f>
        <v/>
      </c>
    </row>
    <row r="809" customFormat="false" ht="15" hidden="false" customHeight="false" outlineLevel="0" collapsed="false">
      <c r="A809" s="28"/>
      <c r="B809" s="28"/>
      <c r="C809" s="28"/>
      <c r="D809" s="31"/>
      <c r="E809" s="10"/>
      <c r="F809" s="28"/>
      <c r="G809" s="11" t="str">
        <f aca="false">IF(OR(A809="",N(D809)=0),"",IFERROR(D809*(1+IFERROR(IF(ISNUMBER(INDEX(Moldes!$K$5:$K$154,MATCH(A809,Moldes!$A$5:$A$154,0))),INDEX(Moldes!$K$5:$K$154,MATCH(A809,Moldes!$A$5:$A$154,0)),Precios!$Q$12),Precios!$Q$12))*(INDEX(Precios!$F$5:$F$124,MATCH(E809,Precios!$A$5:$A$124,0))+IF(F809="Sí",Precios!$Q$10,0)),"falta $ tela"))</f>
        <v/>
      </c>
      <c r="H809" s="32" t="str">
        <f aca="false">IF(A809="","",A809&amp;"|"&amp;COUNTIF($A$5:A809,A809))</f>
        <v/>
      </c>
    </row>
    <row r="810" customFormat="false" ht="15" hidden="false" customHeight="false" outlineLevel="0" collapsed="false">
      <c r="A810" s="28"/>
      <c r="B810" s="28"/>
      <c r="C810" s="28"/>
      <c r="D810" s="31"/>
      <c r="E810" s="10"/>
      <c r="F810" s="28"/>
      <c r="G810" s="11" t="str">
        <f aca="false">IF(OR(A810="",N(D810)=0),"",IFERROR(D810*(1+IFERROR(IF(ISNUMBER(INDEX(Moldes!$K$5:$K$154,MATCH(A810,Moldes!$A$5:$A$154,0))),INDEX(Moldes!$K$5:$K$154,MATCH(A810,Moldes!$A$5:$A$154,0)),Precios!$Q$12),Precios!$Q$12))*(INDEX(Precios!$F$5:$F$124,MATCH(E810,Precios!$A$5:$A$124,0))+IF(F810="Sí",Precios!$Q$10,0)),"falta $ tela"))</f>
        <v/>
      </c>
      <c r="H810" s="32" t="str">
        <f aca="false">IF(A810="","",A810&amp;"|"&amp;COUNTIF($A$5:A810,A810))</f>
        <v/>
      </c>
    </row>
    <row r="811" customFormat="false" ht="15" hidden="false" customHeight="false" outlineLevel="0" collapsed="false">
      <c r="A811" s="28"/>
      <c r="B811" s="28"/>
      <c r="C811" s="28"/>
      <c r="D811" s="31"/>
      <c r="E811" s="10"/>
      <c r="F811" s="28"/>
      <c r="G811" s="11" t="str">
        <f aca="false">IF(OR(A811="",N(D811)=0),"",IFERROR(D811*(1+IFERROR(IF(ISNUMBER(INDEX(Moldes!$K$5:$K$154,MATCH(A811,Moldes!$A$5:$A$154,0))),INDEX(Moldes!$K$5:$K$154,MATCH(A811,Moldes!$A$5:$A$154,0)),Precios!$Q$12),Precios!$Q$12))*(INDEX(Precios!$F$5:$F$124,MATCH(E811,Precios!$A$5:$A$124,0))+IF(F811="Sí",Precios!$Q$10,0)),"falta $ tela"))</f>
        <v/>
      </c>
      <c r="H811" s="32" t="str">
        <f aca="false">IF(A811="","",A811&amp;"|"&amp;COUNTIF($A$5:A811,A811))</f>
        <v/>
      </c>
    </row>
    <row r="812" customFormat="false" ht="15" hidden="false" customHeight="false" outlineLevel="0" collapsed="false">
      <c r="A812" s="28"/>
      <c r="B812" s="28"/>
      <c r="C812" s="28"/>
      <c r="D812" s="31"/>
      <c r="E812" s="10"/>
      <c r="F812" s="28"/>
      <c r="G812" s="11" t="str">
        <f aca="false">IF(OR(A812="",N(D812)=0),"",IFERROR(D812*(1+IFERROR(IF(ISNUMBER(INDEX(Moldes!$K$5:$K$154,MATCH(A812,Moldes!$A$5:$A$154,0))),INDEX(Moldes!$K$5:$K$154,MATCH(A812,Moldes!$A$5:$A$154,0)),Precios!$Q$12),Precios!$Q$12))*(INDEX(Precios!$F$5:$F$124,MATCH(E812,Precios!$A$5:$A$124,0))+IF(F812="Sí",Precios!$Q$10,0)),"falta $ tela"))</f>
        <v/>
      </c>
      <c r="H812" s="32" t="str">
        <f aca="false">IF(A812="","",A812&amp;"|"&amp;COUNTIF($A$5:A812,A812))</f>
        <v/>
      </c>
    </row>
    <row r="813" customFormat="false" ht="15" hidden="false" customHeight="false" outlineLevel="0" collapsed="false">
      <c r="A813" s="28"/>
      <c r="B813" s="28"/>
      <c r="C813" s="28"/>
      <c r="D813" s="31"/>
      <c r="E813" s="10"/>
      <c r="F813" s="28"/>
      <c r="G813" s="11" t="str">
        <f aca="false">IF(OR(A813="",N(D813)=0),"",IFERROR(D813*(1+IFERROR(IF(ISNUMBER(INDEX(Moldes!$K$5:$K$154,MATCH(A813,Moldes!$A$5:$A$154,0))),INDEX(Moldes!$K$5:$K$154,MATCH(A813,Moldes!$A$5:$A$154,0)),Precios!$Q$12),Precios!$Q$12))*(INDEX(Precios!$F$5:$F$124,MATCH(E813,Precios!$A$5:$A$124,0))+IF(F813="Sí",Precios!$Q$10,0)),"falta $ tela"))</f>
        <v/>
      </c>
      <c r="H813" s="32" t="str">
        <f aca="false">IF(A813="","",A813&amp;"|"&amp;COUNTIF($A$5:A813,A813))</f>
        <v/>
      </c>
    </row>
    <row r="814" customFormat="false" ht="15" hidden="false" customHeight="false" outlineLevel="0" collapsed="false">
      <c r="A814" s="28"/>
      <c r="B814" s="28"/>
      <c r="C814" s="28"/>
      <c r="D814" s="31"/>
      <c r="E814" s="10"/>
      <c r="F814" s="28"/>
      <c r="G814" s="11" t="str">
        <f aca="false">IF(OR(A814="",N(D814)=0),"",IFERROR(D814*(1+IFERROR(IF(ISNUMBER(INDEX(Moldes!$K$5:$K$154,MATCH(A814,Moldes!$A$5:$A$154,0))),INDEX(Moldes!$K$5:$K$154,MATCH(A814,Moldes!$A$5:$A$154,0)),Precios!$Q$12),Precios!$Q$12))*(INDEX(Precios!$F$5:$F$124,MATCH(E814,Precios!$A$5:$A$124,0))+IF(F814="Sí",Precios!$Q$10,0)),"falta $ tela"))</f>
        <v/>
      </c>
      <c r="H814" s="32" t="str">
        <f aca="false">IF(A814="","",A814&amp;"|"&amp;COUNTIF($A$5:A814,A814))</f>
        <v/>
      </c>
    </row>
    <row r="815" customFormat="false" ht="15" hidden="false" customHeight="false" outlineLevel="0" collapsed="false">
      <c r="A815" s="28"/>
      <c r="B815" s="28"/>
      <c r="C815" s="28"/>
      <c r="D815" s="31"/>
      <c r="E815" s="10"/>
      <c r="F815" s="28"/>
      <c r="G815" s="11" t="str">
        <f aca="false">IF(OR(A815="",N(D815)=0),"",IFERROR(D815*(1+IFERROR(IF(ISNUMBER(INDEX(Moldes!$K$5:$K$154,MATCH(A815,Moldes!$A$5:$A$154,0))),INDEX(Moldes!$K$5:$K$154,MATCH(A815,Moldes!$A$5:$A$154,0)),Precios!$Q$12),Precios!$Q$12))*(INDEX(Precios!$F$5:$F$124,MATCH(E815,Precios!$A$5:$A$124,0))+IF(F815="Sí",Precios!$Q$10,0)),"falta $ tela"))</f>
        <v/>
      </c>
      <c r="H815" s="32" t="str">
        <f aca="false">IF(A815="","",A815&amp;"|"&amp;COUNTIF($A$5:A815,A815))</f>
        <v/>
      </c>
    </row>
    <row r="816" customFormat="false" ht="15" hidden="false" customHeight="false" outlineLevel="0" collapsed="false">
      <c r="A816" s="28"/>
      <c r="B816" s="28"/>
      <c r="C816" s="28"/>
      <c r="D816" s="31"/>
      <c r="E816" s="10"/>
      <c r="F816" s="28"/>
      <c r="G816" s="11" t="str">
        <f aca="false">IF(OR(A816="",N(D816)=0),"",IFERROR(D816*(1+IFERROR(IF(ISNUMBER(INDEX(Moldes!$K$5:$K$154,MATCH(A816,Moldes!$A$5:$A$154,0))),INDEX(Moldes!$K$5:$K$154,MATCH(A816,Moldes!$A$5:$A$154,0)),Precios!$Q$12),Precios!$Q$12))*(INDEX(Precios!$F$5:$F$124,MATCH(E816,Precios!$A$5:$A$124,0))+IF(F816="Sí",Precios!$Q$10,0)),"falta $ tela"))</f>
        <v/>
      </c>
      <c r="H816" s="32" t="str">
        <f aca="false">IF(A816="","",A816&amp;"|"&amp;COUNTIF($A$5:A816,A816))</f>
        <v/>
      </c>
    </row>
    <row r="817" customFormat="false" ht="15" hidden="false" customHeight="false" outlineLevel="0" collapsed="false">
      <c r="A817" s="28"/>
      <c r="B817" s="28"/>
      <c r="C817" s="28"/>
      <c r="D817" s="31"/>
      <c r="E817" s="10"/>
      <c r="F817" s="28"/>
      <c r="G817" s="11" t="str">
        <f aca="false">IF(OR(A817="",N(D817)=0),"",IFERROR(D817*(1+IFERROR(IF(ISNUMBER(INDEX(Moldes!$K$5:$K$154,MATCH(A817,Moldes!$A$5:$A$154,0))),INDEX(Moldes!$K$5:$K$154,MATCH(A817,Moldes!$A$5:$A$154,0)),Precios!$Q$12),Precios!$Q$12))*(INDEX(Precios!$F$5:$F$124,MATCH(E817,Precios!$A$5:$A$124,0))+IF(F817="Sí",Precios!$Q$10,0)),"falta $ tela"))</f>
        <v/>
      </c>
      <c r="H817" s="32" t="str">
        <f aca="false">IF(A817="","",A817&amp;"|"&amp;COUNTIF($A$5:A817,A817))</f>
        <v/>
      </c>
    </row>
    <row r="818" customFormat="false" ht="15" hidden="false" customHeight="false" outlineLevel="0" collapsed="false">
      <c r="A818" s="28"/>
      <c r="B818" s="28"/>
      <c r="C818" s="28"/>
      <c r="D818" s="31"/>
      <c r="E818" s="10"/>
      <c r="F818" s="28"/>
      <c r="G818" s="11" t="str">
        <f aca="false">IF(OR(A818="",N(D818)=0),"",IFERROR(D818*(1+IFERROR(IF(ISNUMBER(INDEX(Moldes!$K$5:$K$154,MATCH(A818,Moldes!$A$5:$A$154,0))),INDEX(Moldes!$K$5:$K$154,MATCH(A818,Moldes!$A$5:$A$154,0)),Precios!$Q$12),Precios!$Q$12))*(INDEX(Precios!$F$5:$F$124,MATCH(E818,Precios!$A$5:$A$124,0))+IF(F818="Sí",Precios!$Q$10,0)),"falta $ tela"))</f>
        <v/>
      </c>
      <c r="H818" s="32" t="str">
        <f aca="false">IF(A818="","",A818&amp;"|"&amp;COUNTIF($A$5:A818,A818))</f>
        <v/>
      </c>
    </row>
    <row r="819" customFormat="false" ht="15" hidden="false" customHeight="false" outlineLevel="0" collapsed="false">
      <c r="A819" s="28"/>
      <c r="B819" s="28"/>
      <c r="C819" s="28"/>
      <c r="D819" s="31"/>
      <c r="E819" s="10"/>
      <c r="F819" s="28"/>
      <c r="G819" s="11" t="str">
        <f aca="false">IF(OR(A819="",N(D819)=0),"",IFERROR(D819*(1+IFERROR(IF(ISNUMBER(INDEX(Moldes!$K$5:$K$154,MATCH(A819,Moldes!$A$5:$A$154,0))),INDEX(Moldes!$K$5:$K$154,MATCH(A819,Moldes!$A$5:$A$154,0)),Precios!$Q$12),Precios!$Q$12))*(INDEX(Precios!$F$5:$F$124,MATCH(E819,Precios!$A$5:$A$124,0))+IF(F819="Sí",Precios!$Q$10,0)),"falta $ tela"))</f>
        <v/>
      </c>
      <c r="H819" s="32" t="str">
        <f aca="false">IF(A819="","",A819&amp;"|"&amp;COUNTIF($A$5:A819,A819))</f>
        <v/>
      </c>
    </row>
    <row r="820" customFormat="false" ht="15" hidden="false" customHeight="false" outlineLevel="0" collapsed="false">
      <c r="A820" s="28"/>
      <c r="B820" s="28"/>
      <c r="C820" s="28"/>
      <c r="D820" s="31"/>
      <c r="E820" s="10"/>
      <c r="F820" s="28"/>
      <c r="G820" s="11" t="str">
        <f aca="false">IF(OR(A820="",N(D820)=0),"",IFERROR(D820*(1+IFERROR(IF(ISNUMBER(INDEX(Moldes!$K$5:$K$154,MATCH(A820,Moldes!$A$5:$A$154,0))),INDEX(Moldes!$K$5:$K$154,MATCH(A820,Moldes!$A$5:$A$154,0)),Precios!$Q$12),Precios!$Q$12))*(INDEX(Precios!$F$5:$F$124,MATCH(E820,Precios!$A$5:$A$124,0))+IF(F820="Sí",Precios!$Q$10,0)),"falta $ tela"))</f>
        <v/>
      </c>
      <c r="H820" s="32" t="str">
        <f aca="false">IF(A820="","",A820&amp;"|"&amp;COUNTIF($A$5:A820,A820))</f>
        <v/>
      </c>
    </row>
    <row r="821" customFormat="false" ht="15" hidden="false" customHeight="false" outlineLevel="0" collapsed="false">
      <c r="A821" s="28"/>
      <c r="B821" s="28"/>
      <c r="C821" s="28"/>
      <c r="D821" s="31"/>
      <c r="E821" s="10"/>
      <c r="F821" s="28"/>
      <c r="G821" s="11" t="str">
        <f aca="false">IF(OR(A821="",N(D821)=0),"",IFERROR(D821*(1+IFERROR(IF(ISNUMBER(INDEX(Moldes!$K$5:$K$154,MATCH(A821,Moldes!$A$5:$A$154,0))),INDEX(Moldes!$K$5:$K$154,MATCH(A821,Moldes!$A$5:$A$154,0)),Precios!$Q$12),Precios!$Q$12))*(INDEX(Precios!$F$5:$F$124,MATCH(E821,Precios!$A$5:$A$124,0))+IF(F821="Sí",Precios!$Q$10,0)),"falta $ tela"))</f>
        <v/>
      </c>
      <c r="H821" s="32" t="str">
        <f aca="false">IF(A821="","",A821&amp;"|"&amp;COUNTIF($A$5:A821,A821))</f>
        <v/>
      </c>
    </row>
    <row r="822" customFormat="false" ht="15" hidden="false" customHeight="false" outlineLevel="0" collapsed="false">
      <c r="A822" s="28"/>
      <c r="B822" s="28"/>
      <c r="C822" s="28"/>
      <c r="D822" s="31"/>
      <c r="E822" s="10"/>
      <c r="F822" s="28"/>
      <c r="G822" s="11" t="str">
        <f aca="false">IF(OR(A822="",N(D822)=0),"",IFERROR(D822*(1+IFERROR(IF(ISNUMBER(INDEX(Moldes!$K$5:$K$154,MATCH(A822,Moldes!$A$5:$A$154,0))),INDEX(Moldes!$K$5:$K$154,MATCH(A822,Moldes!$A$5:$A$154,0)),Precios!$Q$12),Precios!$Q$12))*(INDEX(Precios!$F$5:$F$124,MATCH(E822,Precios!$A$5:$A$124,0))+IF(F822="Sí",Precios!$Q$10,0)),"falta $ tela"))</f>
        <v/>
      </c>
      <c r="H822" s="32" t="str">
        <f aca="false">IF(A822="","",A822&amp;"|"&amp;COUNTIF($A$5:A822,A822))</f>
        <v/>
      </c>
    </row>
    <row r="823" customFormat="false" ht="15" hidden="false" customHeight="false" outlineLevel="0" collapsed="false">
      <c r="A823" s="28"/>
      <c r="B823" s="28"/>
      <c r="C823" s="28"/>
      <c r="D823" s="31"/>
      <c r="E823" s="10"/>
      <c r="F823" s="28"/>
      <c r="G823" s="11" t="str">
        <f aca="false">IF(OR(A823="",N(D823)=0),"",IFERROR(D823*(1+IFERROR(IF(ISNUMBER(INDEX(Moldes!$K$5:$K$154,MATCH(A823,Moldes!$A$5:$A$154,0))),INDEX(Moldes!$K$5:$K$154,MATCH(A823,Moldes!$A$5:$A$154,0)),Precios!$Q$12),Precios!$Q$12))*(INDEX(Precios!$F$5:$F$124,MATCH(E823,Precios!$A$5:$A$124,0))+IF(F823="Sí",Precios!$Q$10,0)),"falta $ tela"))</f>
        <v/>
      </c>
      <c r="H823" s="32" t="str">
        <f aca="false">IF(A823="","",A823&amp;"|"&amp;COUNTIF($A$5:A823,A823))</f>
        <v/>
      </c>
    </row>
    <row r="824" customFormat="false" ht="15" hidden="false" customHeight="false" outlineLevel="0" collapsed="false">
      <c r="A824" s="28"/>
      <c r="B824" s="28"/>
      <c r="C824" s="28"/>
      <c r="D824" s="31"/>
      <c r="E824" s="10"/>
      <c r="F824" s="28"/>
      <c r="G824" s="11" t="str">
        <f aca="false">IF(OR(A824="",N(D824)=0),"",IFERROR(D824*(1+IFERROR(IF(ISNUMBER(INDEX(Moldes!$K$5:$K$154,MATCH(A824,Moldes!$A$5:$A$154,0))),INDEX(Moldes!$K$5:$K$154,MATCH(A824,Moldes!$A$5:$A$154,0)),Precios!$Q$12),Precios!$Q$12))*(INDEX(Precios!$F$5:$F$124,MATCH(E824,Precios!$A$5:$A$124,0))+IF(F824="Sí",Precios!$Q$10,0)),"falta $ tela"))</f>
        <v/>
      </c>
      <c r="H824" s="32" t="str">
        <f aca="false">IF(A824="","",A824&amp;"|"&amp;COUNTIF($A$5:A824,A824))</f>
        <v/>
      </c>
    </row>
    <row r="825" customFormat="false" ht="15" hidden="false" customHeight="false" outlineLevel="0" collapsed="false">
      <c r="A825" s="28"/>
      <c r="B825" s="28"/>
      <c r="C825" s="28"/>
      <c r="D825" s="31"/>
      <c r="E825" s="10"/>
      <c r="F825" s="28"/>
      <c r="G825" s="11" t="str">
        <f aca="false">IF(OR(A825="",N(D825)=0),"",IFERROR(D825*(1+IFERROR(IF(ISNUMBER(INDEX(Moldes!$K$5:$K$154,MATCH(A825,Moldes!$A$5:$A$154,0))),INDEX(Moldes!$K$5:$K$154,MATCH(A825,Moldes!$A$5:$A$154,0)),Precios!$Q$12),Precios!$Q$12))*(INDEX(Precios!$F$5:$F$124,MATCH(E825,Precios!$A$5:$A$124,0))+IF(F825="Sí",Precios!$Q$10,0)),"falta $ tela"))</f>
        <v/>
      </c>
      <c r="H825" s="32" t="str">
        <f aca="false">IF(A825="","",A825&amp;"|"&amp;COUNTIF($A$5:A825,A825))</f>
        <v/>
      </c>
    </row>
    <row r="826" customFormat="false" ht="15" hidden="false" customHeight="false" outlineLevel="0" collapsed="false">
      <c r="A826" s="28"/>
      <c r="B826" s="28"/>
      <c r="C826" s="28"/>
      <c r="D826" s="31"/>
      <c r="E826" s="10"/>
      <c r="F826" s="28"/>
      <c r="G826" s="11" t="str">
        <f aca="false">IF(OR(A826="",N(D826)=0),"",IFERROR(D826*(1+IFERROR(IF(ISNUMBER(INDEX(Moldes!$K$5:$K$154,MATCH(A826,Moldes!$A$5:$A$154,0))),INDEX(Moldes!$K$5:$K$154,MATCH(A826,Moldes!$A$5:$A$154,0)),Precios!$Q$12),Precios!$Q$12))*(INDEX(Precios!$F$5:$F$124,MATCH(E826,Precios!$A$5:$A$124,0))+IF(F826="Sí",Precios!$Q$10,0)),"falta $ tela"))</f>
        <v/>
      </c>
      <c r="H826" s="32" t="str">
        <f aca="false">IF(A826="","",A826&amp;"|"&amp;COUNTIF($A$5:A826,A826))</f>
        <v/>
      </c>
    </row>
    <row r="827" customFormat="false" ht="15" hidden="false" customHeight="false" outlineLevel="0" collapsed="false">
      <c r="A827" s="28"/>
      <c r="B827" s="28"/>
      <c r="C827" s="28"/>
      <c r="D827" s="31"/>
      <c r="E827" s="10"/>
      <c r="F827" s="28"/>
      <c r="G827" s="11" t="str">
        <f aca="false">IF(OR(A827="",N(D827)=0),"",IFERROR(D827*(1+IFERROR(IF(ISNUMBER(INDEX(Moldes!$K$5:$K$154,MATCH(A827,Moldes!$A$5:$A$154,0))),INDEX(Moldes!$K$5:$K$154,MATCH(A827,Moldes!$A$5:$A$154,0)),Precios!$Q$12),Precios!$Q$12))*(INDEX(Precios!$F$5:$F$124,MATCH(E827,Precios!$A$5:$A$124,0))+IF(F827="Sí",Precios!$Q$10,0)),"falta $ tela"))</f>
        <v/>
      </c>
      <c r="H827" s="32" t="str">
        <f aca="false">IF(A827="","",A827&amp;"|"&amp;COUNTIF($A$5:A827,A827))</f>
        <v/>
      </c>
    </row>
    <row r="828" customFormat="false" ht="15" hidden="false" customHeight="false" outlineLevel="0" collapsed="false">
      <c r="A828" s="28"/>
      <c r="B828" s="28"/>
      <c r="C828" s="28"/>
      <c r="D828" s="31"/>
      <c r="E828" s="10"/>
      <c r="F828" s="28"/>
      <c r="G828" s="11" t="str">
        <f aca="false">IF(OR(A828="",N(D828)=0),"",IFERROR(D828*(1+IFERROR(IF(ISNUMBER(INDEX(Moldes!$K$5:$K$154,MATCH(A828,Moldes!$A$5:$A$154,0))),INDEX(Moldes!$K$5:$K$154,MATCH(A828,Moldes!$A$5:$A$154,0)),Precios!$Q$12),Precios!$Q$12))*(INDEX(Precios!$F$5:$F$124,MATCH(E828,Precios!$A$5:$A$124,0))+IF(F828="Sí",Precios!$Q$10,0)),"falta $ tela"))</f>
        <v/>
      </c>
      <c r="H828" s="32" t="str">
        <f aca="false">IF(A828="","",A828&amp;"|"&amp;COUNTIF($A$5:A828,A828))</f>
        <v/>
      </c>
    </row>
    <row r="829" customFormat="false" ht="15" hidden="false" customHeight="false" outlineLevel="0" collapsed="false">
      <c r="A829" s="28"/>
      <c r="B829" s="28"/>
      <c r="C829" s="28"/>
      <c r="D829" s="31"/>
      <c r="E829" s="10"/>
      <c r="F829" s="28"/>
      <c r="G829" s="11" t="str">
        <f aca="false">IF(OR(A829="",N(D829)=0),"",IFERROR(D829*(1+IFERROR(IF(ISNUMBER(INDEX(Moldes!$K$5:$K$154,MATCH(A829,Moldes!$A$5:$A$154,0))),INDEX(Moldes!$K$5:$K$154,MATCH(A829,Moldes!$A$5:$A$154,0)),Precios!$Q$12),Precios!$Q$12))*(INDEX(Precios!$F$5:$F$124,MATCH(E829,Precios!$A$5:$A$124,0))+IF(F829="Sí",Precios!$Q$10,0)),"falta $ tela"))</f>
        <v/>
      </c>
      <c r="H829" s="32" t="str">
        <f aca="false">IF(A829="","",A829&amp;"|"&amp;COUNTIF($A$5:A829,A829))</f>
        <v/>
      </c>
    </row>
    <row r="830" customFormat="false" ht="15" hidden="false" customHeight="false" outlineLevel="0" collapsed="false">
      <c r="A830" s="28"/>
      <c r="B830" s="28"/>
      <c r="C830" s="28"/>
      <c r="D830" s="31"/>
      <c r="E830" s="10"/>
      <c r="F830" s="28"/>
      <c r="G830" s="11" t="str">
        <f aca="false">IF(OR(A830="",N(D830)=0),"",IFERROR(D830*(1+IFERROR(IF(ISNUMBER(INDEX(Moldes!$K$5:$K$154,MATCH(A830,Moldes!$A$5:$A$154,0))),INDEX(Moldes!$K$5:$K$154,MATCH(A830,Moldes!$A$5:$A$154,0)),Precios!$Q$12),Precios!$Q$12))*(INDEX(Precios!$F$5:$F$124,MATCH(E830,Precios!$A$5:$A$124,0))+IF(F830="Sí",Precios!$Q$10,0)),"falta $ tela"))</f>
        <v/>
      </c>
      <c r="H830" s="32" t="str">
        <f aca="false">IF(A830="","",A830&amp;"|"&amp;COUNTIF($A$5:A830,A830))</f>
        <v/>
      </c>
    </row>
    <row r="831" customFormat="false" ht="15" hidden="false" customHeight="false" outlineLevel="0" collapsed="false">
      <c r="A831" s="28"/>
      <c r="B831" s="28"/>
      <c r="C831" s="28"/>
      <c r="D831" s="31"/>
      <c r="E831" s="10"/>
      <c r="F831" s="28"/>
      <c r="G831" s="11" t="str">
        <f aca="false">IF(OR(A831="",N(D831)=0),"",IFERROR(D831*(1+IFERROR(IF(ISNUMBER(INDEX(Moldes!$K$5:$K$154,MATCH(A831,Moldes!$A$5:$A$154,0))),INDEX(Moldes!$K$5:$K$154,MATCH(A831,Moldes!$A$5:$A$154,0)),Precios!$Q$12),Precios!$Q$12))*(INDEX(Precios!$F$5:$F$124,MATCH(E831,Precios!$A$5:$A$124,0))+IF(F831="Sí",Precios!$Q$10,0)),"falta $ tela"))</f>
        <v/>
      </c>
      <c r="H831" s="32" t="str">
        <f aca="false">IF(A831="","",A831&amp;"|"&amp;COUNTIF($A$5:A831,A831))</f>
        <v/>
      </c>
    </row>
    <row r="832" customFormat="false" ht="15" hidden="false" customHeight="false" outlineLevel="0" collapsed="false">
      <c r="A832" s="28"/>
      <c r="B832" s="28"/>
      <c r="C832" s="28"/>
      <c r="D832" s="31"/>
      <c r="E832" s="10"/>
      <c r="F832" s="28"/>
      <c r="G832" s="11" t="str">
        <f aca="false">IF(OR(A832="",N(D832)=0),"",IFERROR(D832*(1+IFERROR(IF(ISNUMBER(INDEX(Moldes!$K$5:$K$154,MATCH(A832,Moldes!$A$5:$A$154,0))),INDEX(Moldes!$K$5:$K$154,MATCH(A832,Moldes!$A$5:$A$154,0)),Precios!$Q$12),Precios!$Q$12))*(INDEX(Precios!$F$5:$F$124,MATCH(E832,Precios!$A$5:$A$124,0))+IF(F832="Sí",Precios!$Q$10,0)),"falta $ tela"))</f>
        <v/>
      </c>
      <c r="H832" s="32" t="str">
        <f aca="false">IF(A832="","",A832&amp;"|"&amp;COUNTIF($A$5:A832,A832))</f>
        <v/>
      </c>
    </row>
    <row r="833" customFormat="false" ht="15" hidden="false" customHeight="false" outlineLevel="0" collapsed="false">
      <c r="A833" s="28"/>
      <c r="B833" s="28"/>
      <c r="C833" s="28"/>
      <c r="D833" s="31"/>
      <c r="E833" s="10"/>
      <c r="F833" s="28"/>
      <c r="G833" s="11" t="str">
        <f aca="false">IF(OR(A833="",N(D833)=0),"",IFERROR(D833*(1+IFERROR(IF(ISNUMBER(INDEX(Moldes!$K$5:$K$154,MATCH(A833,Moldes!$A$5:$A$154,0))),INDEX(Moldes!$K$5:$K$154,MATCH(A833,Moldes!$A$5:$A$154,0)),Precios!$Q$12),Precios!$Q$12))*(INDEX(Precios!$F$5:$F$124,MATCH(E833,Precios!$A$5:$A$124,0))+IF(F833="Sí",Precios!$Q$10,0)),"falta $ tela"))</f>
        <v/>
      </c>
      <c r="H833" s="32" t="str">
        <f aca="false">IF(A833="","",A833&amp;"|"&amp;COUNTIF($A$5:A833,A833))</f>
        <v/>
      </c>
    </row>
    <row r="834" customFormat="false" ht="15" hidden="false" customHeight="false" outlineLevel="0" collapsed="false">
      <c r="A834" s="28"/>
      <c r="B834" s="28"/>
      <c r="C834" s="28"/>
      <c r="D834" s="31"/>
      <c r="E834" s="10"/>
      <c r="F834" s="28"/>
      <c r="G834" s="11" t="str">
        <f aca="false">IF(OR(A834="",N(D834)=0),"",IFERROR(D834*(1+IFERROR(IF(ISNUMBER(INDEX(Moldes!$K$5:$K$154,MATCH(A834,Moldes!$A$5:$A$154,0))),INDEX(Moldes!$K$5:$K$154,MATCH(A834,Moldes!$A$5:$A$154,0)),Precios!$Q$12),Precios!$Q$12))*(INDEX(Precios!$F$5:$F$124,MATCH(E834,Precios!$A$5:$A$124,0))+IF(F834="Sí",Precios!$Q$10,0)),"falta $ tela"))</f>
        <v/>
      </c>
      <c r="H834" s="32" t="str">
        <f aca="false">IF(A834="","",A834&amp;"|"&amp;COUNTIF($A$5:A834,A834))</f>
        <v/>
      </c>
    </row>
    <row r="835" customFormat="false" ht="15" hidden="false" customHeight="false" outlineLevel="0" collapsed="false">
      <c r="A835" s="28"/>
      <c r="B835" s="28"/>
      <c r="C835" s="28"/>
      <c r="D835" s="31"/>
      <c r="E835" s="10"/>
      <c r="F835" s="28"/>
      <c r="G835" s="11" t="str">
        <f aca="false">IF(OR(A835="",N(D835)=0),"",IFERROR(D835*(1+IFERROR(IF(ISNUMBER(INDEX(Moldes!$K$5:$K$154,MATCH(A835,Moldes!$A$5:$A$154,0))),INDEX(Moldes!$K$5:$K$154,MATCH(A835,Moldes!$A$5:$A$154,0)),Precios!$Q$12),Precios!$Q$12))*(INDEX(Precios!$F$5:$F$124,MATCH(E835,Precios!$A$5:$A$124,0))+IF(F835="Sí",Precios!$Q$10,0)),"falta $ tela"))</f>
        <v/>
      </c>
      <c r="H835" s="32" t="str">
        <f aca="false">IF(A835="","",A835&amp;"|"&amp;COUNTIF($A$5:A835,A835))</f>
        <v/>
      </c>
    </row>
    <row r="836" customFormat="false" ht="15" hidden="false" customHeight="false" outlineLevel="0" collapsed="false">
      <c r="A836" s="28"/>
      <c r="B836" s="28"/>
      <c r="C836" s="28"/>
      <c r="D836" s="31"/>
      <c r="E836" s="10"/>
      <c r="F836" s="28"/>
      <c r="G836" s="11" t="str">
        <f aca="false">IF(OR(A836="",N(D836)=0),"",IFERROR(D836*(1+IFERROR(IF(ISNUMBER(INDEX(Moldes!$K$5:$K$154,MATCH(A836,Moldes!$A$5:$A$154,0))),INDEX(Moldes!$K$5:$K$154,MATCH(A836,Moldes!$A$5:$A$154,0)),Precios!$Q$12),Precios!$Q$12))*(INDEX(Precios!$F$5:$F$124,MATCH(E836,Precios!$A$5:$A$124,0))+IF(F836="Sí",Precios!$Q$10,0)),"falta $ tela"))</f>
        <v/>
      </c>
      <c r="H836" s="32" t="str">
        <f aca="false">IF(A836="","",A836&amp;"|"&amp;COUNTIF($A$5:A836,A836))</f>
        <v/>
      </c>
    </row>
    <row r="837" customFormat="false" ht="15" hidden="false" customHeight="false" outlineLevel="0" collapsed="false">
      <c r="A837" s="28"/>
      <c r="B837" s="28"/>
      <c r="C837" s="28"/>
      <c r="D837" s="31"/>
      <c r="E837" s="10"/>
      <c r="F837" s="28"/>
      <c r="G837" s="11" t="str">
        <f aca="false">IF(OR(A837="",N(D837)=0),"",IFERROR(D837*(1+IFERROR(IF(ISNUMBER(INDEX(Moldes!$K$5:$K$154,MATCH(A837,Moldes!$A$5:$A$154,0))),INDEX(Moldes!$K$5:$K$154,MATCH(A837,Moldes!$A$5:$A$154,0)),Precios!$Q$12),Precios!$Q$12))*(INDEX(Precios!$F$5:$F$124,MATCH(E837,Precios!$A$5:$A$124,0))+IF(F837="Sí",Precios!$Q$10,0)),"falta $ tela"))</f>
        <v/>
      </c>
      <c r="H837" s="32" t="str">
        <f aca="false">IF(A837="","",A837&amp;"|"&amp;COUNTIF($A$5:A837,A837))</f>
        <v/>
      </c>
    </row>
    <row r="838" customFormat="false" ht="15" hidden="false" customHeight="false" outlineLevel="0" collapsed="false">
      <c r="A838" s="28"/>
      <c r="B838" s="28"/>
      <c r="C838" s="28"/>
      <c r="D838" s="31"/>
      <c r="E838" s="10"/>
      <c r="F838" s="28"/>
      <c r="G838" s="11" t="str">
        <f aca="false">IF(OR(A838="",N(D838)=0),"",IFERROR(D838*(1+IFERROR(IF(ISNUMBER(INDEX(Moldes!$K$5:$K$154,MATCH(A838,Moldes!$A$5:$A$154,0))),INDEX(Moldes!$K$5:$K$154,MATCH(A838,Moldes!$A$5:$A$154,0)),Precios!$Q$12),Precios!$Q$12))*(INDEX(Precios!$F$5:$F$124,MATCH(E838,Precios!$A$5:$A$124,0))+IF(F838="Sí",Precios!$Q$10,0)),"falta $ tela"))</f>
        <v/>
      </c>
      <c r="H838" s="32" t="str">
        <f aca="false">IF(A838="","",A838&amp;"|"&amp;COUNTIF($A$5:A838,A838))</f>
        <v/>
      </c>
    </row>
    <row r="839" customFormat="false" ht="15" hidden="false" customHeight="false" outlineLevel="0" collapsed="false">
      <c r="A839" s="28"/>
      <c r="B839" s="28"/>
      <c r="C839" s="28"/>
      <c r="D839" s="31"/>
      <c r="E839" s="10"/>
      <c r="F839" s="28"/>
      <c r="G839" s="11" t="str">
        <f aca="false">IF(OR(A839="",N(D839)=0),"",IFERROR(D839*(1+IFERROR(IF(ISNUMBER(INDEX(Moldes!$K$5:$K$154,MATCH(A839,Moldes!$A$5:$A$154,0))),INDEX(Moldes!$K$5:$K$154,MATCH(A839,Moldes!$A$5:$A$154,0)),Precios!$Q$12),Precios!$Q$12))*(INDEX(Precios!$F$5:$F$124,MATCH(E839,Precios!$A$5:$A$124,0))+IF(F839="Sí",Precios!$Q$10,0)),"falta $ tela"))</f>
        <v/>
      </c>
      <c r="H839" s="32" t="str">
        <f aca="false">IF(A839="","",A839&amp;"|"&amp;COUNTIF($A$5:A839,A839))</f>
        <v/>
      </c>
    </row>
    <row r="840" customFormat="false" ht="15" hidden="false" customHeight="false" outlineLevel="0" collapsed="false">
      <c r="A840" s="28"/>
      <c r="B840" s="28"/>
      <c r="C840" s="28"/>
      <c r="D840" s="31"/>
      <c r="E840" s="10"/>
      <c r="F840" s="28"/>
      <c r="G840" s="11" t="str">
        <f aca="false">IF(OR(A840="",N(D840)=0),"",IFERROR(D840*(1+IFERROR(IF(ISNUMBER(INDEX(Moldes!$K$5:$K$154,MATCH(A840,Moldes!$A$5:$A$154,0))),INDEX(Moldes!$K$5:$K$154,MATCH(A840,Moldes!$A$5:$A$154,0)),Precios!$Q$12),Precios!$Q$12))*(INDEX(Precios!$F$5:$F$124,MATCH(E840,Precios!$A$5:$A$124,0))+IF(F840="Sí",Precios!$Q$10,0)),"falta $ tela"))</f>
        <v/>
      </c>
      <c r="H840" s="32" t="str">
        <f aca="false">IF(A840="","",A840&amp;"|"&amp;COUNTIF($A$5:A840,A840))</f>
        <v/>
      </c>
    </row>
    <row r="841" customFormat="false" ht="15" hidden="false" customHeight="false" outlineLevel="0" collapsed="false">
      <c r="A841" s="28"/>
      <c r="B841" s="28"/>
      <c r="C841" s="28"/>
      <c r="D841" s="31"/>
      <c r="E841" s="10"/>
      <c r="F841" s="28"/>
      <c r="G841" s="11" t="str">
        <f aca="false">IF(OR(A841="",N(D841)=0),"",IFERROR(D841*(1+IFERROR(IF(ISNUMBER(INDEX(Moldes!$K$5:$K$154,MATCH(A841,Moldes!$A$5:$A$154,0))),INDEX(Moldes!$K$5:$K$154,MATCH(A841,Moldes!$A$5:$A$154,0)),Precios!$Q$12),Precios!$Q$12))*(INDEX(Precios!$F$5:$F$124,MATCH(E841,Precios!$A$5:$A$124,0))+IF(F841="Sí",Precios!$Q$10,0)),"falta $ tela"))</f>
        <v/>
      </c>
      <c r="H841" s="32" t="str">
        <f aca="false">IF(A841="","",A841&amp;"|"&amp;COUNTIF($A$5:A841,A841))</f>
        <v/>
      </c>
    </row>
    <row r="842" customFormat="false" ht="15" hidden="false" customHeight="false" outlineLevel="0" collapsed="false">
      <c r="A842" s="28"/>
      <c r="B842" s="28"/>
      <c r="C842" s="28"/>
      <c r="D842" s="31"/>
      <c r="E842" s="10"/>
      <c r="F842" s="28"/>
      <c r="G842" s="11" t="str">
        <f aca="false">IF(OR(A842="",N(D842)=0),"",IFERROR(D842*(1+IFERROR(IF(ISNUMBER(INDEX(Moldes!$K$5:$K$154,MATCH(A842,Moldes!$A$5:$A$154,0))),INDEX(Moldes!$K$5:$K$154,MATCH(A842,Moldes!$A$5:$A$154,0)),Precios!$Q$12),Precios!$Q$12))*(INDEX(Precios!$F$5:$F$124,MATCH(E842,Precios!$A$5:$A$124,0))+IF(F842="Sí",Precios!$Q$10,0)),"falta $ tela"))</f>
        <v/>
      </c>
      <c r="H842" s="32" t="str">
        <f aca="false">IF(A842="","",A842&amp;"|"&amp;COUNTIF($A$5:A842,A842))</f>
        <v/>
      </c>
    </row>
    <row r="843" customFormat="false" ht="15" hidden="false" customHeight="false" outlineLevel="0" collapsed="false">
      <c r="A843" s="28"/>
      <c r="B843" s="28"/>
      <c r="C843" s="28"/>
      <c r="D843" s="31"/>
      <c r="E843" s="10"/>
      <c r="F843" s="28"/>
      <c r="G843" s="11" t="str">
        <f aca="false">IF(OR(A843="",N(D843)=0),"",IFERROR(D843*(1+IFERROR(IF(ISNUMBER(INDEX(Moldes!$K$5:$K$154,MATCH(A843,Moldes!$A$5:$A$154,0))),INDEX(Moldes!$K$5:$K$154,MATCH(A843,Moldes!$A$5:$A$154,0)),Precios!$Q$12),Precios!$Q$12))*(INDEX(Precios!$F$5:$F$124,MATCH(E843,Precios!$A$5:$A$124,0))+IF(F843="Sí",Precios!$Q$10,0)),"falta $ tela"))</f>
        <v/>
      </c>
      <c r="H843" s="32" t="str">
        <f aca="false">IF(A843="","",A843&amp;"|"&amp;COUNTIF($A$5:A843,A843))</f>
        <v/>
      </c>
    </row>
    <row r="844" customFormat="false" ht="15" hidden="false" customHeight="false" outlineLevel="0" collapsed="false">
      <c r="A844" s="28"/>
      <c r="B844" s="28"/>
      <c r="C844" s="28"/>
      <c r="D844" s="31"/>
      <c r="E844" s="10"/>
      <c r="F844" s="28"/>
      <c r="G844" s="11" t="str">
        <f aca="false">IF(OR(A844="",N(D844)=0),"",IFERROR(D844*(1+IFERROR(IF(ISNUMBER(INDEX(Moldes!$K$5:$K$154,MATCH(A844,Moldes!$A$5:$A$154,0))),INDEX(Moldes!$K$5:$K$154,MATCH(A844,Moldes!$A$5:$A$154,0)),Precios!$Q$12),Precios!$Q$12))*(INDEX(Precios!$F$5:$F$124,MATCH(E844,Precios!$A$5:$A$124,0))+IF(F844="Sí",Precios!$Q$10,0)),"falta $ tela"))</f>
        <v/>
      </c>
      <c r="H844" s="32" t="str">
        <f aca="false">IF(A844="","",A844&amp;"|"&amp;COUNTIF($A$5:A844,A844))</f>
        <v/>
      </c>
    </row>
    <row r="845" customFormat="false" ht="15" hidden="false" customHeight="false" outlineLevel="0" collapsed="false">
      <c r="A845" s="28"/>
      <c r="B845" s="28"/>
      <c r="C845" s="28"/>
      <c r="D845" s="31"/>
      <c r="E845" s="10"/>
      <c r="F845" s="28"/>
      <c r="G845" s="11" t="str">
        <f aca="false">IF(OR(A845="",N(D845)=0),"",IFERROR(D845*(1+IFERROR(IF(ISNUMBER(INDEX(Moldes!$K$5:$K$154,MATCH(A845,Moldes!$A$5:$A$154,0))),INDEX(Moldes!$K$5:$K$154,MATCH(A845,Moldes!$A$5:$A$154,0)),Precios!$Q$12),Precios!$Q$12))*(INDEX(Precios!$F$5:$F$124,MATCH(E845,Precios!$A$5:$A$124,0))+IF(F845="Sí",Precios!$Q$10,0)),"falta $ tela"))</f>
        <v/>
      </c>
      <c r="H845" s="32" t="str">
        <f aca="false">IF(A845="","",A845&amp;"|"&amp;COUNTIF($A$5:A845,A845))</f>
        <v/>
      </c>
    </row>
    <row r="846" customFormat="false" ht="15" hidden="false" customHeight="false" outlineLevel="0" collapsed="false">
      <c r="A846" s="28"/>
      <c r="B846" s="28"/>
      <c r="C846" s="28"/>
      <c r="D846" s="31"/>
      <c r="E846" s="10"/>
      <c r="F846" s="28"/>
      <c r="G846" s="11" t="str">
        <f aca="false">IF(OR(A846="",N(D846)=0),"",IFERROR(D846*(1+IFERROR(IF(ISNUMBER(INDEX(Moldes!$K$5:$K$154,MATCH(A846,Moldes!$A$5:$A$154,0))),INDEX(Moldes!$K$5:$K$154,MATCH(A846,Moldes!$A$5:$A$154,0)),Precios!$Q$12),Precios!$Q$12))*(INDEX(Precios!$F$5:$F$124,MATCH(E846,Precios!$A$5:$A$124,0))+IF(F846="Sí",Precios!$Q$10,0)),"falta $ tela"))</f>
        <v/>
      </c>
      <c r="H846" s="32" t="str">
        <f aca="false">IF(A846="","",A846&amp;"|"&amp;COUNTIF($A$5:A846,A846))</f>
        <v/>
      </c>
    </row>
    <row r="847" customFormat="false" ht="15" hidden="false" customHeight="false" outlineLevel="0" collapsed="false">
      <c r="A847" s="28"/>
      <c r="B847" s="28"/>
      <c r="C847" s="28"/>
      <c r="D847" s="31"/>
      <c r="E847" s="10"/>
      <c r="F847" s="28"/>
      <c r="G847" s="11" t="str">
        <f aca="false">IF(OR(A847="",N(D847)=0),"",IFERROR(D847*(1+IFERROR(IF(ISNUMBER(INDEX(Moldes!$K$5:$K$154,MATCH(A847,Moldes!$A$5:$A$154,0))),INDEX(Moldes!$K$5:$K$154,MATCH(A847,Moldes!$A$5:$A$154,0)),Precios!$Q$12),Precios!$Q$12))*(INDEX(Precios!$F$5:$F$124,MATCH(E847,Precios!$A$5:$A$124,0))+IF(F847="Sí",Precios!$Q$10,0)),"falta $ tela"))</f>
        <v/>
      </c>
      <c r="H847" s="32" t="str">
        <f aca="false">IF(A847="","",A847&amp;"|"&amp;COUNTIF($A$5:A847,A847))</f>
        <v/>
      </c>
    </row>
    <row r="848" customFormat="false" ht="15" hidden="false" customHeight="false" outlineLevel="0" collapsed="false">
      <c r="A848" s="28"/>
      <c r="B848" s="28"/>
      <c r="C848" s="28"/>
      <c r="D848" s="31"/>
      <c r="E848" s="10"/>
      <c r="F848" s="28"/>
      <c r="G848" s="11" t="str">
        <f aca="false">IF(OR(A848="",N(D848)=0),"",IFERROR(D848*(1+IFERROR(IF(ISNUMBER(INDEX(Moldes!$K$5:$K$154,MATCH(A848,Moldes!$A$5:$A$154,0))),INDEX(Moldes!$K$5:$K$154,MATCH(A848,Moldes!$A$5:$A$154,0)),Precios!$Q$12),Precios!$Q$12))*(INDEX(Precios!$F$5:$F$124,MATCH(E848,Precios!$A$5:$A$124,0))+IF(F848="Sí",Precios!$Q$10,0)),"falta $ tela"))</f>
        <v/>
      </c>
      <c r="H848" s="32" t="str">
        <f aca="false">IF(A848="","",A848&amp;"|"&amp;COUNTIF($A$5:A848,A848))</f>
        <v/>
      </c>
    </row>
    <row r="849" customFormat="false" ht="15" hidden="false" customHeight="false" outlineLevel="0" collapsed="false">
      <c r="A849" s="28"/>
      <c r="B849" s="28"/>
      <c r="C849" s="28"/>
      <c r="D849" s="31"/>
      <c r="E849" s="10"/>
      <c r="F849" s="28"/>
      <c r="G849" s="11" t="str">
        <f aca="false">IF(OR(A849="",N(D849)=0),"",IFERROR(D849*(1+IFERROR(IF(ISNUMBER(INDEX(Moldes!$K$5:$K$154,MATCH(A849,Moldes!$A$5:$A$154,0))),INDEX(Moldes!$K$5:$K$154,MATCH(A849,Moldes!$A$5:$A$154,0)),Precios!$Q$12),Precios!$Q$12))*(INDEX(Precios!$F$5:$F$124,MATCH(E849,Precios!$A$5:$A$124,0))+IF(F849="Sí",Precios!$Q$10,0)),"falta $ tela"))</f>
        <v/>
      </c>
      <c r="H849" s="32" t="str">
        <f aca="false">IF(A849="","",A849&amp;"|"&amp;COUNTIF($A$5:A849,A849))</f>
        <v/>
      </c>
    </row>
    <row r="850" customFormat="false" ht="15" hidden="false" customHeight="false" outlineLevel="0" collapsed="false">
      <c r="A850" s="28"/>
      <c r="B850" s="28"/>
      <c r="C850" s="28"/>
      <c r="D850" s="31"/>
      <c r="E850" s="10"/>
      <c r="F850" s="28"/>
      <c r="G850" s="11" t="str">
        <f aca="false">IF(OR(A850="",N(D850)=0),"",IFERROR(D850*(1+IFERROR(IF(ISNUMBER(INDEX(Moldes!$K$5:$K$154,MATCH(A850,Moldes!$A$5:$A$154,0))),INDEX(Moldes!$K$5:$K$154,MATCH(A850,Moldes!$A$5:$A$154,0)),Precios!$Q$12),Precios!$Q$12))*(INDEX(Precios!$F$5:$F$124,MATCH(E850,Precios!$A$5:$A$124,0))+IF(F850="Sí",Precios!$Q$10,0)),"falta $ tela"))</f>
        <v/>
      </c>
      <c r="H850" s="32" t="str">
        <f aca="false">IF(A850="","",A850&amp;"|"&amp;COUNTIF($A$5:A850,A850))</f>
        <v/>
      </c>
    </row>
    <row r="851" customFormat="false" ht="15" hidden="false" customHeight="false" outlineLevel="0" collapsed="false">
      <c r="A851" s="28"/>
      <c r="B851" s="28"/>
      <c r="C851" s="28"/>
      <c r="D851" s="31"/>
      <c r="E851" s="10"/>
      <c r="F851" s="28"/>
      <c r="G851" s="11" t="str">
        <f aca="false">IF(OR(A851="",N(D851)=0),"",IFERROR(D851*(1+IFERROR(IF(ISNUMBER(INDEX(Moldes!$K$5:$K$154,MATCH(A851,Moldes!$A$5:$A$154,0))),INDEX(Moldes!$K$5:$K$154,MATCH(A851,Moldes!$A$5:$A$154,0)),Precios!$Q$12),Precios!$Q$12))*(INDEX(Precios!$F$5:$F$124,MATCH(E851,Precios!$A$5:$A$124,0))+IF(F851="Sí",Precios!$Q$10,0)),"falta $ tela"))</f>
        <v/>
      </c>
      <c r="H851" s="32" t="str">
        <f aca="false">IF(A851="","",A851&amp;"|"&amp;COUNTIF($A$5:A851,A851))</f>
        <v/>
      </c>
    </row>
    <row r="852" customFormat="false" ht="15" hidden="false" customHeight="false" outlineLevel="0" collapsed="false">
      <c r="A852" s="28"/>
      <c r="B852" s="28"/>
      <c r="C852" s="28"/>
      <c r="D852" s="31"/>
      <c r="E852" s="10"/>
      <c r="F852" s="28"/>
      <c r="G852" s="11" t="str">
        <f aca="false">IF(OR(A852="",N(D852)=0),"",IFERROR(D852*(1+IFERROR(IF(ISNUMBER(INDEX(Moldes!$K$5:$K$154,MATCH(A852,Moldes!$A$5:$A$154,0))),INDEX(Moldes!$K$5:$K$154,MATCH(A852,Moldes!$A$5:$A$154,0)),Precios!$Q$12),Precios!$Q$12))*(INDEX(Precios!$F$5:$F$124,MATCH(E852,Precios!$A$5:$A$124,0))+IF(F852="Sí",Precios!$Q$10,0)),"falta $ tela"))</f>
        <v/>
      </c>
      <c r="H852" s="32" t="str">
        <f aca="false">IF(A852="","",A852&amp;"|"&amp;COUNTIF($A$5:A852,A852))</f>
        <v/>
      </c>
    </row>
    <row r="853" customFormat="false" ht="15" hidden="false" customHeight="false" outlineLevel="0" collapsed="false">
      <c r="A853" s="28"/>
      <c r="B853" s="28"/>
      <c r="C853" s="28"/>
      <c r="D853" s="31"/>
      <c r="E853" s="10"/>
      <c r="F853" s="28"/>
      <c r="G853" s="11" t="str">
        <f aca="false">IF(OR(A853="",N(D853)=0),"",IFERROR(D853*(1+IFERROR(IF(ISNUMBER(INDEX(Moldes!$K$5:$K$154,MATCH(A853,Moldes!$A$5:$A$154,0))),INDEX(Moldes!$K$5:$K$154,MATCH(A853,Moldes!$A$5:$A$154,0)),Precios!$Q$12),Precios!$Q$12))*(INDEX(Precios!$F$5:$F$124,MATCH(E853,Precios!$A$5:$A$124,0))+IF(F853="Sí",Precios!$Q$10,0)),"falta $ tela"))</f>
        <v/>
      </c>
      <c r="H853" s="32" t="str">
        <f aca="false">IF(A853="","",A853&amp;"|"&amp;COUNTIF($A$5:A853,A853))</f>
        <v/>
      </c>
    </row>
    <row r="854" customFormat="false" ht="15" hidden="false" customHeight="false" outlineLevel="0" collapsed="false">
      <c r="A854" s="28"/>
      <c r="B854" s="28"/>
      <c r="C854" s="28"/>
      <c r="D854" s="31"/>
      <c r="E854" s="10"/>
      <c r="F854" s="28"/>
      <c r="G854" s="11" t="str">
        <f aca="false">IF(OR(A854="",N(D854)=0),"",IFERROR(D854*(1+IFERROR(IF(ISNUMBER(INDEX(Moldes!$K$5:$K$154,MATCH(A854,Moldes!$A$5:$A$154,0))),INDEX(Moldes!$K$5:$K$154,MATCH(A854,Moldes!$A$5:$A$154,0)),Precios!$Q$12),Precios!$Q$12))*(INDEX(Precios!$F$5:$F$124,MATCH(E854,Precios!$A$5:$A$124,0))+IF(F854="Sí",Precios!$Q$10,0)),"falta $ tela"))</f>
        <v/>
      </c>
      <c r="H854" s="32" t="str">
        <f aca="false">IF(A854="","",A854&amp;"|"&amp;COUNTIF($A$5:A854,A854))</f>
        <v/>
      </c>
    </row>
    <row r="855" customFormat="false" ht="15" hidden="false" customHeight="false" outlineLevel="0" collapsed="false">
      <c r="A855" s="28"/>
      <c r="B855" s="28"/>
      <c r="C855" s="28"/>
      <c r="D855" s="31"/>
      <c r="E855" s="10"/>
      <c r="F855" s="28"/>
      <c r="G855" s="11" t="str">
        <f aca="false">IF(OR(A855="",N(D855)=0),"",IFERROR(D855*(1+IFERROR(IF(ISNUMBER(INDEX(Moldes!$K$5:$K$154,MATCH(A855,Moldes!$A$5:$A$154,0))),INDEX(Moldes!$K$5:$K$154,MATCH(A855,Moldes!$A$5:$A$154,0)),Precios!$Q$12),Precios!$Q$12))*(INDEX(Precios!$F$5:$F$124,MATCH(E855,Precios!$A$5:$A$124,0))+IF(F855="Sí",Precios!$Q$10,0)),"falta $ tela"))</f>
        <v/>
      </c>
      <c r="H855" s="32" t="str">
        <f aca="false">IF(A855="","",A855&amp;"|"&amp;COUNTIF($A$5:A855,A855))</f>
        <v/>
      </c>
    </row>
    <row r="856" customFormat="false" ht="15" hidden="false" customHeight="false" outlineLevel="0" collapsed="false">
      <c r="A856" s="28"/>
      <c r="B856" s="28"/>
      <c r="C856" s="28"/>
      <c r="D856" s="31"/>
      <c r="E856" s="10"/>
      <c r="F856" s="28"/>
      <c r="G856" s="11" t="str">
        <f aca="false">IF(OR(A856="",N(D856)=0),"",IFERROR(D856*(1+IFERROR(IF(ISNUMBER(INDEX(Moldes!$K$5:$K$154,MATCH(A856,Moldes!$A$5:$A$154,0))),INDEX(Moldes!$K$5:$K$154,MATCH(A856,Moldes!$A$5:$A$154,0)),Precios!$Q$12),Precios!$Q$12))*(INDEX(Precios!$F$5:$F$124,MATCH(E856,Precios!$A$5:$A$124,0))+IF(F856="Sí",Precios!$Q$10,0)),"falta $ tela"))</f>
        <v/>
      </c>
      <c r="H856" s="32" t="str">
        <f aca="false">IF(A856="","",A856&amp;"|"&amp;COUNTIF($A$5:A856,A856))</f>
        <v/>
      </c>
    </row>
    <row r="857" customFormat="false" ht="15" hidden="false" customHeight="false" outlineLevel="0" collapsed="false">
      <c r="A857" s="28"/>
      <c r="B857" s="28"/>
      <c r="C857" s="28"/>
      <c r="D857" s="31"/>
      <c r="E857" s="10"/>
      <c r="F857" s="28"/>
      <c r="G857" s="11" t="str">
        <f aca="false">IF(OR(A857="",N(D857)=0),"",IFERROR(D857*(1+IFERROR(IF(ISNUMBER(INDEX(Moldes!$K$5:$K$154,MATCH(A857,Moldes!$A$5:$A$154,0))),INDEX(Moldes!$K$5:$K$154,MATCH(A857,Moldes!$A$5:$A$154,0)),Precios!$Q$12),Precios!$Q$12))*(INDEX(Precios!$F$5:$F$124,MATCH(E857,Precios!$A$5:$A$124,0))+IF(F857="Sí",Precios!$Q$10,0)),"falta $ tela"))</f>
        <v/>
      </c>
      <c r="H857" s="32" t="str">
        <f aca="false">IF(A857="","",A857&amp;"|"&amp;COUNTIF($A$5:A857,A857))</f>
        <v/>
      </c>
    </row>
    <row r="858" customFormat="false" ht="15" hidden="false" customHeight="false" outlineLevel="0" collapsed="false">
      <c r="A858" s="28"/>
      <c r="B858" s="28"/>
      <c r="C858" s="28"/>
      <c r="D858" s="31"/>
      <c r="E858" s="10"/>
      <c r="F858" s="28"/>
      <c r="G858" s="11" t="str">
        <f aca="false">IF(OR(A858="",N(D858)=0),"",IFERROR(D858*(1+IFERROR(IF(ISNUMBER(INDEX(Moldes!$K$5:$K$154,MATCH(A858,Moldes!$A$5:$A$154,0))),INDEX(Moldes!$K$5:$K$154,MATCH(A858,Moldes!$A$5:$A$154,0)),Precios!$Q$12),Precios!$Q$12))*(INDEX(Precios!$F$5:$F$124,MATCH(E858,Precios!$A$5:$A$124,0))+IF(F858="Sí",Precios!$Q$10,0)),"falta $ tela"))</f>
        <v/>
      </c>
      <c r="H858" s="32" t="str">
        <f aca="false">IF(A858="","",A858&amp;"|"&amp;COUNTIF($A$5:A858,A858))</f>
        <v/>
      </c>
    </row>
    <row r="859" customFormat="false" ht="15" hidden="false" customHeight="false" outlineLevel="0" collapsed="false">
      <c r="A859" s="28"/>
      <c r="B859" s="28"/>
      <c r="C859" s="28"/>
      <c r="D859" s="31"/>
      <c r="E859" s="10"/>
      <c r="F859" s="28"/>
      <c r="G859" s="11" t="str">
        <f aca="false">IF(OR(A859="",N(D859)=0),"",IFERROR(D859*(1+IFERROR(IF(ISNUMBER(INDEX(Moldes!$K$5:$K$154,MATCH(A859,Moldes!$A$5:$A$154,0))),INDEX(Moldes!$K$5:$K$154,MATCH(A859,Moldes!$A$5:$A$154,0)),Precios!$Q$12),Precios!$Q$12))*(INDEX(Precios!$F$5:$F$124,MATCH(E859,Precios!$A$5:$A$124,0))+IF(F859="Sí",Precios!$Q$10,0)),"falta $ tela"))</f>
        <v/>
      </c>
      <c r="H859" s="32" t="str">
        <f aca="false">IF(A859="","",A859&amp;"|"&amp;COUNTIF($A$5:A859,A859))</f>
        <v/>
      </c>
    </row>
    <row r="860" customFormat="false" ht="15" hidden="false" customHeight="false" outlineLevel="0" collapsed="false">
      <c r="A860" s="28"/>
      <c r="B860" s="28"/>
      <c r="C860" s="28"/>
      <c r="D860" s="31"/>
      <c r="E860" s="10"/>
      <c r="F860" s="28"/>
      <c r="G860" s="11" t="str">
        <f aca="false">IF(OR(A860="",N(D860)=0),"",IFERROR(D860*(1+IFERROR(IF(ISNUMBER(INDEX(Moldes!$K$5:$K$154,MATCH(A860,Moldes!$A$5:$A$154,0))),INDEX(Moldes!$K$5:$K$154,MATCH(A860,Moldes!$A$5:$A$154,0)),Precios!$Q$12),Precios!$Q$12))*(INDEX(Precios!$F$5:$F$124,MATCH(E860,Precios!$A$5:$A$124,0))+IF(F860="Sí",Precios!$Q$10,0)),"falta $ tela"))</f>
        <v/>
      </c>
      <c r="H860" s="32" t="str">
        <f aca="false">IF(A860="","",A860&amp;"|"&amp;COUNTIF($A$5:A860,A860))</f>
        <v/>
      </c>
    </row>
    <row r="861" customFormat="false" ht="15" hidden="false" customHeight="false" outlineLevel="0" collapsed="false">
      <c r="A861" s="28"/>
      <c r="B861" s="28"/>
      <c r="C861" s="28"/>
      <c r="D861" s="31"/>
      <c r="E861" s="10"/>
      <c r="F861" s="28"/>
      <c r="G861" s="11" t="str">
        <f aca="false">IF(OR(A861="",N(D861)=0),"",IFERROR(D861*(1+IFERROR(IF(ISNUMBER(INDEX(Moldes!$K$5:$K$154,MATCH(A861,Moldes!$A$5:$A$154,0))),INDEX(Moldes!$K$5:$K$154,MATCH(A861,Moldes!$A$5:$A$154,0)),Precios!$Q$12),Precios!$Q$12))*(INDEX(Precios!$F$5:$F$124,MATCH(E861,Precios!$A$5:$A$124,0))+IF(F861="Sí",Precios!$Q$10,0)),"falta $ tela"))</f>
        <v/>
      </c>
      <c r="H861" s="32" t="str">
        <f aca="false">IF(A861="","",A861&amp;"|"&amp;COUNTIF($A$5:A861,A861))</f>
        <v/>
      </c>
    </row>
    <row r="862" customFormat="false" ht="15" hidden="false" customHeight="false" outlineLevel="0" collapsed="false">
      <c r="A862" s="28"/>
      <c r="B862" s="28"/>
      <c r="C862" s="28"/>
      <c r="D862" s="31"/>
      <c r="E862" s="10"/>
      <c r="F862" s="28"/>
      <c r="G862" s="11" t="str">
        <f aca="false">IF(OR(A862="",N(D862)=0),"",IFERROR(D862*(1+IFERROR(IF(ISNUMBER(INDEX(Moldes!$K$5:$K$154,MATCH(A862,Moldes!$A$5:$A$154,0))),INDEX(Moldes!$K$5:$K$154,MATCH(A862,Moldes!$A$5:$A$154,0)),Precios!$Q$12),Precios!$Q$12))*(INDEX(Precios!$F$5:$F$124,MATCH(E862,Precios!$A$5:$A$124,0))+IF(F862="Sí",Precios!$Q$10,0)),"falta $ tela"))</f>
        <v/>
      </c>
      <c r="H862" s="32" t="str">
        <f aca="false">IF(A862="","",A862&amp;"|"&amp;COUNTIF($A$5:A862,A862))</f>
        <v/>
      </c>
    </row>
    <row r="863" customFormat="false" ht="15" hidden="false" customHeight="false" outlineLevel="0" collapsed="false">
      <c r="A863" s="28"/>
      <c r="B863" s="28"/>
      <c r="C863" s="28"/>
      <c r="D863" s="31"/>
      <c r="E863" s="10"/>
      <c r="F863" s="28"/>
      <c r="G863" s="11" t="str">
        <f aca="false">IF(OR(A863="",N(D863)=0),"",IFERROR(D863*(1+IFERROR(IF(ISNUMBER(INDEX(Moldes!$K$5:$K$154,MATCH(A863,Moldes!$A$5:$A$154,0))),INDEX(Moldes!$K$5:$K$154,MATCH(A863,Moldes!$A$5:$A$154,0)),Precios!$Q$12),Precios!$Q$12))*(INDEX(Precios!$F$5:$F$124,MATCH(E863,Precios!$A$5:$A$124,0))+IF(F863="Sí",Precios!$Q$10,0)),"falta $ tela"))</f>
        <v/>
      </c>
      <c r="H863" s="32" t="str">
        <f aca="false">IF(A863="","",A863&amp;"|"&amp;COUNTIF($A$5:A863,A863))</f>
        <v/>
      </c>
    </row>
    <row r="864" customFormat="false" ht="15" hidden="false" customHeight="false" outlineLevel="0" collapsed="false">
      <c r="A864" s="28"/>
      <c r="B864" s="28"/>
      <c r="C864" s="28"/>
      <c r="D864" s="31"/>
      <c r="E864" s="10"/>
      <c r="F864" s="28"/>
      <c r="G864" s="11" t="str">
        <f aca="false">IF(OR(A864="",N(D864)=0),"",IFERROR(D864*(1+IFERROR(IF(ISNUMBER(INDEX(Moldes!$K$5:$K$154,MATCH(A864,Moldes!$A$5:$A$154,0))),INDEX(Moldes!$K$5:$K$154,MATCH(A864,Moldes!$A$5:$A$154,0)),Precios!$Q$12),Precios!$Q$12))*(INDEX(Precios!$F$5:$F$124,MATCH(E864,Precios!$A$5:$A$124,0))+IF(F864="Sí",Precios!$Q$10,0)),"falta $ tela"))</f>
        <v/>
      </c>
      <c r="H864" s="32" t="str">
        <f aca="false">IF(A864="","",A864&amp;"|"&amp;COUNTIF($A$5:A864,A864))</f>
        <v/>
      </c>
    </row>
    <row r="865" customFormat="false" ht="15" hidden="false" customHeight="false" outlineLevel="0" collapsed="false">
      <c r="A865" s="28"/>
      <c r="B865" s="28"/>
      <c r="C865" s="28"/>
      <c r="D865" s="31"/>
      <c r="E865" s="10"/>
      <c r="F865" s="28"/>
      <c r="G865" s="11" t="str">
        <f aca="false">IF(OR(A865="",N(D865)=0),"",IFERROR(D865*(1+IFERROR(IF(ISNUMBER(INDEX(Moldes!$K$5:$K$154,MATCH(A865,Moldes!$A$5:$A$154,0))),INDEX(Moldes!$K$5:$K$154,MATCH(A865,Moldes!$A$5:$A$154,0)),Precios!$Q$12),Precios!$Q$12))*(INDEX(Precios!$F$5:$F$124,MATCH(E865,Precios!$A$5:$A$124,0))+IF(F865="Sí",Precios!$Q$10,0)),"falta $ tela"))</f>
        <v/>
      </c>
      <c r="H865" s="32" t="str">
        <f aca="false">IF(A865="","",A865&amp;"|"&amp;COUNTIF($A$5:A865,A865))</f>
        <v/>
      </c>
    </row>
    <row r="866" customFormat="false" ht="15" hidden="false" customHeight="false" outlineLevel="0" collapsed="false">
      <c r="A866" s="28"/>
      <c r="B866" s="28"/>
      <c r="C866" s="28"/>
      <c r="D866" s="31"/>
      <c r="E866" s="10"/>
      <c r="F866" s="28"/>
      <c r="G866" s="11" t="str">
        <f aca="false">IF(OR(A866="",N(D866)=0),"",IFERROR(D866*(1+IFERROR(IF(ISNUMBER(INDEX(Moldes!$K$5:$K$154,MATCH(A866,Moldes!$A$5:$A$154,0))),INDEX(Moldes!$K$5:$K$154,MATCH(A866,Moldes!$A$5:$A$154,0)),Precios!$Q$12),Precios!$Q$12))*(INDEX(Precios!$F$5:$F$124,MATCH(E866,Precios!$A$5:$A$124,0))+IF(F866="Sí",Precios!$Q$10,0)),"falta $ tela"))</f>
        <v/>
      </c>
      <c r="H866" s="32" t="str">
        <f aca="false">IF(A866="","",A866&amp;"|"&amp;COUNTIF($A$5:A866,A866))</f>
        <v/>
      </c>
    </row>
    <row r="867" customFormat="false" ht="15" hidden="false" customHeight="false" outlineLevel="0" collapsed="false">
      <c r="A867" s="28"/>
      <c r="B867" s="28"/>
      <c r="C867" s="28"/>
      <c r="D867" s="31"/>
      <c r="E867" s="10"/>
      <c r="F867" s="28"/>
      <c r="G867" s="11" t="str">
        <f aca="false">IF(OR(A867="",N(D867)=0),"",IFERROR(D867*(1+IFERROR(IF(ISNUMBER(INDEX(Moldes!$K$5:$K$154,MATCH(A867,Moldes!$A$5:$A$154,0))),INDEX(Moldes!$K$5:$K$154,MATCH(A867,Moldes!$A$5:$A$154,0)),Precios!$Q$12),Precios!$Q$12))*(INDEX(Precios!$F$5:$F$124,MATCH(E867,Precios!$A$5:$A$124,0))+IF(F867="Sí",Precios!$Q$10,0)),"falta $ tela"))</f>
        <v/>
      </c>
      <c r="H867" s="32" t="str">
        <f aca="false">IF(A867="","",A867&amp;"|"&amp;COUNTIF($A$5:A867,A867))</f>
        <v/>
      </c>
    </row>
    <row r="868" customFormat="false" ht="15" hidden="false" customHeight="false" outlineLevel="0" collapsed="false">
      <c r="A868" s="28"/>
      <c r="B868" s="28"/>
      <c r="C868" s="28"/>
      <c r="D868" s="31"/>
      <c r="E868" s="10"/>
      <c r="F868" s="28"/>
      <c r="G868" s="11" t="str">
        <f aca="false">IF(OR(A868="",N(D868)=0),"",IFERROR(D868*(1+IFERROR(IF(ISNUMBER(INDEX(Moldes!$K$5:$K$154,MATCH(A868,Moldes!$A$5:$A$154,0))),INDEX(Moldes!$K$5:$K$154,MATCH(A868,Moldes!$A$5:$A$154,0)),Precios!$Q$12),Precios!$Q$12))*(INDEX(Precios!$F$5:$F$124,MATCH(E868,Precios!$A$5:$A$124,0))+IF(F868="Sí",Precios!$Q$10,0)),"falta $ tela"))</f>
        <v/>
      </c>
      <c r="H868" s="32" t="str">
        <f aca="false">IF(A868="","",A868&amp;"|"&amp;COUNTIF($A$5:A868,A868))</f>
        <v/>
      </c>
    </row>
    <row r="869" customFormat="false" ht="15" hidden="false" customHeight="false" outlineLevel="0" collapsed="false">
      <c r="A869" s="28"/>
      <c r="B869" s="28"/>
      <c r="C869" s="28"/>
      <c r="D869" s="31"/>
      <c r="E869" s="10"/>
      <c r="F869" s="28"/>
      <c r="G869" s="11" t="str">
        <f aca="false">IF(OR(A869="",N(D869)=0),"",IFERROR(D869*(1+IFERROR(IF(ISNUMBER(INDEX(Moldes!$K$5:$K$154,MATCH(A869,Moldes!$A$5:$A$154,0))),INDEX(Moldes!$K$5:$K$154,MATCH(A869,Moldes!$A$5:$A$154,0)),Precios!$Q$12),Precios!$Q$12))*(INDEX(Precios!$F$5:$F$124,MATCH(E869,Precios!$A$5:$A$124,0))+IF(F869="Sí",Precios!$Q$10,0)),"falta $ tela"))</f>
        <v/>
      </c>
      <c r="H869" s="32" t="str">
        <f aca="false">IF(A869="","",A869&amp;"|"&amp;COUNTIF($A$5:A869,A869))</f>
        <v/>
      </c>
    </row>
    <row r="870" customFormat="false" ht="15" hidden="false" customHeight="false" outlineLevel="0" collapsed="false">
      <c r="A870" s="28"/>
      <c r="B870" s="28"/>
      <c r="C870" s="28"/>
      <c r="D870" s="31"/>
      <c r="E870" s="10"/>
      <c r="F870" s="28"/>
      <c r="G870" s="11" t="str">
        <f aca="false">IF(OR(A870="",N(D870)=0),"",IFERROR(D870*(1+IFERROR(IF(ISNUMBER(INDEX(Moldes!$K$5:$K$154,MATCH(A870,Moldes!$A$5:$A$154,0))),INDEX(Moldes!$K$5:$K$154,MATCH(A870,Moldes!$A$5:$A$154,0)),Precios!$Q$12),Precios!$Q$12))*(INDEX(Precios!$F$5:$F$124,MATCH(E870,Precios!$A$5:$A$124,0))+IF(F870="Sí",Precios!$Q$10,0)),"falta $ tela"))</f>
        <v/>
      </c>
      <c r="H870" s="32" t="str">
        <f aca="false">IF(A870="","",A870&amp;"|"&amp;COUNTIF($A$5:A870,A870))</f>
        <v/>
      </c>
    </row>
    <row r="871" customFormat="false" ht="15" hidden="false" customHeight="false" outlineLevel="0" collapsed="false">
      <c r="A871" s="28"/>
      <c r="B871" s="28"/>
      <c r="C871" s="28"/>
      <c r="D871" s="31"/>
      <c r="E871" s="10"/>
      <c r="F871" s="28"/>
      <c r="G871" s="11" t="str">
        <f aca="false">IF(OR(A871="",N(D871)=0),"",IFERROR(D871*(1+IFERROR(IF(ISNUMBER(INDEX(Moldes!$K$5:$K$154,MATCH(A871,Moldes!$A$5:$A$154,0))),INDEX(Moldes!$K$5:$K$154,MATCH(A871,Moldes!$A$5:$A$154,0)),Precios!$Q$12),Precios!$Q$12))*(INDEX(Precios!$F$5:$F$124,MATCH(E871,Precios!$A$5:$A$124,0))+IF(F871="Sí",Precios!$Q$10,0)),"falta $ tela"))</f>
        <v/>
      </c>
      <c r="H871" s="32" t="str">
        <f aca="false">IF(A871="","",A871&amp;"|"&amp;COUNTIF($A$5:A871,A871))</f>
        <v/>
      </c>
    </row>
    <row r="872" customFormat="false" ht="15" hidden="false" customHeight="false" outlineLevel="0" collapsed="false">
      <c r="A872" s="28"/>
      <c r="B872" s="28"/>
      <c r="C872" s="28"/>
      <c r="D872" s="31"/>
      <c r="E872" s="10"/>
      <c r="F872" s="28"/>
      <c r="G872" s="11" t="str">
        <f aca="false">IF(OR(A872="",N(D872)=0),"",IFERROR(D872*(1+IFERROR(IF(ISNUMBER(INDEX(Moldes!$K$5:$K$154,MATCH(A872,Moldes!$A$5:$A$154,0))),INDEX(Moldes!$K$5:$K$154,MATCH(A872,Moldes!$A$5:$A$154,0)),Precios!$Q$12),Precios!$Q$12))*(INDEX(Precios!$F$5:$F$124,MATCH(E872,Precios!$A$5:$A$124,0))+IF(F872="Sí",Precios!$Q$10,0)),"falta $ tela"))</f>
        <v/>
      </c>
      <c r="H872" s="32" t="str">
        <f aca="false">IF(A872="","",A872&amp;"|"&amp;COUNTIF($A$5:A872,A872))</f>
        <v/>
      </c>
    </row>
    <row r="873" customFormat="false" ht="15" hidden="false" customHeight="false" outlineLevel="0" collapsed="false">
      <c r="A873" s="28"/>
      <c r="B873" s="28"/>
      <c r="C873" s="28"/>
      <c r="D873" s="31"/>
      <c r="E873" s="10"/>
      <c r="F873" s="28"/>
      <c r="G873" s="11" t="str">
        <f aca="false">IF(OR(A873="",N(D873)=0),"",IFERROR(D873*(1+IFERROR(IF(ISNUMBER(INDEX(Moldes!$K$5:$K$154,MATCH(A873,Moldes!$A$5:$A$154,0))),INDEX(Moldes!$K$5:$K$154,MATCH(A873,Moldes!$A$5:$A$154,0)),Precios!$Q$12),Precios!$Q$12))*(INDEX(Precios!$F$5:$F$124,MATCH(E873,Precios!$A$5:$A$124,0))+IF(F873="Sí",Precios!$Q$10,0)),"falta $ tela"))</f>
        <v/>
      </c>
      <c r="H873" s="32" t="str">
        <f aca="false">IF(A873="","",A873&amp;"|"&amp;COUNTIF($A$5:A873,A873))</f>
        <v/>
      </c>
    </row>
    <row r="874" customFormat="false" ht="15" hidden="false" customHeight="false" outlineLevel="0" collapsed="false">
      <c r="A874" s="28"/>
      <c r="B874" s="28"/>
      <c r="C874" s="28"/>
      <c r="D874" s="31"/>
      <c r="E874" s="10"/>
      <c r="F874" s="28"/>
      <c r="G874" s="11" t="str">
        <f aca="false">IF(OR(A874="",N(D874)=0),"",IFERROR(D874*(1+IFERROR(IF(ISNUMBER(INDEX(Moldes!$K$5:$K$154,MATCH(A874,Moldes!$A$5:$A$154,0))),INDEX(Moldes!$K$5:$K$154,MATCH(A874,Moldes!$A$5:$A$154,0)),Precios!$Q$12),Precios!$Q$12))*(INDEX(Precios!$F$5:$F$124,MATCH(E874,Precios!$A$5:$A$124,0))+IF(F874="Sí",Precios!$Q$10,0)),"falta $ tela"))</f>
        <v/>
      </c>
      <c r="H874" s="32" t="str">
        <f aca="false">IF(A874="","",A874&amp;"|"&amp;COUNTIF($A$5:A874,A874))</f>
        <v/>
      </c>
    </row>
    <row r="875" customFormat="false" ht="15" hidden="false" customHeight="false" outlineLevel="0" collapsed="false">
      <c r="A875" s="28"/>
      <c r="B875" s="28"/>
      <c r="C875" s="28"/>
      <c r="D875" s="31"/>
      <c r="E875" s="10"/>
      <c r="F875" s="28"/>
      <c r="G875" s="11" t="str">
        <f aca="false">IF(OR(A875="",N(D875)=0),"",IFERROR(D875*(1+IFERROR(IF(ISNUMBER(INDEX(Moldes!$K$5:$K$154,MATCH(A875,Moldes!$A$5:$A$154,0))),INDEX(Moldes!$K$5:$K$154,MATCH(A875,Moldes!$A$5:$A$154,0)),Precios!$Q$12),Precios!$Q$12))*(INDEX(Precios!$F$5:$F$124,MATCH(E875,Precios!$A$5:$A$124,0))+IF(F875="Sí",Precios!$Q$10,0)),"falta $ tela"))</f>
        <v/>
      </c>
      <c r="H875" s="32" t="str">
        <f aca="false">IF(A875="","",A875&amp;"|"&amp;COUNTIF($A$5:A875,A875))</f>
        <v/>
      </c>
    </row>
    <row r="876" customFormat="false" ht="15" hidden="false" customHeight="false" outlineLevel="0" collapsed="false">
      <c r="A876" s="28"/>
      <c r="B876" s="28"/>
      <c r="C876" s="28"/>
      <c r="D876" s="31"/>
      <c r="E876" s="10"/>
      <c r="F876" s="28"/>
      <c r="G876" s="11" t="str">
        <f aca="false">IF(OR(A876="",N(D876)=0),"",IFERROR(D876*(1+IFERROR(IF(ISNUMBER(INDEX(Moldes!$K$5:$K$154,MATCH(A876,Moldes!$A$5:$A$154,0))),INDEX(Moldes!$K$5:$K$154,MATCH(A876,Moldes!$A$5:$A$154,0)),Precios!$Q$12),Precios!$Q$12))*(INDEX(Precios!$F$5:$F$124,MATCH(E876,Precios!$A$5:$A$124,0))+IF(F876="Sí",Precios!$Q$10,0)),"falta $ tela"))</f>
        <v/>
      </c>
      <c r="H876" s="32" t="str">
        <f aca="false">IF(A876="","",A876&amp;"|"&amp;COUNTIF($A$5:A876,A876))</f>
        <v/>
      </c>
    </row>
    <row r="877" customFormat="false" ht="15" hidden="false" customHeight="false" outlineLevel="0" collapsed="false">
      <c r="A877" s="28"/>
      <c r="B877" s="28"/>
      <c r="C877" s="28"/>
      <c r="D877" s="31"/>
      <c r="E877" s="10"/>
      <c r="F877" s="28"/>
      <c r="G877" s="11" t="str">
        <f aca="false">IF(OR(A877="",N(D877)=0),"",IFERROR(D877*(1+IFERROR(IF(ISNUMBER(INDEX(Moldes!$K$5:$K$154,MATCH(A877,Moldes!$A$5:$A$154,0))),INDEX(Moldes!$K$5:$K$154,MATCH(A877,Moldes!$A$5:$A$154,0)),Precios!$Q$12),Precios!$Q$12))*(INDEX(Precios!$F$5:$F$124,MATCH(E877,Precios!$A$5:$A$124,0))+IF(F877="Sí",Precios!$Q$10,0)),"falta $ tela"))</f>
        <v/>
      </c>
      <c r="H877" s="32" t="str">
        <f aca="false">IF(A877="","",A877&amp;"|"&amp;COUNTIF($A$5:A877,A877))</f>
        <v/>
      </c>
    </row>
    <row r="878" customFormat="false" ht="15" hidden="false" customHeight="false" outlineLevel="0" collapsed="false">
      <c r="A878" s="28"/>
      <c r="B878" s="28"/>
      <c r="C878" s="28"/>
      <c r="D878" s="31"/>
      <c r="E878" s="10"/>
      <c r="F878" s="28"/>
      <c r="G878" s="11" t="str">
        <f aca="false">IF(OR(A878="",N(D878)=0),"",IFERROR(D878*(1+IFERROR(IF(ISNUMBER(INDEX(Moldes!$K$5:$K$154,MATCH(A878,Moldes!$A$5:$A$154,0))),INDEX(Moldes!$K$5:$K$154,MATCH(A878,Moldes!$A$5:$A$154,0)),Precios!$Q$12),Precios!$Q$12))*(INDEX(Precios!$F$5:$F$124,MATCH(E878,Precios!$A$5:$A$124,0))+IF(F878="Sí",Precios!$Q$10,0)),"falta $ tela"))</f>
        <v/>
      </c>
      <c r="H878" s="32" t="str">
        <f aca="false">IF(A878="","",A878&amp;"|"&amp;COUNTIF($A$5:A878,A878))</f>
        <v/>
      </c>
    </row>
    <row r="879" customFormat="false" ht="15" hidden="false" customHeight="false" outlineLevel="0" collapsed="false">
      <c r="A879" s="28"/>
      <c r="B879" s="28"/>
      <c r="C879" s="28"/>
      <c r="D879" s="31"/>
      <c r="E879" s="10"/>
      <c r="F879" s="28"/>
      <c r="G879" s="11" t="str">
        <f aca="false">IF(OR(A879="",N(D879)=0),"",IFERROR(D879*(1+IFERROR(IF(ISNUMBER(INDEX(Moldes!$K$5:$K$154,MATCH(A879,Moldes!$A$5:$A$154,0))),INDEX(Moldes!$K$5:$K$154,MATCH(A879,Moldes!$A$5:$A$154,0)),Precios!$Q$12),Precios!$Q$12))*(INDEX(Precios!$F$5:$F$124,MATCH(E879,Precios!$A$5:$A$124,0))+IF(F879="Sí",Precios!$Q$10,0)),"falta $ tela"))</f>
        <v/>
      </c>
      <c r="H879" s="32" t="str">
        <f aca="false">IF(A879="","",A879&amp;"|"&amp;COUNTIF($A$5:A879,A879))</f>
        <v/>
      </c>
    </row>
    <row r="880" customFormat="false" ht="15" hidden="false" customHeight="false" outlineLevel="0" collapsed="false">
      <c r="A880" s="28"/>
      <c r="B880" s="28"/>
      <c r="C880" s="28"/>
      <c r="D880" s="31"/>
      <c r="E880" s="10"/>
      <c r="F880" s="28"/>
      <c r="G880" s="11" t="str">
        <f aca="false">IF(OR(A880="",N(D880)=0),"",IFERROR(D880*(1+IFERROR(IF(ISNUMBER(INDEX(Moldes!$K$5:$K$154,MATCH(A880,Moldes!$A$5:$A$154,0))),INDEX(Moldes!$K$5:$K$154,MATCH(A880,Moldes!$A$5:$A$154,0)),Precios!$Q$12),Precios!$Q$12))*(INDEX(Precios!$F$5:$F$124,MATCH(E880,Precios!$A$5:$A$124,0))+IF(F880="Sí",Precios!$Q$10,0)),"falta $ tela"))</f>
        <v/>
      </c>
      <c r="H880" s="32" t="str">
        <f aca="false">IF(A880="","",A880&amp;"|"&amp;COUNTIF($A$5:A880,A880))</f>
        <v/>
      </c>
    </row>
    <row r="881" customFormat="false" ht="15" hidden="false" customHeight="false" outlineLevel="0" collapsed="false">
      <c r="A881" s="28"/>
      <c r="B881" s="28"/>
      <c r="C881" s="28"/>
      <c r="D881" s="31"/>
      <c r="E881" s="10"/>
      <c r="F881" s="28"/>
      <c r="G881" s="11" t="str">
        <f aca="false">IF(OR(A881="",N(D881)=0),"",IFERROR(D881*(1+IFERROR(IF(ISNUMBER(INDEX(Moldes!$K$5:$K$154,MATCH(A881,Moldes!$A$5:$A$154,0))),INDEX(Moldes!$K$5:$K$154,MATCH(A881,Moldes!$A$5:$A$154,0)),Precios!$Q$12),Precios!$Q$12))*(INDEX(Precios!$F$5:$F$124,MATCH(E881,Precios!$A$5:$A$124,0))+IF(F881="Sí",Precios!$Q$10,0)),"falta $ tela"))</f>
        <v/>
      </c>
      <c r="H881" s="32" t="str">
        <f aca="false">IF(A881="","",A881&amp;"|"&amp;COUNTIF($A$5:A881,A881))</f>
        <v/>
      </c>
    </row>
    <row r="882" customFormat="false" ht="15" hidden="false" customHeight="false" outlineLevel="0" collapsed="false">
      <c r="A882" s="28"/>
      <c r="B882" s="28"/>
      <c r="C882" s="28"/>
      <c r="D882" s="31"/>
      <c r="E882" s="10"/>
      <c r="F882" s="28"/>
      <c r="G882" s="11" t="str">
        <f aca="false">IF(OR(A882="",N(D882)=0),"",IFERROR(D882*(1+IFERROR(IF(ISNUMBER(INDEX(Moldes!$K$5:$K$154,MATCH(A882,Moldes!$A$5:$A$154,0))),INDEX(Moldes!$K$5:$K$154,MATCH(A882,Moldes!$A$5:$A$154,0)),Precios!$Q$12),Precios!$Q$12))*(INDEX(Precios!$F$5:$F$124,MATCH(E882,Precios!$A$5:$A$124,0))+IF(F882="Sí",Precios!$Q$10,0)),"falta $ tela"))</f>
        <v/>
      </c>
      <c r="H882" s="32" t="str">
        <f aca="false">IF(A882="","",A882&amp;"|"&amp;COUNTIF($A$5:A882,A882))</f>
        <v/>
      </c>
    </row>
    <row r="883" customFormat="false" ht="15" hidden="false" customHeight="false" outlineLevel="0" collapsed="false">
      <c r="A883" s="28"/>
      <c r="B883" s="28"/>
      <c r="C883" s="28"/>
      <c r="D883" s="31"/>
      <c r="E883" s="10"/>
      <c r="F883" s="28"/>
      <c r="G883" s="11" t="str">
        <f aca="false">IF(OR(A883="",N(D883)=0),"",IFERROR(D883*(1+IFERROR(IF(ISNUMBER(INDEX(Moldes!$K$5:$K$154,MATCH(A883,Moldes!$A$5:$A$154,0))),INDEX(Moldes!$K$5:$K$154,MATCH(A883,Moldes!$A$5:$A$154,0)),Precios!$Q$12),Precios!$Q$12))*(INDEX(Precios!$F$5:$F$124,MATCH(E883,Precios!$A$5:$A$124,0))+IF(F883="Sí",Precios!$Q$10,0)),"falta $ tela"))</f>
        <v/>
      </c>
      <c r="H883" s="32" t="str">
        <f aca="false">IF(A883="","",A883&amp;"|"&amp;COUNTIF($A$5:A883,A883))</f>
        <v/>
      </c>
    </row>
    <row r="884" customFormat="false" ht="15" hidden="false" customHeight="false" outlineLevel="0" collapsed="false">
      <c r="A884" s="28"/>
      <c r="B884" s="28"/>
      <c r="C884" s="28"/>
      <c r="D884" s="31"/>
      <c r="E884" s="10"/>
      <c r="F884" s="28"/>
      <c r="G884" s="11" t="str">
        <f aca="false">IF(OR(A884="",N(D884)=0),"",IFERROR(D884*(1+IFERROR(IF(ISNUMBER(INDEX(Moldes!$K$5:$K$154,MATCH(A884,Moldes!$A$5:$A$154,0))),INDEX(Moldes!$K$5:$K$154,MATCH(A884,Moldes!$A$5:$A$154,0)),Precios!$Q$12),Precios!$Q$12))*(INDEX(Precios!$F$5:$F$124,MATCH(E884,Precios!$A$5:$A$124,0))+IF(F884="Sí",Precios!$Q$10,0)),"falta $ tela"))</f>
        <v/>
      </c>
      <c r="H884" s="32" t="str">
        <f aca="false">IF(A884="","",A884&amp;"|"&amp;COUNTIF($A$5:A884,A884))</f>
        <v/>
      </c>
    </row>
    <row r="885" customFormat="false" ht="15" hidden="false" customHeight="false" outlineLevel="0" collapsed="false">
      <c r="A885" s="28"/>
      <c r="B885" s="28"/>
      <c r="C885" s="28"/>
      <c r="D885" s="31"/>
      <c r="E885" s="10"/>
      <c r="F885" s="28"/>
      <c r="G885" s="11" t="str">
        <f aca="false">IF(OR(A885="",N(D885)=0),"",IFERROR(D885*(1+IFERROR(IF(ISNUMBER(INDEX(Moldes!$K$5:$K$154,MATCH(A885,Moldes!$A$5:$A$154,0))),INDEX(Moldes!$K$5:$K$154,MATCH(A885,Moldes!$A$5:$A$154,0)),Precios!$Q$12),Precios!$Q$12))*(INDEX(Precios!$F$5:$F$124,MATCH(E885,Precios!$A$5:$A$124,0))+IF(F885="Sí",Precios!$Q$10,0)),"falta $ tela"))</f>
        <v/>
      </c>
      <c r="H885" s="32" t="str">
        <f aca="false">IF(A885="","",A885&amp;"|"&amp;COUNTIF($A$5:A885,A885))</f>
        <v/>
      </c>
    </row>
    <row r="886" customFormat="false" ht="15" hidden="false" customHeight="false" outlineLevel="0" collapsed="false">
      <c r="A886" s="28"/>
      <c r="B886" s="28"/>
      <c r="C886" s="28"/>
      <c r="D886" s="31"/>
      <c r="E886" s="10"/>
      <c r="F886" s="28"/>
      <c r="G886" s="11" t="str">
        <f aca="false">IF(OR(A886="",N(D886)=0),"",IFERROR(D886*(1+IFERROR(IF(ISNUMBER(INDEX(Moldes!$K$5:$K$154,MATCH(A886,Moldes!$A$5:$A$154,0))),INDEX(Moldes!$K$5:$K$154,MATCH(A886,Moldes!$A$5:$A$154,0)),Precios!$Q$12),Precios!$Q$12))*(INDEX(Precios!$F$5:$F$124,MATCH(E886,Precios!$A$5:$A$124,0))+IF(F886="Sí",Precios!$Q$10,0)),"falta $ tela"))</f>
        <v/>
      </c>
      <c r="H886" s="32" t="str">
        <f aca="false">IF(A886="","",A886&amp;"|"&amp;COUNTIF($A$5:A886,A886))</f>
        <v/>
      </c>
    </row>
    <row r="887" customFormat="false" ht="15" hidden="false" customHeight="false" outlineLevel="0" collapsed="false">
      <c r="A887" s="28"/>
      <c r="B887" s="28"/>
      <c r="C887" s="28"/>
      <c r="D887" s="31"/>
      <c r="E887" s="10"/>
      <c r="F887" s="28"/>
      <c r="G887" s="11" t="str">
        <f aca="false">IF(OR(A887="",N(D887)=0),"",IFERROR(D887*(1+IFERROR(IF(ISNUMBER(INDEX(Moldes!$K$5:$K$154,MATCH(A887,Moldes!$A$5:$A$154,0))),INDEX(Moldes!$K$5:$K$154,MATCH(A887,Moldes!$A$5:$A$154,0)),Precios!$Q$12),Precios!$Q$12))*(INDEX(Precios!$F$5:$F$124,MATCH(E887,Precios!$A$5:$A$124,0))+IF(F887="Sí",Precios!$Q$10,0)),"falta $ tela"))</f>
        <v/>
      </c>
      <c r="H887" s="32" t="str">
        <f aca="false">IF(A887="","",A887&amp;"|"&amp;COUNTIF($A$5:A887,A887))</f>
        <v/>
      </c>
    </row>
    <row r="888" customFormat="false" ht="15" hidden="false" customHeight="false" outlineLevel="0" collapsed="false">
      <c r="A888" s="28"/>
      <c r="B888" s="28"/>
      <c r="C888" s="28"/>
      <c r="D888" s="31"/>
      <c r="E888" s="10"/>
      <c r="F888" s="28"/>
      <c r="G888" s="11" t="str">
        <f aca="false">IF(OR(A888="",N(D888)=0),"",IFERROR(D888*(1+IFERROR(IF(ISNUMBER(INDEX(Moldes!$K$5:$K$154,MATCH(A888,Moldes!$A$5:$A$154,0))),INDEX(Moldes!$K$5:$K$154,MATCH(A888,Moldes!$A$5:$A$154,0)),Precios!$Q$12),Precios!$Q$12))*(INDEX(Precios!$F$5:$F$124,MATCH(E888,Precios!$A$5:$A$124,0))+IF(F888="Sí",Precios!$Q$10,0)),"falta $ tela"))</f>
        <v/>
      </c>
      <c r="H888" s="32" t="str">
        <f aca="false">IF(A888="","",A888&amp;"|"&amp;COUNTIF($A$5:A888,A888))</f>
        <v/>
      </c>
    </row>
    <row r="889" customFormat="false" ht="15" hidden="false" customHeight="false" outlineLevel="0" collapsed="false">
      <c r="A889" s="28"/>
      <c r="B889" s="28"/>
      <c r="C889" s="28"/>
      <c r="D889" s="31"/>
      <c r="E889" s="10"/>
      <c r="F889" s="28"/>
      <c r="G889" s="11" t="str">
        <f aca="false">IF(OR(A889="",N(D889)=0),"",IFERROR(D889*(1+IFERROR(IF(ISNUMBER(INDEX(Moldes!$K$5:$K$154,MATCH(A889,Moldes!$A$5:$A$154,0))),INDEX(Moldes!$K$5:$K$154,MATCH(A889,Moldes!$A$5:$A$154,0)),Precios!$Q$12),Precios!$Q$12))*(INDEX(Precios!$F$5:$F$124,MATCH(E889,Precios!$A$5:$A$124,0))+IF(F889="Sí",Precios!$Q$10,0)),"falta $ tela"))</f>
        <v/>
      </c>
      <c r="H889" s="32" t="str">
        <f aca="false">IF(A889="","",A889&amp;"|"&amp;COUNTIF($A$5:A889,A889))</f>
        <v/>
      </c>
    </row>
    <row r="890" customFormat="false" ht="15" hidden="false" customHeight="false" outlineLevel="0" collapsed="false">
      <c r="A890" s="28"/>
      <c r="B890" s="28"/>
      <c r="C890" s="28"/>
      <c r="D890" s="31"/>
      <c r="E890" s="10"/>
      <c r="F890" s="28"/>
      <c r="G890" s="11" t="str">
        <f aca="false">IF(OR(A890="",N(D890)=0),"",IFERROR(D890*(1+IFERROR(IF(ISNUMBER(INDEX(Moldes!$K$5:$K$154,MATCH(A890,Moldes!$A$5:$A$154,0))),INDEX(Moldes!$K$5:$K$154,MATCH(A890,Moldes!$A$5:$A$154,0)),Precios!$Q$12),Precios!$Q$12))*(INDEX(Precios!$F$5:$F$124,MATCH(E890,Precios!$A$5:$A$124,0))+IF(F890="Sí",Precios!$Q$10,0)),"falta $ tela"))</f>
        <v/>
      </c>
      <c r="H890" s="32" t="str">
        <f aca="false">IF(A890="","",A890&amp;"|"&amp;COUNTIF($A$5:A890,A890))</f>
        <v/>
      </c>
    </row>
    <row r="891" customFormat="false" ht="15" hidden="false" customHeight="false" outlineLevel="0" collapsed="false">
      <c r="A891" s="28"/>
      <c r="B891" s="28"/>
      <c r="C891" s="28"/>
      <c r="D891" s="31"/>
      <c r="E891" s="10"/>
      <c r="F891" s="28"/>
      <c r="G891" s="11" t="str">
        <f aca="false">IF(OR(A891="",N(D891)=0),"",IFERROR(D891*(1+IFERROR(IF(ISNUMBER(INDEX(Moldes!$K$5:$K$154,MATCH(A891,Moldes!$A$5:$A$154,0))),INDEX(Moldes!$K$5:$K$154,MATCH(A891,Moldes!$A$5:$A$154,0)),Precios!$Q$12),Precios!$Q$12))*(INDEX(Precios!$F$5:$F$124,MATCH(E891,Precios!$A$5:$A$124,0))+IF(F891="Sí",Precios!$Q$10,0)),"falta $ tela"))</f>
        <v/>
      </c>
      <c r="H891" s="32" t="str">
        <f aca="false">IF(A891="","",A891&amp;"|"&amp;COUNTIF($A$5:A891,A891))</f>
        <v/>
      </c>
    </row>
    <row r="892" customFormat="false" ht="15" hidden="false" customHeight="false" outlineLevel="0" collapsed="false">
      <c r="A892" s="28"/>
      <c r="B892" s="28"/>
      <c r="C892" s="28"/>
      <c r="D892" s="31"/>
      <c r="E892" s="10"/>
      <c r="F892" s="28"/>
      <c r="G892" s="11" t="str">
        <f aca="false">IF(OR(A892="",N(D892)=0),"",IFERROR(D892*(1+IFERROR(IF(ISNUMBER(INDEX(Moldes!$K$5:$K$154,MATCH(A892,Moldes!$A$5:$A$154,0))),INDEX(Moldes!$K$5:$K$154,MATCH(A892,Moldes!$A$5:$A$154,0)),Precios!$Q$12),Precios!$Q$12))*(INDEX(Precios!$F$5:$F$124,MATCH(E892,Precios!$A$5:$A$124,0))+IF(F892="Sí",Precios!$Q$10,0)),"falta $ tela"))</f>
        <v/>
      </c>
      <c r="H892" s="32" t="str">
        <f aca="false">IF(A892="","",A892&amp;"|"&amp;COUNTIF($A$5:A892,A892))</f>
        <v/>
      </c>
    </row>
    <row r="893" customFormat="false" ht="15" hidden="false" customHeight="false" outlineLevel="0" collapsed="false">
      <c r="A893" s="28"/>
      <c r="B893" s="28"/>
      <c r="C893" s="28"/>
      <c r="D893" s="31"/>
      <c r="E893" s="10"/>
      <c r="F893" s="28"/>
      <c r="G893" s="11" t="str">
        <f aca="false">IF(OR(A893="",N(D893)=0),"",IFERROR(D893*(1+IFERROR(IF(ISNUMBER(INDEX(Moldes!$K$5:$K$154,MATCH(A893,Moldes!$A$5:$A$154,0))),INDEX(Moldes!$K$5:$K$154,MATCH(A893,Moldes!$A$5:$A$154,0)),Precios!$Q$12),Precios!$Q$12))*(INDEX(Precios!$F$5:$F$124,MATCH(E893,Precios!$A$5:$A$124,0))+IF(F893="Sí",Precios!$Q$10,0)),"falta $ tela"))</f>
        <v/>
      </c>
      <c r="H893" s="32" t="str">
        <f aca="false">IF(A893="","",A893&amp;"|"&amp;COUNTIF($A$5:A893,A893))</f>
        <v/>
      </c>
    </row>
    <row r="894" customFormat="false" ht="15" hidden="false" customHeight="false" outlineLevel="0" collapsed="false">
      <c r="A894" s="28"/>
      <c r="B894" s="28"/>
      <c r="C894" s="28"/>
      <c r="D894" s="31"/>
      <c r="E894" s="10"/>
      <c r="F894" s="28"/>
      <c r="G894" s="11" t="str">
        <f aca="false">IF(OR(A894="",N(D894)=0),"",IFERROR(D894*(1+IFERROR(IF(ISNUMBER(INDEX(Moldes!$K$5:$K$154,MATCH(A894,Moldes!$A$5:$A$154,0))),INDEX(Moldes!$K$5:$K$154,MATCH(A894,Moldes!$A$5:$A$154,0)),Precios!$Q$12),Precios!$Q$12))*(INDEX(Precios!$F$5:$F$124,MATCH(E894,Precios!$A$5:$A$124,0))+IF(F894="Sí",Precios!$Q$10,0)),"falta $ tela"))</f>
        <v/>
      </c>
      <c r="H894" s="32" t="str">
        <f aca="false">IF(A894="","",A894&amp;"|"&amp;COUNTIF($A$5:A894,A894))</f>
        <v/>
      </c>
    </row>
    <row r="895" customFormat="false" ht="15" hidden="false" customHeight="false" outlineLevel="0" collapsed="false">
      <c r="A895" s="28"/>
      <c r="B895" s="28"/>
      <c r="C895" s="28"/>
      <c r="D895" s="31"/>
      <c r="E895" s="10"/>
      <c r="F895" s="28"/>
      <c r="G895" s="11" t="str">
        <f aca="false">IF(OR(A895="",N(D895)=0),"",IFERROR(D895*(1+IFERROR(IF(ISNUMBER(INDEX(Moldes!$K$5:$K$154,MATCH(A895,Moldes!$A$5:$A$154,0))),INDEX(Moldes!$K$5:$K$154,MATCH(A895,Moldes!$A$5:$A$154,0)),Precios!$Q$12),Precios!$Q$12))*(INDEX(Precios!$F$5:$F$124,MATCH(E895,Precios!$A$5:$A$124,0))+IF(F895="Sí",Precios!$Q$10,0)),"falta $ tela"))</f>
        <v/>
      </c>
      <c r="H895" s="32" t="str">
        <f aca="false">IF(A895="","",A895&amp;"|"&amp;COUNTIF($A$5:A895,A895))</f>
        <v/>
      </c>
    </row>
    <row r="896" customFormat="false" ht="15" hidden="false" customHeight="false" outlineLevel="0" collapsed="false">
      <c r="A896" s="28"/>
      <c r="B896" s="28"/>
      <c r="C896" s="28"/>
      <c r="D896" s="31"/>
      <c r="E896" s="10"/>
      <c r="F896" s="28"/>
      <c r="G896" s="11" t="str">
        <f aca="false">IF(OR(A896="",N(D896)=0),"",IFERROR(D896*(1+IFERROR(IF(ISNUMBER(INDEX(Moldes!$K$5:$K$154,MATCH(A896,Moldes!$A$5:$A$154,0))),INDEX(Moldes!$K$5:$K$154,MATCH(A896,Moldes!$A$5:$A$154,0)),Precios!$Q$12),Precios!$Q$12))*(INDEX(Precios!$F$5:$F$124,MATCH(E896,Precios!$A$5:$A$124,0))+IF(F896="Sí",Precios!$Q$10,0)),"falta $ tela"))</f>
        <v/>
      </c>
      <c r="H896" s="32" t="str">
        <f aca="false">IF(A896="","",A896&amp;"|"&amp;COUNTIF($A$5:A896,A896))</f>
        <v/>
      </c>
    </row>
    <row r="897" customFormat="false" ht="15" hidden="false" customHeight="false" outlineLevel="0" collapsed="false">
      <c r="A897" s="28"/>
      <c r="B897" s="28"/>
      <c r="C897" s="28"/>
      <c r="D897" s="31"/>
      <c r="E897" s="10"/>
      <c r="F897" s="28"/>
      <c r="G897" s="11" t="str">
        <f aca="false">IF(OR(A897="",N(D897)=0),"",IFERROR(D897*(1+IFERROR(IF(ISNUMBER(INDEX(Moldes!$K$5:$K$154,MATCH(A897,Moldes!$A$5:$A$154,0))),INDEX(Moldes!$K$5:$K$154,MATCH(A897,Moldes!$A$5:$A$154,0)),Precios!$Q$12),Precios!$Q$12))*(INDEX(Precios!$F$5:$F$124,MATCH(E897,Precios!$A$5:$A$124,0))+IF(F897="Sí",Precios!$Q$10,0)),"falta $ tela"))</f>
        <v/>
      </c>
      <c r="H897" s="32" t="str">
        <f aca="false">IF(A897="","",A897&amp;"|"&amp;COUNTIF($A$5:A897,A897))</f>
        <v/>
      </c>
    </row>
    <row r="898" customFormat="false" ht="15" hidden="false" customHeight="false" outlineLevel="0" collapsed="false">
      <c r="A898" s="28"/>
      <c r="B898" s="28"/>
      <c r="C898" s="28"/>
      <c r="D898" s="31"/>
      <c r="E898" s="10"/>
      <c r="F898" s="28"/>
      <c r="G898" s="11" t="str">
        <f aca="false">IF(OR(A898="",N(D898)=0),"",IFERROR(D898*(1+IFERROR(IF(ISNUMBER(INDEX(Moldes!$K$5:$K$154,MATCH(A898,Moldes!$A$5:$A$154,0))),INDEX(Moldes!$K$5:$K$154,MATCH(A898,Moldes!$A$5:$A$154,0)),Precios!$Q$12),Precios!$Q$12))*(INDEX(Precios!$F$5:$F$124,MATCH(E898,Precios!$A$5:$A$124,0))+IF(F898="Sí",Precios!$Q$10,0)),"falta $ tela"))</f>
        <v/>
      </c>
      <c r="H898" s="32" t="str">
        <f aca="false">IF(A898="","",A898&amp;"|"&amp;COUNTIF($A$5:A898,A898))</f>
        <v/>
      </c>
    </row>
    <row r="899" customFormat="false" ht="15" hidden="false" customHeight="false" outlineLevel="0" collapsed="false">
      <c r="A899" s="28"/>
      <c r="B899" s="28"/>
      <c r="C899" s="28"/>
      <c r="D899" s="31"/>
      <c r="E899" s="10"/>
      <c r="F899" s="28"/>
      <c r="G899" s="11" t="str">
        <f aca="false">IF(OR(A899="",N(D899)=0),"",IFERROR(D899*(1+IFERROR(IF(ISNUMBER(INDEX(Moldes!$K$5:$K$154,MATCH(A899,Moldes!$A$5:$A$154,0))),INDEX(Moldes!$K$5:$K$154,MATCH(A899,Moldes!$A$5:$A$154,0)),Precios!$Q$12),Precios!$Q$12))*(INDEX(Precios!$F$5:$F$124,MATCH(E899,Precios!$A$5:$A$124,0))+IF(F899="Sí",Precios!$Q$10,0)),"falta $ tela"))</f>
        <v/>
      </c>
      <c r="H899" s="32" t="str">
        <f aca="false">IF(A899="","",A899&amp;"|"&amp;COUNTIF($A$5:A899,A899))</f>
        <v/>
      </c>
    </row>
    <row r="900" customFormat="false" ht="15" hidden="false" customHeight="false" outlineLevel="0" collapsed="false">
      <c r="A900" s="28"/>
      <c r="B900" s="28"/>
      <c r="C900" s="28"/>
      <c r="D900" s="31"/>
      <c r="E900" s="10"/>
      <c r="F900" s="28"/>
      <c r="G900" s="11" t="str">
        <f aca="false">IF(OR(A900="",N(D900)=0),"",IFERROR(D900*(1+IFERROR(IF(ISNUMBER(INDEX(Moldes!$K$5:$K$154,MATCH(A900,Moldes!$A$5:$A$154,0))),INDEX(Moldes!$K$5:$K$154,MATCH(A900,Moldes!$A$5:$A$154,0)),Precios!$Q$12),Precios!$Q$12))*(INDEX(Precios!$F$5:$F$124,MATCH(E900,Precios!$A$5:$A$124,0))+IF(F900="Sí",Precios!$Q$10,0)),"falta $ tela"))</f>
        <v/>
      </c>
      <c r="H900" s="32" t="str">
        <f aca="false">IF(A900="","",A900&amp;"|"&amp;COUNTIF($A$5:A900,A900))</f>
        <v/>
      </c>
    </row>
    <row r="901" customFormat="false" ht="15" hidden="false" customHeight="false" outlineLevel="0" collapsed="false">
      <c r="A901" s="28"/>
      <c r="B901" s="28"/>
      <c r="C901" s="28"/>
      <c r="D901" s="31"/>
      <c r="E901" s="10"/>
      <c r="F901" s="28"/>
      <c r="G901" s="11" t="str">
        <f aca="false">IF(OR(A901="",N(D901)=0),"",IFERROR(D901*(1+IFERROR(IF(ISNUMBER(INDEX(Moldes!$K$5:$K$154,MATCH(A901,Moldes!$A$5:$A$154,0))),INDEX(Moldes!$K$5:$K$154,MATCH(A901,Moldes!$A$5:$A$154,0)),Precios!$Q$12),Precios!$Q$12))*(INDEX(Precios!$F$5:$F$124,MATCH(E901,Precios!$A$5:$A$124,0))+IF(F901="Sí",Precios!$Q$10,0)),"falta $ tela"))</f>
        <v/>
      </c>
      <c r="H901" s="32" t="str">
        <f aca="false">IF(A901="","",A901&amp;"|"&amp;COUNTIF($A$5:A901,A901))</f>
        <v/>
      </c>
    </row>
    <row r="902" customFormat="false" ht="15" hidden="false" customHeight="false" outlineLevel="0" collapsed="false">
      <c r="A902" s="28"/>
      <c r="B902" s="28"/>
      <c r="C902" s="28"/>
      <c r="D902" s="31"/>
      <c r="E902" s="10"/>
      <c r="F902" s="28"/>
      <c r="G902" s="11" t="str">
        <f aca="false">IF(OR(A902="",N(D902)=0),"",IFERROR(D902*(1+IFERROR(IF(ISNUMBER(INDEX(Moldes!$K$5:$K$154,MATCH(A902,Moldes!$A$5:$A$154,0))),INDEX(Moldes!$K$5:$K$154,MATCH(A902,Moldes!$A$5:$A$154,0)),Precios!$Q$12),Precios!$Q$12))*(INDEX(Precios!$F$5:$F$124,MATCH(E902,Precios!$A$5:$A$124,0))+IF(F902="Sí",Precios!$Q$10,0)),"falta $ tela"))</f>
        <v/>
      </c>
      <c r="H902" s="32" t="str">
        <f aca="false">IF(A902="","",A902&amp;"|"&amp;COUNTIF($A$5:A902,A902))</f>
        <v/>
      </c>
    </row>
    <row r="903" customFormat="false" ht="15" hidden="false" customHeight="false" outlineLevel="0" collapsed="false">
      <c r="A903" s="28"/>
      <c r="B903" s="28"/>
      <c r="C903" s="28"/>
      <c r="D903" s="31"/>
      <c r="E903" s="10"/>
      <c r="F903" s="28"/>
      <c r="G903" s="11" t="str">
        <f aca="false">IF(OR(A903="",N(D903)=0),"",IFERROR(D903*(1+IFERROR(IF(ISNUMBER(INDEX(Moldes!$K$5:$K$154,MATCH(A903,Moldes!$A$5:$A$154,0))),INDEX(Moldes!$K$5:$K$154,MATCH(A903,Moldes!$A$5:$A$154,0)),Precios!$Q$12),Precios!$Q$12))*(INDEX(Precios!$F$5:$F$124,MATCH(E903,Precios!$A$5:$A$124,0))+IF(F903="Sí",Precios!$Q$10,0)),"falta $ tela"))</f>
        <v/>
      </c>
      <c r="H903" s="32" t="str">
        <f aca="false">IF(A903="","",A903&amp;"|"&amp;COUNTIF($A$5:A903,A903))</f>
        <v/>
      </c>
    </row>
    <row r="904" customFormat="false" ht="15" hidden="false" customHeight="false" outlineLevel="0" collapsed="false">
      <c r="A904" s="28"/>
      <c r="B904" s="28"/>
      <c r="C904" s="28"/>
      <c r="D904" s="31"/>
      <c r="E904" s="10"/>
      <c r="F904" s="28"/>
      <c r="G904" s="11" t="str">
        <f aca="false">IF(OR(A904="",N(D904)=0),"",IFERROR(D904*(1+IFERROR(IF(ISNUMBER(INDEX(Moldes!$K$5:$K$154,MATCH(A904,Moldes!$A$5:$A$154,0))),INDEX(Moldes!$K$5:$K$154,MATCH(A904,Moldes!$A$5:$A$154,0)),Precios!$Q$12),Precios!$Q$12))*(INDEX(Precios!$F$5:$F$124,MATCH(E904,Precios!$A$5:$A$124,0))+IF(F904="Sí",Precios!$Q$10,0)),"falta $ tela"))</f>
        <v/>
      </c>
      <c r="H904" s="32" t="str">
        <f aca="false">IF(A904="","",A904&amp;"|"&amp;COUNTIF($A$5:A904,A904))</f>
        <v/>
      </c>
    </row>
    <row r="905" customFormat="false" ht="15" hidden="false" customHeight="false" outlineLevel="0" collapsed="false">
      <c r="A905" s="28"/>
      <c r="B905" s="28"/>
      <c r="C905" s="28"/>
      <c r="D905" s="31"/>
      <c r="E905" s="10"/>
      <c r="F905" s="28"/>
      <c r="G905" s="11" t="str">
        <f aca="false">IF(OR(A905="",N(D905)=0),"",IFERROR(D905*(1+IFERROR(IF(ISNUMBER(INDEX(Moldes!$K$5:$K$154,MATCH(A905,Moldes!$A$5:$A$154,0))),INDEX(Moldes!$K$5:$K$154,MATCH(A905,Moldes!$A$5:$A$154,0)),Precios!$Q$12),Precios!$Q$12))*(INDEX(Precios!$F$5:$F$124,MATCH(E905,Precios!$A$5:$A$124,0))+IF(F905="Sí",Precios!$Q$10,0)),"falta $ tela"))</f>
        <v/>
      </c>
      <c r="H905" s="32" t="str">
        <f aca="false">IF(A905="","",A905&amp;"|"&amp;COUNTIF($A$5:A905,A905))</f>
        <v/>
      </c>
    </row>
    <row r="906" customFormat="false" ht="15" hidden="false" customHeight="false" outlineLevel="0" collapsed="false">
      <c r="A906" s="28"/>
      <c r="B906" s="28"/>
      <c r="C906" s="28"/>
      <c r="D906" s="31"/>
      <c r="E906" s="10"/>
      <c r="F906" s="28"/>
      <c r="G906" s="11" t="str">
        <f aca="false">IF(OR(A906="",N(D906)=0),"",IFERROR(D906*(1+IFERROR(IF(ISNUMBER(INDEX(Moldes!$K$5:$K$154,MATCH(A906,Moldes!$A$5:$A$154,0))),INDEX(Moldes!$K$5:$K$154,MATCH(A906,Moldes!$A$5:$A$154,0)),Precios!$Q$12),Precios!$Q$12))*(INDEX(Precios!$F$5:$F$124,MATCH(E906,Precios!$A$5:$A$124,0))+IF(F906="Sí",Precios!$Q$10,0)),"falta $ tela"))</f>
        <v/>
      </c>
      <c r="H906" s="32" t="str">
        <f aca="false">IF(A906="","",A906&amp;"|"&amp;COUNTIF($A$5:A906,A906))</f>
        <v/>
      </c>
    </row>
    <row r="907" customFormat="false" ht="15" hidden="false" customHeight="false" outlineLevel="0" collapsed="false">
      <c r="A907" s="28"/>
      <c r="B907" s="28"/>
      <c r="C907" s="28"/>
      <c r="D907" s="31"/>
      <c r="E907" s="10"/>
      <c r="F907" s="28"/>
      <c r="G907" s="11" t="str">
        <f aca="false">IF(OR(A907="",N(D907)=0),"",IFERROR(D907*(1+IFERROR(IF(ISNUMBER(INDEX(Moldes!$K$5:$K$154,MATCH(A907,Moldes!$A$5:$A$154,0))),INDEX(Moldes!$K$5:$K$154,MATCH(A907,Moldes!$A$5:$A$154,0)),Precios!$Q$12),Precios!$Q$12))*(INDEX(Precios!$F$5:$F$124,MATCH(E907,Precios!$A$5:$A$124,0))+IF(F907="Sí",Precios!$Q$10,0)),"falta $ tela"))</f>
        <v/>
      </c>
      <c r="H907" s="32" t="str">
        <f aca="false">IF(A907="","",A907&amp;"|"&amp;COUNTIF($A$5:A907,A907))</f>
        <v/>
      </c>
    </row>
    <row r="908" customFormat="false" ht="15" hidden="false" customHeight="false" outlineLevel="0" collapsed="false">
      <c r="A908" s="28"/>
      <c r="B908" s="28"/>
      <c r="C908" s="28"/>
      <c r="D908" s="31"/>
      <c r="E908" s="10"/>
      <c r="F908" s="28"/>
      <c r="G908" s="11" t="str">
        <f aca="false">IF(OR(A908="",N(D908)=0),"",IFERROR(D908*(1+IFERROR(IF(ISNUMBER(INDEX(Moldes!$K$5:$K$154,MATCH(A908,Moldes!$A$5:$A$154,0))),INDEX(Moldes!$K$5:$K$154,MATCH(A908,Moldes!$A$5:$A$154,0)),Precios!$Q$12),Precios!$Q$12))*(INDEX(Precios!$F$5:$F$124,MATCH(E908,Precios!$A$5:$A$124,0))+IF(F908="Sí",Precios!$Q$10,0)),"falta $ tela"))</f>
        <v/>
      </c>
      <c r="H908" s="32" t="str">
        <f aca="false">IF(A908="","",A908&amp;"|"&amp;COUNTIF($A$5:A908,A908))</f>
        <v/>
      </c>
    </row>
    <row r="909" customFormat="false" ht="15" hidden="false" customHeight="false" outlineLevel="0" collapsed="false">
      <c r="A909" s="28"/>
      <c r="B909" s="28"/>
      <c r="C909" s="28"/>
      <c r="D909" s="31"/>
      <c r="E909" s="10"/>
      <c r="F909" s="28"/>
      <c r="G909" s="11" t="str">
        <f aca="false">IF(OR(A909="",N(D909)=0),"",IFERROR(D909*(1+IFERROR(IF(ISNUMBER(INDEX(Moldes!$K$5:$K$154,MATCH(A909,Moldes!$A$5:$A$154,0))),INDEX(Moldes!$K$5:$K$154,MATCH(A909,Moldes!$A$5:$A$154,0)),Precios!$Q$12),Precios!$Q$12))*(INDEX(Precios!$F$5:$F$124,MATCH(E909,Precios!$A$5:$A$124,0))+IF(F909="Sí",Precios!$Q$10,0)),"falta $ tela"))</f>
        <v/>
      </c>
      <c r="H909" s="32" t="str">
        <f aca="false">IF(A909="","",A909&amp;"|"&amp;COUNTIF($A$5:A909,A909))</f>
        <v/>
      </c>
    </row>
    <row r="910" customFormat="false" ht="15" hidden="false" customHeight="false" outlineLevel="0" collapsed="false">
      <c r="A910" s="28"/>
      <c r="B910" s="28"/>
      <c r="C910" s="28"/>
      <c r="D910" s="31"/>
      <c r="E910" s="10"/>
      <c r="F910" s="28"/>
      <c r="G910" s="11" t="str">
        <f aca="false">IF(OR(A910="",N(D910)=0),"",IFERROR(D910*(1+IFERROR(IF(ISNUMBER(INDEX(Moldes!$K$5:$K$154,MATCH(A910,Moldes!$A$5:$A$154,0))),INDEX(Moldes!$K$5:$K$154,MATCH(A910,Moldes!$A$5:$A$154,0)),Precios!$Q$12),Precios!$Q$12))*(INDEX(Precios!$F$5:$F$124,MATCH(E910,Precios!$A$5:$A$124,0))+IF(F910="Sí",Precios!$Q$10,0)),"falta $ tela"))</f>
        <v/>
      </c>
      <c r="H910" s="32" t="str">
        <f aca="false">IF(A910="","",A910&amp;"|"&amp;COUNTIF($A$5:A910,A910))</f>
        <v/>
      </c>
    </row>
    <row r="911" customFormat="false" ht="15" hidden="false" customHeight="false" outlineLevel="0" collapsed="false">
      <c r="A911" s="28"/>
      <c r="B911" s="28"/>
      <c r="C911" s="28"/>
      <c r="D911" s="31"/>
      <c r="E911" s="10"/>
      <c r="F911" s="28"/>
      <c r="G911" s="11" t="str">
        <f aca="false">IF(OR(A911="",N(D911)=0),"",IFERROR(D911*(1+IFERROR(IF(ISNUMBER(INDEX(Moldes!$K$5:$K$154,MATCH(A911,Moldes!$A$5:$A$154,0))),INDEX(Moldes!$K$5:$K$154,MATCH(A911,Moldes!$A$5:$A$154,0)),Precios!$Q$12),Precios!$Q$12))*(INDEX(Precios!$F$5:$F$124,MATCH(E911,Precios!$A$5:$A$124,0))+IF(F911="Sí",Precios!$Q$10,0)),"falta $ tela"))</f>
        <v/>
      </c>
      <c r="H911" s="32" t="str">
        <f aca="false">IF(A911="","",A911&amp;"|"&amp;COUNTIF($A$5:A911,A911))</f>
        <v/>
      </c>
    </row>
    <row r="912" customFormat="false" ht="15" hidden="false" customHeight="false" outlineLevel="0" collapsed="false">
      <c r="A912" s="28"/>
      <c r="B912" s="28"/>
      <c r="C912" s="28"/>
      <c r="D912" s="31"/>
      <c r="E912" s="10"/>
      <c r="F912" s="28"/>
      <c r="G912" s="11" t="str">
        <f aca="false">IF(OR(A912="",N(D912)=0),"",IFERROR(D912*(1+IFERROR(IF(ISNUMBER(INDEX(Moldes!$K$5:$K$154,MATCH(A912,Moldes!$A$5:$A$154,0))),INDEX(Moldes!$K$5:$K$154,MATCH(A912,Moldes!$A$5:$A$154,0)),Precios!$Q$12),Precios!$Q$12))*(INDEX(Precios!$F$5:$F$124,MATCH(E912,Precios!$A$5:$A$124,0))+IF(F912="Sí",Precios!$Q$10,0)),"falta $ tela"))</f>
        <v/>
      </c>
      <c r="H912" s="32" t="str">
        <f aca="false">IF(A912="","",A912&amp;"|"&amp;COUNTIF($A$5:A912,A912))</f>
        <v/>
      </c>
    </row>
    <row r="913" customFormat="false" ht="15" hidden="false" customHeight="false" outlineLevel="0" collapsed="false">
      <c r="A913" s="28"/>
      <c r="B913" s="28"/>
      <c r="C913" s="28"/>
      <c r="D913" s="31"/>
      <c r="E913" s="10"/>
      <c r="F913" s="28"/>
      <c r="G913" s="11" t="str">
        <f aca="false">IF(OR(A913="",N(D913)=0),"",IFERROR(D913*(1+IFERROR(IF(ISNUMBER(INDEX(Moldes!$K$5:$K$154,MATCH(A913,Moldes!$A$5:$A$154,0))),INDEX(Moldes!$K$5:$K$154,MATCH(A913,Moldes!$A$5:$A$154,0)),Precios!$Q$12),Precios!$Q$12))*(INDEX(Precios!$F$5:$F$124,MATCH(E913,Precios!$A$5:$A$124,0))+IF(F913="Sí",Precios!$Q$10,0)),"falta $ tela"))</f>
        <v/>
      </c>
      <c r="H913" s="32" t="str">
        <f aca="false">IF(A913="","",A913&amp;"|"&amp;COUNTIF($A$5:A913,A913))</f>
        <v/>
      </c>
    </row>
    <row r="914" customFormat="false" ht="15" hidden="false" customHeight="false" outlineLevel="0" collapsed="false">
      <c r="A914" s="28"/>
      <c r="B914" s="28"/>
      <c r="C914" s="28"/>
      <c r="D914" s="31"/>
      <c r="E914" s="10"/>
      <c r="F914" s="28"/>
      <c r="G914" s="11" t="str">
        <f aca="false">IF(OR(A914="",N(D914)=0),"",IFERROR(D914*(1+IFERROR(IF(ISNUMBER(INDEX(Moldes!$K$5:$K$154,MATCH(A914,Moldes!$A$5:$A$154,0))),INDEX(Moldes!$K$5:$K$154,MATCH(A914,Moldes!$A$5:$A$154,0)),Precios!$Q$12),Precios!$Q$12))*(INDEX(Precios!$F$5:$F$124,MATCH(E914,Precios!$A$5:$A$124,0))+IF(F914="Sí",Precios!$Q$10,0)),"falta $ tela"))</f>
        <v/>
      </c>
      <c r="H914" s="32" t="str">
        <f aca="false">IF(A914="","",A914&amp;"|"&amp;COUNTIF($A$5:A914,A914))</f>
        <v/>
      </c>
    </row>
    <row r="915" customFormat="false" ht="15" hidden="false" customHeight="false" outlineLevel="0" collapsed="false">
      <c r="A915" s="28"/>
      <c r="B915" s="28"/>
      <c r="C915" s="28"/>
      <c r="D915" s="31"/>
      <c r="E915" s="10"/>
      <c r="F915" s="28"/>
      <c r="G915" s="11" t="str">
        <f aca="false">IF(OR(A915="",N(D915)=0),"",IFERROR(D915*(1+IFERROR(IF(ISNUMBER(INDEX(Moldes!$K$5:$K$154,MATCH(A915,Moldes!$A$5:$A$154,0))),INDEX(Moldes!$K$5:$K$154,MATCH(A915,Moldes!$A$5:$A$154,0)),Precios!$Q$12),Precios!$Q$12))*(INDEX(Precios!$F$5:$F$124,MATCH(E915,Precios!$A$5:$A$124,0))+IF(F915="Sí",Precios!$Q$10,0)),"falta $ tela"))</f>
        <v/>
      </c>
      <c r="H915" s="32" t="str">
        <f aca="false">IF(A915="","",A915&amp;"|"&amp;COUNTIF($A$5:A915,A915))</f>
        <v/>
      </c>
    </row>
    <row r="916" customFormat="false" ht="15" hidden="false" customHeight="false" outlineLevel="0" collapsed="false">
      <c r="A916" s="28"/>
      <c r="B916" s="28"/>
      <c r="C916" s="28"/>
      <c r="D916" s="31"/>
      <c r="E916" s="10"/>
      <c r="F916" s="28"/>
      <c r="G916" s="11" t="str">
        <f aca="false">IF(OR(A916="",N(D916)=0),"",IFERROR(D916*(1+IFERROR(IF(ISNUMBER(INDEX(Moldes!$K$5:$K$154,MATCH(A916,Moldes!$A$5:$A$154,0))),INDEX(Moldes!$K$5:$K$154,MATCH(A916,Moldes!$A$5:$A$154,0)),Precios!$Q$12),Precios!$Q$12))*(INDEX(Precios!$F$5:$F$124,MATCH(E916,Precios!$A$5:$A$124,0))+IF(F916="Sí",Precios!$Q$10,0)),"falta $ tela"))</f>
        <v/>
      </c>
      <c r="H916" s="32" t="str">
        <f aca="false">IF(A916="","",A916&amp;"|"&amp;COUNTIF($A$5:A916,A916))</f>
        <v/>
      </c>
    </row>
    <row r="917" customFormat="false" ht="15" hidden="false" customHeight="false" outlineLevel="0" collapsed="false">
      <c r="A917" s="28"/>
      <c r="B917" s="28"/>
      <c r="C917" s="28"/>
      <c r="D917" s="31"/>
      <c r="E917" s="10"/>
      <c r="F917" s="28"/>
      <c r="G917" s="11" t="str">
        <f aca="false">IF(OR(A917="",N(D917)=0),"",IFERROR(D917*(1+IFERROR(IF(ISNUMBER(INDEX(Moldes!$K$5:$K$154,MATCH(A917,Moldes!$A$5:$A$154,0))),INDEX(Moldes!$K$5:$K$154,MATCH(A917,Moldes!$A$5:$A$154,0)),Precios!$Q$12),Precios!$Q$12))*(INDEX(Precios!$F$5:$F$124,MATCH(E917,Precios!$A$5:$A$124,0))+IF(F917="Sí",Precios!$Q$10,0)),"falta $ tela"))</f>
        <v/>
      </c>
      <c r="H917" s="32" t="str">
        <f aca="false">IF(A917="","",A917&amp;"|"&amp;COUNTIF($A$5:A917,A917))</f>
        <v/>
      </c>
    </row>
    <row r="918" customFormat="false" ht="15" hidden="false" customHeight="false" outlineLevel="0" collapsed="false">
      <c r="A918" s="28"/>
      <c r="B918" s="28"/>
      <c r="C918" s="28"/>
      <c r="D918" s="31"/>
      <c r="E918" s="10"/>
      <c r="F918" s="28"/>
      <c r="G918" s="11" t="str">
        <f aca="false">IF(OR(A918="",N(D918)=0),"",IFERROR(D918*(1+IFERROR(IF(ISNUMBER(INDEX(Moldes!$K$5:$K$154,MATCH(A918,Moldes!$A$5:$A$154,0))),INDEX(Moldes!$K$5:$K$154,MATCH(A918,Moldes!$A$5:$A$154,0)),Precios!$Q$12),Precios!$Q$12))*(INDEX(Precios!$F$5:$F$124,MATCH(E918,Precios!$A$5:$A$124,0))+IF(F918="Sí",Precios!$Q$10,0)),"falta $ tela"))</f>
        <v/>
      </c>
      <c r="H918" s="32" t="str">
        <f aca="false">IF(A918="","",A918&amp;"|"&amp;COUNTIF($A$5:A918,A918))</f>
        <v/>
      </c>
    </row>
    <row r="919" customFormat="false" ht="15" hidden="false" customHeight="false" outlineLevel="0" collapsed="false">
      <c r="A919" s="28"/>
      <c r="B919" s="28"/>
      <c r="C919" s="28"/>
      <c r="D919" s="31"/>
      <c r="E919" s="10"/>
      <c r="F919" s="28"/>
      <c r="G919" s="11" t="str">
        <f aca="false">IF(OR(A919="",N(D919)=0),"",IFERROR(D919*(1+IFERROR(IF(ISNUMBER(INDEX(Moldes!$K$5:$K$154,MATCH(A919,Moldes!$A$5:$A$154,0))),INDEX(Moldes!$K$5:$K$154,MATCH(A919,Moldes!$A$5:$A$154,0)),Precios!$Q$12),Precios!$Q$12))*(INDEX(Precios!$F$5:$F$124,MATCH(E919,Precios!$A$5:$A$124,0))+IF(F919="Sí",Precios!$Q$10,0)),"falta $ tela"))</f>
        <v/>
      </c>
      <c r="H919" s="32" t="str">
        <f aca="false">IF(A919="","",A919&amp;"|"&amp;COUNTIF($A$5:A919,A919))</f>
        <v/>
      </c>
    </row>
    <row r="920" customFormat="false" ht="15" hidden="false" customHeight="false" outlineLevel="0" collapsed="false">
      <c r="A920" s="28"/>
      <c r="B920" s="28"/>
      <c r="C920" s="28"/>
      <c r="D920" s="31"/>
      <c r="E920" s="10"/>
      <c r="F920" s="28"/>
      <c r="G920" s="11" t="str">
        <f aca="false">IF(OR(A920="",N(D920)=0),"",IFERROR(D920*(1+IFERROR(IF(ISNUMBER(INDEX(Moldes!$K$5:$K$154,MATCH(A920,Moldes!$A$5:$A$154,0))),INDEX(Moldes!$K$5:$K$154,MATCH(A920,Moldes!$A$5:$A$154,0)),Precios!$Q$12),Precios!$Q$12))*(INDEX(Precios!$F$5:$F$124,MATCH(E920,Precios!$A$5:$A$124,0))+IF(F920="Sí",Precios!$Q$10,0)),"falta $ tela"))</f>
        <v/>
      </c>
      <c r="H920" s="32" t="str">
        <f aca="false">IF(A920="","",A920&amp;"|"&amp;COUNTIF($A$5:A920,A920))</f>
        <v/>
      </c>
    </row>
    <row r="921" customFormat="false" ht="15" hidden="false" customHeight="false" outlineLevel="0" collapsed="false">
      <c r="A921" s="28"/>
      <c r="B921" s="28"/>
      <c r="C921" s="28"/>
      <c r="D921" s="31"/>
      <c r="E921" s="10"/>
      <c r="F921" s="28"/>
      <c r="G921" s="11" t="str">
        <f aca="false">IF(OR(A921="",N(D921)=0),"",IFERROR(D921*(1+IFERROR(IF(ISNUMBER(INDEX(Moldes!$K$5:$K$154,MATCH(A921,Moldes!$A$5:$A$154,0))),INDEX(Moldes!$K$5:$K$154,MATCH(A921,Moldes!$A$5:$A$154,0)),Precios!$Q$12),Precios!$Q$12))*(INDEX(Precios!$F$5:$F$124,MATCH(E921,Precios!$A$5:$A$124,0))+IF(F921="Sí",Precios!$Q$10,0)),"falta $ tela"))</f>
        <v/>
      </c>
      <c r="H921" s="32" t="str">
        <f aca="false">IF(A921="","",A921&amp;"|"&amp;COUNTIF($A$5:A921,A921))</f>
        <v/>
      </c>
    </row>
    <row r="922" customFormat="false" ht="15" hidden="false" customHeight="false" outlineLevel="0" collapsed="false">
      <c r="A922" s="28"/>
      <c r="B922" s="28"/>
      <c r="C922" s="28"/>
      <c r="D922" s="31"/>
      <c r="E922" s="10"/>
      <c r="F922" s="28"/>
      <c r="G922" s="11" t="str">
        <f aca="false">IF(OR(A922="",N(D922)=0),"",IFERROR(D922*(1+IFERROR(IF(ISNUMBER(INDEX(Moldes!$K$5:$K$154,MATCH(A922,Moldes!$A$5:$A$154,0))),INDEX(Moldes!$K$5:$K$154,MATCH(A922,Moldes!$A$5:$A$154,0)),Precios!$Q$12),Precios!$Q$12))*(INDEX(Precios!$F$5:$F$124,MATCH(E922,Precios!$A$5:$A$124,0))+IF(F922="Sí",Precios!$Q$10,0)),"falta $ tela"))</f>
        <v/>
      </c>
      <c r="H922" s="32" t="str">
        <f aca="false">IF(A922="","",A922&amp;"|"&amp;COUNTIF($A$5:A922,A922))</f>
        <v/>
      </c>
    </row>
    <row r="923" customFormat="false" ht="15" hidden="false" customHeight="false" outlineLevel="0" collapsed="false">
      <c r="A923" s="28"/>
      <c r="B923" s="28"/>
      <c r="C923" s="28"/>
      <c r="D923" s="31"/>
      <c r="E923" s="10"/>
      <c r="F923" s="28"/>
      <c r="G923" s="11" t="str">
        <f aca="false">IF(OR(A923="",N(D923)=0),"",IFERROR(D923*(1+IFERROR(IF(ISNUMBER(INDEX(Moldes!$K$5:$K$154,MATCH(A923,Moldes!$A$5:$A$154,0))),INDEX(Moldes!$K$5:$K$154,MATCH(A923,Moldes!$A$5:$A$154,0)),Precios!$Q$12),Precios!$Q$12))*(INDEX(Precios!$F$5:$F$124,MATCH(E923,Precios!$A$5:$A$124,0))+IF(F923="Sí",Precios!$Q$10,0)),"falta $ tela"))</f>
        <v/>
      </c>
      <c r="H923" s="32" t="str">
        <f aca="false">IF(A923="","",A923&amp;"|"&amp;COUNTIF($A$5:A923,A923))</f>
        <v/>
      </c>
    </row>
    <row r="924" customFormat="false" ht="15" hidden="false" customHeight="false" outlineLevel="0" collapsed="false">
      <c r="A924" s="28"/>
      <c r="B924" s="28"/>
      <c r="C924" s="28"/>
      <c r="D924" s="31"/>
      <c r="E924" s="10"/>
      <c r="F924" s="28"/>
      <c r="G924" s="11" t="str">
        <f aca="false">IF(OR(A924="",N(D924)=0),"",IFERROR(D924*(1+IFERROR(IF(ISNUMBER(INDEX(Moldes!$K$5:$K$154,MATCH(A924,Moldes!$A$5:$A$154,0))),INDEX(Moldes!$K$5:$K$154,MATCH(A924,Moldes!$A$5:$A$154,0)),Precios!$Q$12),Precios!$Q$12))*(INDEX(Precios!$F$5:$F$124,MATCH(E924,Precios!$A$5:$A$124,0))+IF(F924="Sí",Precios!$Q$10,0)),"falta $ tela"))</f>
        <v/>
      </c>
      <c r="H924" s="32" t="str">
        <f aca="false">IF(A924="","",A924&amp;"|"&amp;COUNTIF($A$5:A924,A924))</f>
        <v/>
      </c>
    </row>
    <row r="925" customFormat="false" ht="15" hidden="false" customHeight="false" outlineLevel="0" collapsed="false">
      <c r="A925" s="28"/>
      <c r="B925" s="28"/>
      <c r="C925" s="28"/>
      <c r="D925" s="31"/>
      <c r="E925" s="10"/>
      <c r="F925" s="28"/>
      <c r="G925" s="11" t="str">
        <f aca="false">IF(OR(A925="",N(D925)=0),"",IFERROR(D925*(1+IFERROR(IF(ISNUMBER(INDEX(Moldes!$K$5:$K$154,MATCH(A925,Moldes!$A$5:$A$154,0))),INDEX(Moldes!$K$5:$K$154,MATCH(A925,Moldes!$A$5:$A$154,0)),Precios!$Q$12),Precios!$Q$12))*(INDEX(Precios!$F$5:$F$124,MATCH(E925,Precios!$A$5:$A$124,0))+IF(F925="Sí",Precios!$Q$10,0)),"falta $ tela"))</f>
        <v/>
      </c>
      <c r="H925" s="32" t="str">
        <f aca="false">IF(A925="","",A925&amp;"|"&amp;COUNTIF($A$5:A925,A925))</f>
        <v/>
      </c>
    </row>
    <row r="926" customFormat="false" ht="15" hidden="false" customHeight="false" outlineLevel="0" collapsed="false">
      <c r="A926" s="28"/>
      <c r="B926" s="28"/>
      <c r="C926" s="28"/>
      <c r="D926" s="31"/>
      <c r="E926" s="10"/>
      <c r="F926" s="28"/>
      <c r="G926" s="11" t="str">
        <f aca="false">IF(OR(A926="",N(D926)=0),"",IFERROR(D926*(1+IFERROR(IF(ISNUMBER(INDEX(Moldes!$K$5:$K$154,MATCH(A926,Moldes!$A$5:$A$154,0))),INDEX(Moldes!$K$5:$K$154,MATCH(A926,Moldes!$A$5:$A$154,0)),Precios!$Q$12),Precios!$Q$12))*(INDEX(Precios!$F$5:$F$124,MATCH(E926,Precios!$A$5:$A$124,0))+IF(F926="Sí",Precios!$Q$10,0)),"falta $ tela"))</f>
        <v/>
      </c>
      <c r="H926" s="32" t="str">
        <f aca="false">IF(A926="","",A926&amp;"|"&amp;COUNTIF($A$5:A926,A926))</f>
        <v/>
      </c>
    </row>
    <row r="927" customFormat="false" ht="15" hidden="false" customHeight="false" outlineLevel="0" collapsed="false">
      <c r="A927" s="28"/>
      <c r="B927" s="28"/>
      <c r="C927" s="28"/>
      <c r="D927" s="31"/>
      <c r="E927" s="10"/>
      <c r="F927" s="28"/>
      <c r="G927" s="11" t="str">
        <f aca="false">IF(OR(A927="",N(D927)=0),"",IFERROR(D927*(1+IFERROR(IF(ISNUMBER(INDEX(Moldes!$K$5:$K$154,MATCH(A927,Moldes!$A$5:$A$154,0))),INDEX(Moldes!$K$5:$K$154,MATCH(A927,Moldes!$A$5:$A$154,0)),Precios!$Q$12),Precios!$Q$12))*(INDEX(Precios!$F$5:$F$124,MATCH(E927,Precios!$A$5:$A$124,0))+IF(F927="Sí",Precios!$Q$10,0)),"falta $ tela"))</f>
        <v/>
      </c>
      <c r="H927" s="32" t="str">
        <f aca="false">IF(A927="","",A927&amp;"|"&amp;COUNTIF($A$5:A927,A927))</f>
        <v/>
      </c>
    </row>
    <row r="928" customFormat="false" ht="15" hidden="false" customHeight="false" outlineLevel="0" collapsed="false">
      <c r="A928" s="28"/>
      <c r="B928" s="28"/>
      <c r="C928" s="28"/>
      <c r="D928" s="31"/>
      <c r="E928" s="10"/>
      <c r="F928" s="28"/>
      <c r="G928" s="11" t="str">
        <f aca="false">IF(OR(A928="",N(D928)=0),"",IFERROR(D928*(1+IFERROR(IF(ISNUMBER(INDEX(Moldes!$K$5:$K$154,MATCH(A928,Moldes!$A$5:$A$154,0))),INDEX(Moldes!$K$5:$K$154,MATCH(A928,Moldes!$A$5:$A$154,0)),Precios!$Q$12),Precios!$Q$12))*(INDEX(Precios!$F$5:$F$124,MATCH(E928,Precios!$A$5:$A$124,0))+IF(F928="Sí",Precios!$Q$10,0)),"falta $ tela"))</f>
        <v/>
      </c>
      <c r="H928" s="32" t="str">
        <f aca="false">IF(A928="","",A928&amp;"|"&amp;COUNTIF($A$5:A928,A928))</f>
        <v/>
      </c>
    </row>
    <row r="929" customFormat="false" ht="15" hidden="false" customHeight="false" outlineLevel="0" collapsed="false">
      <c r="A929" s="28"/>
      <c r="B929" s="28"/>
      <c r="C929" s="28"/>
      <c r="D929" s="31"/>
      <c r="E929" s="10"/>
      <c r="F929" s="28"/>
      <c r="G929" s="11" t="str">
        <f aca="false">IF(OR(A929="",N(D929)=0),"",IFERROR(D929*(1+IFERROR(IF(ISNUMBER(INDEX(Moldes!$K$5:$K$154,MATCH(A929,Moldes!$A$5:$A$154,0))),INDEX(Moldes!$K$5:$K$154,MATCH(A929,Moldes!$A$5:$A$154,0)),Precios!$Q$12),Precios!$Q$12))*(INDEX(Precios!$F$5:$F$124,MATCH(E929,Precios!$A$5:$A$124,0))+IF(F929="Sí",Precios!$Q$10,0)),"falta $ tela"))</f>
        <v/>
      </c>
      <c r="H929" s="32" t="str">
        <f aca="false">IF(A929="","",A929&amp;"|"&amp;COUNTIF($A$5:A929,A929))</f>
        <v/>
      </c>
    </row>
    <row r="930" customFormat="false" ht="15" hidden="false" customHeight="false" outlineLevel="0" collapsed="false">
      <c r="A930" s="28"/>
      <c r="B930" s="28"/>
      <c r="C930" s="28"/>
      <c r="D930" s="31"/>
      <c r="E930" s="10"/>
      <c r="F930" s="28"/>
      <c r="G930" s="11" t="str">
        <f aca="false">IF(OR(A930="",N(D930)=0),"",IFERROR(D930*(1+IFERROR(IF(ISNUMBER(INDEX(Moldes!$K$5:$K$154,MATCH(A930,Moldes!$A$5:$A$154,0))),INDEX(Moldes!$K$5:$K$154,MATCH(A930,Moldes!$A$5:$A$154,0)),Precios!$Q$12),Precios!$Q$12))*(INDEX(Precios!$F$5:$F$124,MATCH(E930,Precios!$A$5:$A$124,0))+IF(F930="Sí",Precios!$Q$10,0)),"falta $ tela"))</f>
        <v/>
      </c>
      <c r="H930" s="32" t="str">
        <f aca="false">IF(A930="","",A930&amp;"|"&amp;COUNTIF($A$5:A930,A930))</f>
        <v/>
      </c>
    </row>
    <row r="931" customFormat="false" ht="15" hidden="false" customHeight="false" outlineLevel="0" collapsed="false">
      <c r="A931" s="28"/>
      <c r="B931" s="28"/>
      <c r="C931" s="28"/>
      <c r="D931" s="31"/>
      <c r="E931" s="10"/>
      <c r="F931" s="28"/>
      <c r="G931" s="11" t="str">
        <f aca="false">IF(OR(A931="",N(D931)=0),"",IFERROR(D931*(1+IFERROR(IF(ISNUMBER(INDEX(Moldes!$K$5:$K$154,MATCH(A931,Moldes!$A$5:$A$154,0))),INDEX(Moldes!$K$5:$K$154,MATCH(A931,Moldes!$A$5:$A$154,0)),Precios!$Q$12),Precios!$Q$12))*(INDEX(Precios!$F$5:$F$124,MATCH(E931,Precios!$A$5:$A$124,0))+IF(F931="Sí",Precios!$Q$10,0)),"falta $ tela"))</f>
        <v/>
      </c>
      <c r="H931" s="32" t="str">
        <f aca="false">IF(A931="","",A931&amp;"|"&amp;COUNTIF($A$5:A931,A931))</f>
        <v/>
      </c>
    </row>
    <row r="932" customFormat="false" ht="15" hidden="false" customHeight="false" outlineLevel="0" collapsed="false">
      <c r="A932" s="28"/>
      <c r="B932" s="28"/>
      <c r="C932" s="28"/>
      <c r="D932" s="31"/>
      <c r="E932" s="10"/>
      <c r="F932" s="28"/>
      <c r="G932" s="11" t="str">
        <f aca="false">IF(OR(A932="",N(D932)=0),"",IFERROR(D932*(1+IFERROR(IF(ISNUMBER(INDEX(Moldes!$K$5:$K$154,MATCH(A932,Moldes!$A$5:$A$154,0))),INDEX(Moldes!$K$5:$K$154,MATCH(A932,Moldes!$A$5:$A$154,0)),Precios!$Q$12),Precios!$Q$12))*(INDEX(Precios!$F$5:$F$124,MATCH(E932,Precios!$A$5:$A$124,0))+IF(F932="Sí",Precios!$Q$10,0)),"falta $ tela"))</f>
        <v/>
      </c>
      <c r="H932" s="32" t="str">
        <f aca="false">IF(A932="","",A932&amp;"|"&amp;COUNTIF($A$5:A932,A932))</f>
        <v/>
      </c>
    </row>
    <row r="933" customFormat="false" ht="15" hidden="false" customHeight="false" outlineLevel="0" collapsed="false">
      <c r="A933" s="28"/>
      <c r="B933" s="28"/>
      <c r="C933" s="28"/>
      <c r="D933" s="31"/>
      <c r="E933" s="10"/>
      <c r="F933" s="28"/>
      <c r="G933" s="11" t="str">
        <f aca="false">IF(OR(A933="",N(D933)=0),"",IFERROR(D933*(1+IFERROR(IF(ISNUMBER(INDEX(Moldes!$K$5:$K$154,MATCH(A933,Moldes!$A$5:$A$154,0))),INDEX(Moldes!$K$5:$K$154,MATCH(A933,Moldes!$A$5:$A$154,0)),Precios!$Q$12),Precios!$Q$12))*(INDEX(Precios!$F$5:$F$124,MATCH(E933,Precios!$A$5:$A$124,0))+IF(F933="Sí",Precios!$Q$10,0)),"falta $ tela"))</f>
        <v/>
      </c>
      <c r="H933" s="32" t="str">
        <f aca="false">IF(A933="","",A933&amp;"|"&amp;COUNTIF($A$5:A933,A933))</f>
        <v/>
      </c>
    </row>
    <row r="934" customFormat="false" ht="15" hidden="false" customHeight="false" outlineLevel="0" collapsed="false">
      <c r="A934" s="28"/>
      <c r="B934" s="28"/>
      <c r="C934" s="28"/>
      <c r="D934" s="31"/>
      <c r="E934" s="10"/>
      <c r="F934" s="28"/>
      <c r="G934" s="11" t="str">
        <f aca="false">IF(OR(A934="",N(D934)=0),"",IFERROR(D934*(1+IFERROR(IF(ISNUMBER(INDEX(Moldes!$K$5:$K$154,MATCH(A934,Moldes!$A$5:$A$154,0))),INDEX(Moldes!$K$5:$K$154,MATCH(A934,Moldes!$A$5:$A$154,0)),Precios!$Q$12),Precios!$Q$12))*(INDEX(Precios!$F$5:$F$124,MATCH(E934,Precios!$A$5:$A$124,0))+IF(F934="Sí",Precios!$Q$10,0)),"falta $ tela"))</f>
        <v/>
      </c>
      <c r="H934" s="32" t="str">
        <f aca="false">IF(A934="","",A934&amp;"|"&amp;COUNTIF($A$5:A934,A934))</f>
        <v/>
      </c>
    </row>
    <row r="935" customFormat="false" ht="15" hidden="false" customHeight="false" outlineLevel="0" collapsed="false">
      <c r="A935" s="28"/>
      <c r="B935" s="28"/>
      <c r="C935" s="28"/>
      <c r="D935" s="31"/>
      <c r="E935" s="10"/>
      <c r="F935" s="28"/>
      <c r="G935" s="11" t="str">
        <f aca="false">IF(OR(A935="",N(D935)=0),"",IFERROR(D935*(1+IFERROR(IF(ISNUMBER(INDEX(Moldes!$K$5:$K$154,MATCH(A935,Moldes!$A$5:$A$154,0))),INDEX(Moldes!$K$5:$K$154,MATCH(A935,Moldes!$A$5:$A$154,0)),Precios!$Q$12),Precios!$Q$12))*(INDEX(Precios!$F$5:$F$124,MATCH(E935,Precios!$A$5:$A$124,0))+IF(F935="Sí",Precios!$Q$10,0)),"falta $ tela"))</f>
        <v/>
      </c>
      <c r="H935" s="32" t="str">
        <f aca="false">IF(A935="","",A935&amp;"|"&amp;COUNTIF($A$5:A935,A935))</f>
        <v/>
      </c>
    </row>
    <row r="936" customFormat="false" ht="15" hidden="false" customHeight="false" outlineLevel="0" collapsed="false">
      <c r="A936" s="28"/>
      <c r="B936" s="28"/>
      <c r="C936" s="28"/>
      <c r="D936" s="31"/>
      <c r="E936" s="10"/>
      <c r="F936" s="28"/>
      <c r="G936" s="11" t="str">
        <f aca="false">IF(OR(A936="",N(D936)=0),"",IFERROR(D936*(1+IFERROR(IF(ISNUMBER(INDEX(Moldes!$K$5:$K$154,MATCH(A936,Moldes!$A$5:$A$154,0))),INDEX(Moldes!$K$5:$K$154,MATCH(A936,Moldes!$A$5:$A$154,0)),Precios!$Q$12),Precios!$Q$12))*(INDEX(Precios!$F$5:$F$124,MATCH(E936,Precios!$A$5:$A$124,0))+IF(F936="Sí",Precios!$Q$10,0)),"falta $ tela"))</f>
        <v/>
      </c>
      <c r="H936" s="32" t="str">
        <f aca="false">IF(A936="","",A936&amp;"|"&amp;COUNTIF($A$5:A936,A936))</f>
        <v/>
      </c>
    </row>
    <row r="937" customFormat="false" ht="15" hidden="false" customHeight="false" outlineLevel="0" collapsed="false">
      <c r="A937" s="28"/>
      <c r="B937" s="28"/>
      <c r="C937" s="28"/>
      <c r="D937" s="31"/>
      <c r="E937" s="10"/>
      <c r="F937" s="28"/>
      <c r="G937" s="11" t="str">
        <f aca="false">IF(OR(A937="",N(D937)=0),"",IFERROR(D937*(1+IFERROR(IF(ISNUMBER(INDEX(Moldes!$K$5:$K$154,MATCH(A937,Moldes!$A$5:$A$154,0))),INDEX(Moldes!$K$5:$K$154,MATCH(A937,Moldes!$A$5:$A$154,0)),Precios!$Q$12),Precios!$Q$12))*(INDEX(Precios!$F$5:$F$124,MATCH(E937,Precios!$A$5:$A$124,0))+IF(F937="Sí",Precios!$Q$10,0)),"falta $ tela"))</f>
        <v/>
      </c>
      <c r="H937" s="32" t="str">
        <f aca="false">IF(A937="","",A937&amp;"|"&amp;COUNTIF($A$5:A937,A937))</f>
        <v/>
      </c>
    </row>
    <row r="938" customFormat="false" ht="15" hidden="false" customHeight="false" outlineLevel="0" collapsed="false">
      <c r="A938" s="28"/>
      <c r="B938" s="28"/>
      <c r="C938" s="28"/>
      <c r="D938" s="31"/>
      <c r="E938" s="10"/>
      <c r="F938" s="28"/>
      <c r="G938" s="11" t="str">
        <f aca="false">IF(OR(A938="",N(D938)=0),"",IFERROR(D938*(1+IFERROR(IF(ISNUMBER(INDEX(Moldes!$K$5:$K$154,MATCH(A938,Moldes!$A$5:$A$154,0))),INDEX(Moldes!$K$5:$K$154,MATCH(A938,Moldes!$A$5:$A$154,0)),Precios!$Q$12),Precios!$Q$12))*(INDEX(Precios!$F$5:$F$124,MATCH(E938,Precios!$A$5:$A$124,0))+IF(F938="Sí",Precios!$Q$10,0)),"falta $ tela"))</f>
        <v/>
      </c>
      <c r="H938" s="32" t="str">
        <f aca="false">IF(A938="","",A938&amp;"|"&amp;COUNTIF($A$5:A938,A938))</f>
        <v/>
      </c>
    </row>
    <row r="939" customFormat="false" ht="15" hidden="false" customHeight="false" outlineLevel="0" collapsed="false">
      <c r="A939" s="28"/>
      <c r="B939" s="28"/>
      <c r="C939" s="28"/>
      <c r="D939" s="31"/>
      <c r="E939" s="10"/>
      <c r="F939" s="28"/>
      <c r="G939" s="11" t="str">
        <f aca="false">IF(OR(A939="",N(D939)=0),"",IFERROR(D939*(1+IFERROR(IF(ISNUMBER(INDEX(Moldes!$K$5:$K$154,MATCH(A939,Moldes!$A$5:$A$154,0))),INDEX(Moldes!$K$5:$K$154,MATCH(A939,Moldes!$A$5:$A$154,0)),Precios!$Q$12),Precios!$Q$12))*(INDEX(Precios!$F$5:$F$124,MATCH(E939,Precios!$A$5:$A$124,0))+IF(F939="Sí",Precios!$Q$10,0)),"falta $ tela"))</f>
        <v/>
      </c>
      <c r="H939" s="32" t="str">
        <f aca="false">IF(A939="","",A939&amp;"|"&amp;COUNTIF($A$5:A939,A939))</f>
        <v/>
      </c>
    </row>
    <row r="940" customFormat="false" ht="15" hidden="false" customHeight="false" outlineLevel="0" collapsed="false">
      <c r="A940" s="28"/>
      <c r="B940" s="28"/>
      <c r="C940" s="28"/>
      <c r="D940" s="31"/>
      <c r="E940" s="10"/>
      <c r="F940" s="28"/>
      <c r="G940" s="11" t="str">
        <f aca="false">IF(OR(A940="",N(D940)=0),"",IFERROR(D940*(1+IFERROR(IF(ISNUMBER(INDEX(Moldes!$K$5:$K$154,MATCH(A940,Moldes!$A$5:$A$154,0))),INDEX(Moldes!$K$5:$K$154,MATCH(A940,Moldes!$A$5:$A$154,0)),Precios!$Q$12),Precios!$Q$12))*(INDEX(Precios!$F$5:$F$124,MATCH(E940,Precios!$A$5:$A$124,0))+IF(F940="Sí",Precios!$Q$10,0)),"falta $ tela"))</f>
        <v/>
      </c>
      <c r="H940" s="32" t="str">
        <f aca="false">IF(A940="","",A940&amp;"|"&amp;COUNTIF($A$5:A940,A940))</f>
        <v/>
      </c>
    </row>
    <row r="941" customFormat="false" ht="15" hidden="false" customHeight="false" outlineLevel="0" collapsed="false">
      <c r="A941" s="28"/>
      <c r="B941" s="28"/>
      <c r="C941" s="28"/>
      <c r="D941" s="31"/>
      <c r="E941" s="10"/>
      <c r="F941" s="28"/>
      <c r="G941" s="11" t="str">
        <f aca="false">IF(OR(A941="",N(D941)=0),"",IFERROR(D941*(1+IFERROR(IF(ISNUMBER(INDEX(Moldes!$K$5:$K$154,MATCH(A941,Moldes!$A$5:$A$154,0))),INDEX(Moldes!$K$5:$K$154,MATCH(A941,Moldes!$A$5:$A$154,0)),Precios!$Q$12),Precios!$Q$12))*(INDEX(Precios!$F$5:$F$124,MATCH(E941,Precios!$A$5:$A$124,0))+IF(F941="Sí",Precios!$Q$10,0)),"falta $ tela"))</f>
        <v/>
      </c>
      <c r="H941" s="32" t="str">
        <f aca="false">IF(A941="","",A941&amp;"|"&amp;COUNTIF($A$5:A941,A941))</f>
        <v/>
      </c>
    </row>
    <row r="942" customFormat="false" ht="15" hidden="false" customHeight="false" outlineLevel="0" collapsed="false">
      <c r="A942" s="28"/>
      <c r="B942" s="28"/>
      <c r="C942" s="28"/>
      <c r="D942" s="31"/>
      <c r="E942" s="10"/>
      <c r="F942" s="28"/>
      <c r="G942" s="11" t="str">
        <f aca="false">IF(OR(A942="",N(D942)=0),"",IFERROR(D942*(1+IFERROR(IF(ISNUMBER(INDEX(Moldes!$K$5:$K$154,MATCH(A942,Moldes!$A$5:$A$154,0))),INDEX(Moldes!$K$5:$K$154,MATCH(A942,Moldes!$A$5:$A$154,0)),Precios!$Q$12),Precios!$Q$12))*(INDEX(Precios!$F$5:$F$124,MATCH(E942,Precios!$A$5:$A$124,0))+IF(F942="Sí",Precios!$Q$10,0)),"falta $ tela"))</f>
        <v/>
      </c>
      <c r="H942" s="32" t="str">
        <f aca="false">IF(A942="","",A942&amp;"|"&amp;COUNTIF($A$5:A942,A942))</f>
        <v/>
      </c>
    </row>
    <row r="943" customFormat="false" ht="15" hidden="false" customHeight="false" outlineLevel="0" collapsed="false">
      <c r="A943" s="28"/>
      <c r="B943" s="28"/>
      <c r="C943" s="28"/>
      <c r="D943" s="31"/>
      <c r="E943" s="10"/>
      <c r="F943" s="28"/>
      <c r="G943" s="11" t="str">
        <f aca="false">IF(OR(A943="",N(D943)=0),"",IFERROR(D943*(1+IFERROR(IF(ISNUMBER(INDEX(Moldes!$K$5:$K$154,MATCH(A943,Moldes!$A$5:$A$154,0))),INDEX(Moldes!$K$5:$K$154,MATCH(A943,Moldes!$A$5:$A$154,0)),Precios!$Q$12),Precios!$Q$12))*(INDEX(Precios!$F$5:$F$124,MATCH(E943,Precios!$A$5:$A$124,0))+IF(F943="Sí",Precios!$Q$10,0)),"falta $ tela"))</f>
        <v/>
      </c>
      <c r="H943" s="32" t="str">
        <f aca="false">IF(A943="","",A943&amp;"|"&amp;COUNTIF($A$5:A943,A943))</f>
        <v/>
      </c>
    </row>
    <row r="944" customFormat="false" ht="15" hidden="false" customHeight="false" outlineLevel="0" collapsed="false">
      <c r="A944" s="28"/>
      <c r="B944" s="28"/>
      <c r="C944" s="28"/>
      <c r="D944" s="31"/>
      <c r="E944" s="10"/>
      <c r="F944" s="28"/>
      <c r="G944" s="11" t="str">
        <f aca="false">IF(OR(A944="",N(D944)=0),"",IFERROR(D944*(1+IFERROR(IF(ISNUMBER(INDEX(Moldes!$K$5:$K$154,MATCH(A944,Moldes!$A$5:$A$154,0))),INDEX(Moldes!$K$5:$K$154,MATCH(A944,Moldes!$A$5:$A$154,0)),Precios!$Q$12),Precios!$Q$12))*(INDEX(Precios!$F$5:$F$124,MATCH(E944,Precios!$A$5:$A$124,0))+IF(F944="Sí",Precios!$Q$10,0)),"falta $ tela"))</f>
        <v/>
      </c>
      <c r="H944" s="32" t="str">
        <f aca="false">IF(A944="","",A944&amp;"|"&amp;COUNTIF($A$5:A944,A944))</f>
        <v/>
      </c>
    </row>
    <row r="945" customFormat="false" ht="15" hidden="false" customHeight="false" outlineLevel="0" collapsed="false">
      <c r="A945" s="28"/>
      <c r="B945" s="28"/>
      <c r="C945" s="28"/>
      <c r="D945" s="31"/>
      <c r="E945" s="10"/>
      <c r="F945" s="28"/>
      <c r="G945" s="11" t="str">
        <f aca="false">IF(OR(A945="",N(D945)=0),"",IFERROR(D945*(1+IFERROR(IF(ISNUMBER(INDEX(Moldes!$K$5:$K$154,MATCH(A945,Moldes!$A$5:$A$154,0))),INDEX(Moldes!$K$5:$K$154,MATCH(A945,Moldes!$A$5:$A$154,0)),Precios!$Q$12),Precios!$Q$12))*(INDEX(Precios!$F$5:$F$124,MATCH(E945,Precios!$A$5:$A$124,0))+IF(F945="Sí",Precios!$Q$10,0)),"falta $ tela"))</f>
        <v/>
      </c>
      <c r="H945" s="32" t="str">
        <f aca="false">IF(A945="","",A945&amp;"|"&amp;COUNTIF($A$5:A945,A945))</f>
        <v/>
      </c>
    </row>
    <row r="946" customFormat="false" ht="15" hidden="false" customHeight="false" outlineLevel="0" collapsed="false">
      <c r="A946" s="28"/>
      <c r="B946" s="28"/>
      <c r="C946" s="28"/>
      <c r="D946" s="31"/>
      <c r="E946" s="10"/>
      <c r="F946" s="28"/>
      <c r="G946" s="11" t="str">
        <f aca="false">IF(OR(A946="",N(D946)=0),"",IFERROR(D946*(1+IFERROR(IF(ISNUMBER(INDEX(Moldes!$K$5:$K$154,MATCH(A946,Moldes!$A$5:$A$154,0))),INDEX(Moldes!$K$5:$K$154,MATCH(A946,Moldes!$A$5:$A$154,0)),Precios!$Q$12),Precios!$Q$12))*(INDEX(Precios!$F$5:$F$124,MATCH(E946,Precios!$A$5:$A$124,0))+IF(F946="Sí",Precios!$Q$10,0)),"falta $ tela"))</f>
        <v/>
      </c>
      <c r="H946" s="32" t="str">
        <f aca="false">IF(A946="","",A946&amp;"|"&amp;COUNTIF($A$5:A946,A946))</f>
        <v/>
      </c>
    </row>
    <row r="947" customFormat="false" ht="15" hidden="false" customHeight="false" outlineLevel="0" collapsed="false">
      <c r="A947" s="28"/>
      <c r="B947" s="28"/>
      <c r="C947" s="28"/>
      <c r="D947" s="31"/>
      <c r="E947" s="10"/>
      <c r="F947" s="28"/>
      <c r="G947" s="11" t="str">
        <f aca="false">IF(OR(A947="",N(D947)=0),"",IFERROR(D947*(1+IFERROR(IF(ISNUMBER(INDEX(Moldes!$K$5:$K$154,MATCH(A947,Moldes!$A$5:$A$154,0))),INDEX(Moldes!$K$5:$K$154,MATCH(A947,Moldes!$A$5:$A$154,0)),Precios!$Q$12),Precios!$Q$12))*(INDEX(Precios!$F$5:$F$124,MATCH(E947,Precios!$A$5:$A$124,0))+IF(F947="Sí",Precios!$Q$10,0)),"falta $ tela"))</f>
        <v/>
      </c>
      <c r="H947" s="32" t="str">
        <f aca="false">IF(A947="","",A947&amp;"|"&amp;COUNTIF($A$5:A947,A947))</f>
        <v/>
      </c>
    </row>
    <row r="948" customFormat="false" ht="15" hidden="false" customHeight="false" outlineLevel="0" collapsed="false">
      <c r="A948" s="28"/>
      <c r="B948" s="28"/>
      <c r="C948" s="28"/>
      <c r="D948" s="31"/>
      <c r="E948" s="10"/>
      <c r="F948" s="28"/>
      <c r="G948" s="11" t="str">
        <f aca="false">IF(OR(A948="",N(D948)=0),"",IFERROR(D948*(1+IFERROR(IF(ISNUMBER(INDEX(Moldes!$K$5:$K$154,MATCH(A948,Moldes!$A$5:$A$154,0))),INDEX(Moldes!$K$5:$K$154,MATCH(A948,Moldes!$A$5:$A$154,0)),Precios!$Q$12),Precios!$Q$12))*(INDEX(Precios!$F$5:$F$124,MATCH(E948,Precios!$A$5:$A$124,0))+IF(F948="Sí",Precios!$Q$10,0)),"falta $ tela"))</f>
        <v/>
      </c>
      <c r="H948" s="32" t="str">
        <f aca="false">IF(A948="","",A948&amp;"|"&amp;COUNTIF($A$5:A948,A948))</f>
        <v/>
      </c>
    </row>
    <row r="949" customFormat="false" ht="15" hidden="false" customHeight="false" outlineLevel="0" collapsed="false">
      <c r="A949" s="28"/>
      <c r="B949" s="28"/>
      <c r="C949" s="28"/>
      <c r="D949" s="31"/>
      <c r="E949" s="10"/>
      <c r="F949" s="28"/>
      <c r="G949" s="11" t="str">
        <f aca="false">IF(OR(A949="",N(D949)=0),"",IFERROR(D949*(1+IFERROR(IF(ISNUMBER(INDEX(Moldes!$K$5:$K$154,MATCH(A949,Moldes!$A$5:$A$154,0))),INDEX(Moldes!$K$5:$K$154,MATCH(A949,Moldes!$A$5:$A$154,0)),Precios!$Q$12),Precios!$Q$12))*(INDEX(Precios!$F$5:$F$124,MATCH(E949,Precios!$A$5:$A$124,0))+IF(F949="Sí",Precios!$Q$10,0)),"falta $ tela"))</f>
        <v/>
      </c>
      <c r="H949" s="32" t="str">
        <f aca="false">IF(A949="","",A949&amp;"|"&amp;COUNTIF($A$5:A949,A949))</f>
        <v/>
      </c>
    </row>
    <row r="950" customFormat="false" ht="15" hidden="false" customHeight="false" outlineLevel="0" collapsed="false">
      <c r="A950" s="28"/>
      <c r="B950" s="28"/>
      <c r="C950" s="28"/>
      <c r="D950" s="31"/>
      <c r="E950" s="10"/>
      <c r="F950" s="28"/>
      <c r="G950" s="11" t="str">
        <f aca="false">IF(OR(A950="",N(D950)=0),"",IFERROR(D950*(1+IFERROR(IF(ISNUMBER(INDEX(Moldes!$K$5:$K$154,MATCH(A950,Moldes!$A$5:$A$154,0))),INDEX(Moldes!$K$5:$K$154,MATCH(A950,Moldes!$A$5:$A$154,0)),Precios!$Q$12),Precios!$Q$12))*(INDEX(Precios!$F$5:$F$124,MATCH(E950,Precios!$A$5:$A$124,0))+IF(F950="Sí",Precios!$Q$10,0)),"falta $ tela"))</f>
        <v/>
      </c>
      <c r="H950" s="32" t="str">
        <f aca="false">IF(A950="","",A950&amp;"|"&amp;COUNTIF($A$5:A950,A950))</f>
        <v/>
      </c>
    </row>
    <row r="951" customFormat="false" ht="15" hidden="false" customHeight="false" outlineLevel="0" collapsed="false">
      <c r="A951" s="28"/>
      <c r="B951" s="28"/>
      <c r="C951" s="28"/>
      <c r="D951" s="31"/>
      <c r="E951" s="10"/>
      <c r="F951" s="28"/>
      <c r="G951" s="11" t="str">
        <f aca="false">IF(OR(A951="",N(D951)=0),"",IFERROR(D951*(1+IFERROR(IF(ISNUMBER(INDEX(Moldes!$K$5:$K$154,MATCH(A951,Moldes!$A$5:$A$154,0))),INDEX(Moldes!$K$5:$K$154,MATCH(A951,Moldes!$A$5:$A$154,0)),Precios!$Q$12),Precios!$Q$12))*(INDEX(Precios!$F$5:$F$124,MATCH(E951,Precios!$A$5:$A$124,0))+IF(F951="Sí",Precios!$Q$10,0)),"falta $ tela"))</f>
        <v/>
      </c>
      <c r="H951" s="32" t="str">
        <f aca="false">IF(A951="","",A951&amp;"|"&amp;COUNTIF($A$5:A951,A951))</f>
        <v/>
      </c>
    </row>
    <row r="952" customFormat="false" ht="15" hidden="false" customHeight="false" outlineLevel="0" collapsed="false">
      <c r="A952" s="28"/>
      <c r="B952" s="28"/>
      <c r="C952" s="28"/>
      <c r="D952" s="31"/>
      <c r="E952" s="10"/>
      <c r="F952" s="28"/>
      <c r="G952" s="11" t="str">
        <f aca="false">IF(OR(A952="",N(D952)=0),"",IFERROR(D952*(1+IFERROR(IF(ISNUMBER(INDEX(Moldes!$K$5:$K$154,MATCH(A952,Moldes!$A$5:$A$154,0))),INDEX(Moldes!$K$5:$K$154,MATCH(A952,Moldes!$A$5:$A$154,0)),Precios!$Q$12),Precios!$Q$12))*(INDEX(Precios!$F$5:$F$124,MATCH(E952,Precios!$A$5:$A$124,0))+IF(F952="Sí",Precios!$Q$10,0)),"falta $ tela"))</f>
        <v/>
      </c>
      <c r="H952" s="32" t="str">
        <f aca="false">IF(A952="","",A952&amp;"|"&amp;COUNTIF($A$5:A952,A952))</f>
        <v/>
      </c>
    </row>
    <row r="953" customFormat="false" ht="15" hidden="false" customHeight="false" outlineLevel="0" collapsed="false">
      <c r="A953" s="28"/>
      <c r="B953" s="28"/>
      <c r="C953" s="28"/>
      <c r="D953" s="31"/>
      <c r="E953" s="10"/>
      <c r="F953" s="28"/>
      <c r="G953" s="11" t="str">
        <f aca="false">IF(OR(A953="",N(D953)=0),"",IFERROR(D953*(1+IFERROR(IF(ISNUMBER(INDEX(Moldes!$K$5:$K$154,MATCH(A953,Moldes!$A$5:$A$154,0))),INDEX(Moldes!$K$5:$K$154,MATCH(A953,Moldes!$A$5:$A$154,0)),Precios!$Q$12),Precios!$Q$12))*(INDEX(Precios!$F$5:$F$124,MATCH(E953,Precios!$A$5:$A$124,0))+IF(F953="Sí",Precios!$Q$10,0)),"falta $ tela"))</f>
        <v/>
      </c>
      <c r="H953" s="32" t="str">
        <f aca="false">IF(A953="","",A953&amp;"|"&amp;COUNTIF($A$5:A953,A953))</f>
        <v/>
      </c>
    </row>
    <row r="954" customFormat="false" ht="15" hidden="false" customHeight="false" outlineLevel="0" collapsed="false">
      <c r="A954" s="28"/>
      <c r="B954" s="28"/>
      <c r="C954" s="28"/>
      <c r="D954" s="31"/>
      <c r="E954" s="10"/>
      <c r="F954" s="28"/>
      <c r="G954" s="11" t="str">
        <f aca="false">IF(OR(A954="",N(D954)=0),"",IFERROR(D954*(1+IFERROR(IF(ISNUMBER(INDEX(Moldes!$K$5:$K$154,MATCH(A954,Moldes!$A$5:$A$154,0))),INDEX(Moldes!$K$5:$K$154,MATCH(A954,Moldes!$A$5:$A$154,0)),Precios!$Q$12),Precios!$Q$12))*(INDEX(Precios!$F$5:$F$124,MATCH(E954,Precios!$A$5:$A$124,0))+IF(F954="Sí",Precios!$Q$10,0)),"falta $ tela"))</f>
        <v/>
      </c>
      <c r="H954" s="32" t="str">
        <f aca="false">IF(A954="","",A954&amp;"|"&amp;COUNTIF($A$5:A954,A954))</f>
        <v/>
      </c>
    </row>
    <row r="955" customFormat="false" ht="15" hidden="false" customHeight="false" outlineLevel="0" collapsed="false">
      <c r="A955" s="28"/>
      <c r="B955" s="28"/>
      <c r="C955" s="28"/>
      <c r="D955" s="31"/>
      <c r="E955" s="10"/>
      <c r="F955" s="28"/>
      <c r="G955" s="11" t="str">
        <f aca="false">IF(OR(A955="",N(D955)=0),"",IFERROR(D955*(1+IFERROR(IF(ISNUMBER(INDEX(Moldes!$K$5:$K$154,MATCH(A955,Moldes!$A$5:$A$154,0))),INDEX(Moldes!$K$5:$K$154,MATCH(A955,Moldes!$A$5:$A$154,0)),Precios!$Q$12),Precios!$Q$12))*(INDEX(Precios!$F$5:$F$124,MATCH(E955,Precios!$A$5:$A$124,0))+IF(F955="Sí",Precios!$Q$10,0)),"falta $ tela"))</f>
        <v/>
      </c>
      <c r="H955" s="32" t="str">
        <f aca="false">IF(A955="","",A955&amp;"|"&amp;COUNTIF($A$5:A955,A955))</f>
        <v/>
      </c>
    </row>
    <row r="956" customFormat="false" ht="15" hidden="false" customHeight="false" outlineLevel="0" collapsed="false">
      <c r="A956" s="28"/>
      <c r="B956" s="28"/>
      <c r="C956" s="28"/>
      <c r="D956" s="31"/>
      <c r="E956" s="10"/>
      <c r="F956" s="28"/>
      <c r="G956" s="11" t="str">
        <f aca="false">IF(OR(A956="",N(D956)=0),"",IFERROR(D956*(1+IFERROR(IF(ISNUMBER(INDEX(Moldes!$K$5:$K$154,MATCH(A956,Moldes!$A$5:$A$154,0))),INDEX(Moldes!$K$5:$K$154,MATCH(A956,Moldes!$A$5:$A$154,0)),Precios!$Q$12),Precios!$Q$12))*(INDEX(Precios!$F$5:$F$124,MATCH(E956,Precios!$A$5:$A$124,0))+IF(F956="Sí",Precios!$Q$10,0)),"falta $ tela"))</f>
        <v/>
      </c>
      <c r="H956" s="32" t="str">
        <f aca="false">IF(A956="","",A956&amp;"|"&amp;COUNTIF($A$5:A956,A956))</f>
        <v/>
      </c>
    </row>
    <row r="957" customFormat="false" ht="15" hidden="false" customHeight="false" outlineLevel="0" collapsed="false">
      <c r="A957" s="28"/>
      <c r="B957" s="28"/>
      <c r="C957" s="28"/>
      <c r="D957" s="31"/>
      <c r="E957" s="10"/>
      <c r="F957" s="28"/>
      <c r="G957" s="11" t="str">
        <f aca="false">IF(OR(A957="",N(D957)=0),"",IFERROR(D957*(1+IFERROR(IF(ISNUMBER(INDEX(Moldes!$K$5:$K$154,MATCH(A957,Moldes!$A$5:$A$154,0))),INDEX(Moldes!$K$5:$K$154,MATCH(A957,Moldes!$A$5:$A$154,0)),Precios!$Q$12),Precios!$Q$12))*(INDEX(Precios!$F$5:$F$124,MATCH(E957,Precios!$A$5:$A$124,0))+IF(F957="Sí",Precios!$Q$10,0)),"falta $ tela"))</f>
        <v/>
      </c>
      <c r="H957" s="32" t="str">
        <f aca="false">IF(A957="","",A957&amp;"|"&amp;COUNTIF($A$5:A957,A957))</f>
        <v/>
      </c>
    </row>
    <row r="958" customFormat="false" ht="15" hidden="false" customHeight="false" outlineLevel="0" collapsed="false">
      <c r="A958" s="28"/>
      <c r="B958" s="28"/>
      <c r="C958" s="28"/>
      <c r="D958" s="31"/>
      <c r="E958" s="10"/>
      <c r="F958" s="28"/>
      <c r="G958" s="11" t="str">
        <f aca="false">IF(OR(A958="",N(D958)=0),"",IFERROR(D958*(1+IFERROR(IF(ISNUMBER(INDEX(Moldes!$K$5:$K$154,MATCH(A958,Moldes!$A$5:$A$154,0))),INDEX(Moldes!$K$5:$K$154,MATCH(A958,Moldes!$A$5:$A$154,0)),Precios!$Q$12),Precios!$Q$12))*(INDEX(Precios!$F$5:$F$124,MATCH(E958,Precios!$A$5:$A$124,0))+IF(F958="Sí",Precios!$Q$10,0)),"falta $ tela"))</f>
        <v/>
      </c>
      <c r="H958" s="32" t="str">
        <f aca="false">IF(A958="","",A958&amp;"|"&amp;COUNTIF($A$5:A958,A958))</f>
        <v/>
      </c>
    </row>
    <row r="959" customFormat="false" ht="15" hidden="false" customHeight="false" outlineLevel="0" collapsed="false">
      <c r="A959" s="28"/>
      <c r="B959" s="28"/>
      <c r="C959" s="28"/>
      <c r="D959" s="31"/>
      <c r="E959" s="10"/>
      <c r="F959" s="28"/>
      <c r="G959" s="11" t="str">
        <f aca="false">IF(OR(A959="",N(D959)=0),"",IFERROR(D959*(1+IFERROR(IF(ISNUMBER(INDEX(Moldes!$K$5:$K$154,MATCH(A959,Moldes!$A$5:$A$154,0))),INDEX(Moldes!$K$5:$K$154,MATCH(A959,Moldes!$A$5:$A$154,0)),Precios!$Q$12),Precios!$Q$12))*(INDEX(Precios!$F$5:$F$124,MATCH(E959,Precios!$A$5:$A$124,0))+IF(F959="Sí",Precios!$Q$10,0)),"falta $ tela"))</f>
        <v/>
      </c>
      <c r="H959" s="32" t="str">
        <f aca="false">IF(A959="","",A959&amp;"|"&amp;COUNTIF($A$5:A959,A959))</f>
        <v/>
      </c>
    </row>
    <row r="960" customFormat="false" ht="15" hidden="false" customHeight="false" outlineLevel="0" collapsed="false">
      <c r="A960" s="28"/>
      <c r="B960" s="28"/>
      <c r="C960" s="28"/>
      <c r="D960" s="31"/>
      <c r="E960" s="10"/>
      <c r="F960" s="28"/>
      <c r="G960" s="11" t="str">
        <f aca="false">IF(OR(A960="",N(D960)=0),"",IFERROR(D960*(1+IFERROR(IF(ISNUMBER(INDEX(Moldes!$K$5:$K$154,MATCH(A960,Moldes!$A$5:$A$154,0))),INDEX(Moldes!$K$5:$K$154,MATCH(A960,Moldes!$A$5:$A$154,0)),Precios!$Q$12),Precios!$Q$12))*(INDEX(Precios!$F$5:$F$124,MATCH(E960,Precios!$A$5:$A$124,0))+IF(F960="Sí",Precios!$Q$10,0)),"falta $ tela"))</f>
        <v/>
      </c>
      <c r="H960" s="32" t="str">
        <f aca="false">IF(A960="","",A960&amp;"|"&amp;COUNTIF($A$5:A960,A960))</f>
        <v/>
      </c>
    </row>
    <row r="961" customFormat="false" ht="15" hidden="false" customHeight="false" outlineLevel="0" collapsed="false">
      <c r="A961" s="28"/>
      <c r="B961" s="28"/>
      <c r="C961" s="28"/>
      <c r="D961" s="31"/>
      <c r="E961" s="10"/>
      <c r="F961" s="28"/>
      <c r="G961" s="11" t="str">
        <f aca="false">IF(OR(A961="",N(D961)=0),"",IFERROR(D961*(1+IFERROR(IF(ISNUMBER(INDEX(Moldes!$K$5:$K$154,MATCH(A961,Moldes!$A$5:$A$154,0))),INDEX(Moldes!$K$5:$K$154,MATCH(A961,Moldes!$A$5:$A$154,0)),Precios!$Q$12),Precios!$Q$12))*(INDEX(Precios!$F$5:$F$124,MATCH(E961,Precios!$A$5:$A$124,0))+IF(F961="Sí",Precios!$Q$10,0)),"falta $ tela"))</f>
        <v/>
      </c>
      <c r="H961" s="32" t="str">
        <f aca="false">IF(A961="","",A961&amp;"|"&amp;COUNTIF($A$5:A961,A961))</f>
        <v/>
      </c>
    </row>
    <row r="962" customFormat="false" ht="15" hidden="false" customHeight="false" outlineLevel="0" collapsed="false">
      <c r="A962" s="28"/>
      <c r="B962" s="28"/>
      <c r="C962" s="28"/>
      <c r="D962" s="31"/>
      <c r="E962" s="10"/>
      <c r="F962" s="28"/>
      <c r="G962" s="11" t="str">
        <f aca="false">IF(OR(A962="",N(D962)=0),"",IFERROR(D962*(1+IFERROR(IF(ISNUMBER(INDEX(Moldes!$K$5:$K$154,MATCH(A962,Moldes!$A$5:$A$154,0))),INDEX(Moldes!$K$5:$K$154,MATCH(A962,Moldes!$A$5:$A$154,0)),Precios!$Q$12),Precios!$Q$12))*(INDEX(Precios!$F$5:$F$124,MATCH(E962,Precios!$A$5:$A$124,0))+IF(F962="Sí",Precios!$Q$10,0)),"falta $ tela"))</f>
        <v/>
      </c>
      <c r="H962" s="32" t="str">
        <f aca="false">IF(A962="","",A962&amp;"|"&amp;COUNTIF($A$5:A962,A962))</f>
        <v/>
      </c>
    </row>
    <row r="963" customFormat="false" ht="15" hidden="false" customHeight="false" outlineLevel="0" collapsed="false">
      <c r="A963" s="28"/>
      <c r="B963" s="28"/>
      <c r="C963" s="28"/>
      <c r="D963" s="31"/>
      <c r="E963" s="10"/>
      <c r="F963" s="28"/>
      <c r="G963" s="11" t="str">
        <f aca="false">IF(OR(A963="",N(D963)=0),"",IFERROR(D963*(1+IFERROR(IF(ISNUMBER(INDEX(Moldes!$K$5:$K$154,MATCH(A963,Moldes!$A$5:$A$154,0))),INDEX(Moldes!$K$5:$K$154,MATCH(A963,Moldes!$A$5:$A$154,0)),Precios!$Q$12),Precios!$Q$12))*(INDEX(Precios!$F$5:$F$124,MATCH(E963,Precios!$A$5:$A$124,0))+IF(F963="Sí",Precios!$Q$10,0)),"falta $ tela"))</f>
        <v/>
      </c>
      <c r="H963" s="32" t="str">
        <f aca="false">IF(A963="","",A963&amp;"|"&amp;COUNTIF($A$5:A963,A963))</f>
        <v/>
      </c>
    </row>
    <row r="964" customFormat="false" ht="15" hidden="false" customHeight="false" outlineLevel="0" collapsed="false">
      <c r="A964" s="28"/>
      <c r="B964" s="28"/>
      <c r="C964" s="28"/>
      <c r="D964" s="31"/>
      <c r="E964" s="10"/>
      <c r="F964" s="28"/>
      <c r="G964" s="11" t="str">
        <f aca="false">IF(OR(A964="",N(D964)=0),"",IFERROR(D964*(1+IFERROR(IF(ISNUMBER(INDEX(Moldes!$K$5:$K$154,MATCH(A964,Moldes!$A$5:$A$154,0))),INDEX(Moldes!$K$5:$K$154,MATCH(A964,Moldes!$A$5:$A$154,0)),Precios!$Q$12),Precios!$Q$12))*(INDEX(Precios!$F$5:$F$124,MATCH(E964,Precios!$A$5:$A$124,0))+IF(F964="Sí",Precios!$Q$10,0)),"falta $ tela"))</f>
        <v/>
      </c>
      <c r="H964" s="32" t="str">
        <f aca="false">IF(A964="","",A964&amp;"|"&amp;COUNTIF($A$5:A964,A964))</f>
        <v/>
      </c>
    </row>
    <row r="965" customFormat="false" ht="15" hidden="false" customHeight="false" outlineLevel="0" collapsed="false">
      <c r="A965" s="28"/>
      <c r="B965" s="28"/>
      <c r="C965" s="28"/>
      <c r="D965" s="31"/>
      <c r="E965" s="10"/>
      <c r="F965" s="28"/>
      <c r="G965" s="11" t="str">
        <f aca="false">IF(OR(A965="",N(D965)=0),"",IFERROR(D965*(1+IFERROR(IF(ISNUMBER(INDEX(Moldes!$K$5:$K$154,MATCH(A965,Moldes!$A$5:$A$154,0))),INDEX(Moldes!$K$5:$K$154,MATCH(A965,Moldes!$A$5:$A$154,0)),Precios!$Q$12),Precios!$Q$12))*(INDEX(Precios!$F$5:$F$124,MATCH(E965,Precios!$A$5:$A$124,0))+IF(F965="Sí",Precios!$Q$10,0)),"falta $ tela"))</f>
        <v/>
      </c>
      <c r="H965" s="32" t="str">
        <f aca="false">IF(A965="","",A965&amp;"|"&amp;COUNTIF($A$5:A965,A965))</f>
        <v/>
      </c>
    </row>
    <row r="966" customFormat="false" ht="15" hidden="false" customHeight="false" outlineLevel="0" collapsed="false">
      <c r="A966" s="28"/>
      <c r="B966" s="28"/>
      <c r="C966" s="28"/>
      <c r="D966" s="31"/>
      <c r="E966" s="10"/>
      <c r="F966" s="28"/>
      <c r="G966" s="11" t="str">
        <f aca="false">IF(OR(A966="",N(D966)=0),"",IFERROR(D966*(1+IFERROR(IF(ISNUMBER(INDEX(Moldes!$K$5:$K$154,MATCH(A966,Moldes!$A$5:$A$154,0))),INDEX(Moldes!$K$5:$K$154,MATCH(A966,Moldes!$A$5:$A$154,0)),Precios!$Q$12),Precios!$Q$12))*(INDEX(Precios!$F$5:$F$124,MATCH(E966,Precios!$A$5:$A$124,0))+IF(F966="Sí",Precios!$Q$10,0)),"falta $ tela"))</f>
        <v/>
      </c>
      <c r="H966" s="32" t="str">
        <f aca="false">IF(A966="","",A966&amp;"|"&amp;COUNTIF($A$5:A966,A966))</f>
        <v/>
      </c>
    </row>
    <row r="967" customFormat="false" ht="15" hidden="false" customHeight="false" outlineLevel="0" collapsed="false">
      <c r="A967" s="28"/>
      <c r="B967" s="28"/>
      <c r="C967" s="28"/>
      <c r="D967" s="31"/>
      <c r="E967" s="10"/>
      <c r="F967" s="28"/>
      <c r="G967" s="11" t="str">
        <f aca="false">IF(OR(A967="",N(D967)=0),"",IFERROR(D967*(1+IFERROR(IF(ISNUMBER(INDEX(Moldes!$K$5:$K$154,MATCH(A967,Moldes!$A$5:$A$154,0))),INDEX(Moldes!$K$5:$K$154,MATCH(A967,Moldes!$A$5:$A$154,0)),Precios!$Q$12),Precios!$Q$12))*(INDEX(Precios!$F$5:$F$124,MATCH(E967,Precios!$A$5:$A$124,0))+IF(F967="Sí",Precios!$Q$10,0)),"falta $ tela"))</f>
        <v/>
      </c>
      <c r="H967" s="32" t="str">
        <f aca="false">IF(A967="","",A967&amp;"|"&amp;COUNTIF($A$5:A967,A967))</f>
        <v/>
      </c>
    </row>
    <row r="968" customFormat="false" ht="15" hidden="false" customHeight="false" outlineLevel="0" collapsed="false">
      <c r="A968" s="28"/>
      <c r="B968" s="28"/>
      <c r="C968" s="28"/>
      <c r="D968" s="31"/>
      <c r="E968" s="10"/>
      <c r="F968" s="28"/>
      <c r="G968" s="11" t="str">
        <f aca="false">IF(OR(A968="",N(D968)=0),"",IFERROR(D968*(1+IFERROR(IF(ISNUMBER(INDEX(Moldes!$K$5:$K$154,MATCH(A968,Moldes!$A$5:$A$154,0))),INDEX(Moldes!$K$5:$K$154,MATCH(A968,Moldes!$A$5:$A$154,0)),Precios!$Q$12),Precios!$Q$12))*(INDEX(Precios!$F$5:$F$124,MATCH(E968,Precios!$A$5:$A$124,0))+IF(F968="Sí",Precios!$Q$10,0)),"falta $ tela"))</f>
        <v/>
      </c>
      <c r="H968" s="32" t="str">
        <f aca="false">IF(A968="","",A968&amp;"|"&amp;COUNTIF($A$5:A968,A968))</f>
        <v/>
      </c>
    </row>
    <row r="969" customFormat="false" ht="15" hidden="false" customHeight="false" outlineLevel="0" collapsed="false">
      <c r="A969" s="28"/>
      <c r="B969" s="28"/>
      <c r="C969" s="28"/>
      <c r="D969" s="31"/>
      <c r="E969" s="10"/>
      <c r="F969" s="28"/>
      <c r="G969" s="11" t="str">
        <f aca="false">IF(OR(A969="",N(D969)=0),"",IFERROR(D969*(1+IFERROR(IF(ISNUMBER(INDEX(Moldes!$K$5:$K$154,MATCH(A969,Moldes!$A$5:$A$154,0))),INDEX(Moldes!$K$5:$K$154,MATCH(A969,Moldes!$A$5:$A$154,0)),Precios!$Q$12),Precios!$Q$12))*(INDEX(Precios!$F$5:$F$124,MATCH(E969,Precios!$A$5:$A$124,0))+IF(F969="Sí",Precios!$Q$10,0)),"falta $ tela"))</f>
        <v/>
      </c>
      <c r="H969" s="32" t="str">
        <f aca="false">IF(A969="","",A969&amp;"|"&amp;COUNTIF($A$5:A969,A969))</f>
        <v/>
      </c>
    </row>
    <row r="970" customFormat="false" ht="15" hidden="false" customHeight="false" outlineLevel="0" collapsed="false">
      <c r="A970" s="28"/>
      <c r="B970" s="28"/>
      <c r="C970" s="28"/>
      <c r="D970" s="31"/>
      <c r="E970" s="10"/>
      <c r="F970" s="28"/>
      <c r="G970" s="11" t="str">
        <f aca="false">IF(OR(A970="",N(D970)=0),"",IFERROR(D970*(1+IFERROR(IF(ISNUMBER(INDEX(Moldes!$K$5:$K$154,MATCH(A970,Moldes!$A$5:$A$154,0))),INDEX(Moldes!$K$5:$K$154,MATCH(A970,Moldes!$A$5:$A$154,0)),Precios!$Q$12),Precios!$Q$12))*(INDEX(Precios!$F$5:$F$124,MATCH(E970,Precios!$A$5:$A$124,0))+IF(F970="Sí",Precios!$Q$10,0)),"falta $ tela"))</f>
        <v/>
      </c>
      <c r="H970" s="32" t="str">
        <f aca="false">IF(A970="","",A970&amp;"|"&amp;COUNTIF($A$5:A970,A970))</f>
        <v/>
      </c>
    </row>
    <row r="971" customFormat="false" ht="15" hidden="false" customHeight="false" outlineLevel="0" collapsed="false">
      <c r="A971" s="28"/>
      <c r="B971" s="28"/>
      <c r="C971" s="28"/>
      <c r="D971" s="31"/>
      <c r="E971" s="10"/>
      <c r="F971" s="28"/>
      <c r="G971" s="11" t="str">
        <f aca="false">IF(OR(A971="",N(D971)=0),"",IFERROR(D971*(1+IFERROR(IF(ISNUMBER(INDEX(Moldes!$K$5:$K$154,MATCH(A971,Moldes!$A$5:$A$154,0))),INDEX(Moldes!$K$5:$K$154,MATCH(A971,Moldes!$A$5:$A$154,0)),Precios!$Q$12),Precios!$Q$12))*(INDEX(Precios!$F$5:$F$124,MATCH(E971,Precios!$A$5:$A$124,0))+IF(F971="Sí",Precios!$Q$10,0)),"falta $ tela"))</f>
        <v/>
      </c>
      <c r="H971" s="32" t="str">
        <f aca="false">IF(A971="","",A971&amp;"|"&amp;COUNTIF($A$5:A971,A971))</f>
        <v/>
      </c>
    </row>
    <row r="972" customFormat="false" ht="15" hidden="false" customHeight="false" outlineLevel="0" collapsed="false">
      <c r="A972" s="28"/>
      <c r="B972" s="28"/>
      <c r="C972" s="28"/>
      <c r="D972" s="31"/>
      <c r="E972" s="10"/>
      <c r="F972" s="28"/>
      <c r="G972" s="11" t="str">
        <f aca="false">IF(OR(A972="",N(D972)=0),"",IFERROR(D972*(1+IFERROR(IF(ISNUMBER(INDEX(Moldes!$K$5:$K$154,MATCH(A972,Moldes!$A$5:$A$154,0))),INDEX(Moldes!$K$5:$K$154,MATCH(A972,Moldes!$A$5:$A$154,0)),Precios!$Q$12),Precios!$Q$12))*(INDEX(Precios!$F$5:$F$124,MATCH(E972,Precios!$A$5:$A$124,0))+IF(F972="Sí",Precios!$Q$10,0)),"falta $ tela"))</f>
        <v/>
      </c>
      <c r="H972" s="32" t="str">
        <f aca="false">IF(A972="","",A972&amp;"|"&amp;COUNTIF($A$5:A972,A972))</f>
        <v/>
      </c>
    </row>
    <row r="973" customFormat="false" ht="15" hidden="false" customHeight="false" outlineLevel="0" collapsed="false">
      <c r="A973" s="28"/>
      <c r="B973" s="28"/>
      <c r="C973" s="28"/>
      <c r="D973" s="31"/>
      <c r="E973" s="10"/>
      <c r="F973" s="28"/>
      <c r="G973" s="11" t="str">
        <f aca="false">IF(OR(A973="",N(D973)=0),"",IFERROR(D973*(1+IFERROR(IF(ISNUMBER(INDEX(Moldes!$K$5:$K$154,MATCH(A973,Moldes!$A$5:$A$154,0))),INDEX(Moldes!$K$5:$K$154,MATCH(A973,Moldes!$A$5:$A$154,0)),Precios!$Q$12),Precios!$Q$12))*(INDEX(Precios!$F$5:$F$124,MATCH(E973,Precios!$A$5:$A$124,0))+IF(F973="Sí",Precios!$Q$10,0)),"falta $ tela"))</f>
        <v/>
      </c>
      <c r="H973" s="32" t="str">
        <f aca="false">IF(A973="","",A973&amp;"|"&amp;COUNTIF($A$5:A973,A973))</f>
        <v/>
      </c>
    </row>
    <row r="974" customFormat="false" ht="15" hidden="false" customHeight="false" outlineLevel="0" collapsed="false">
      <c r="A974" s="28"/>
      <c r="B974" s="28"/>
      <c r="C974" s="28"/>
      <c r="D974" s="31"/>
      <c r="E974" s="10"/>
      <c r="F974" s="28"/>
      <c r="G974" s="11" t="str">
        <f aca="false">IF(OR(A974="",N(D974)=0),"",IFERROR(D974*(1+IFERROR(IF(ISNUMBER(INDEX(Moldes!$K$5:$K$154,MATCH(A974,Moldes!$A$5:$A$154,0))),INDEX(Moldes!$K$5:$K$154,MATCH(A974,Moldes!$A$5:$A$154,0)),Precios!$Q$12),Precios!$Q$12))*(INDEX(Precios!$F$5:$F$124,MATCH(E974,Precios!$A$5:$A$124,0))+IF(F974="Sí",Precios!$Q$10,0)),"falta $ tela"))</f>
        <v/>
      </c>
      <c r="H974" s="32" t="str">
        <f aca="false">IF(A974="","",A974&amp;"|"&amp;COUNTIF($A$5:A974,A974))</f>
        <v/>
      </c>
    </row>
    <row r="975" customFormat="false" ht="15" hidden="false" customHeight="false" outlineLevel="0" collapsed="false">
      <c r="A975" s="28"/>
      <c r="B975" s="28"/>
      <c r="C975" s="28"/>
      <c r="D975" s="31"/>
      <c r="E975" s="10"/>
      <c r="F975" s="28"/>
      <c r="G975" s="11" t="str">
        <f aca="false">IF(OR(A975="",N(D975)=0),"",IFERROR(D975*(1+IFERROR(IF(ISNUMBER(INDEX(Moldes!$K$5:$K$154,MATCH(A975,Moldes!$A$5:$A$154,0))),INDEX(Moldes!$K$5:$K$154,MATCH(A975,Moldes!$A$5:$A$154,0)),Precios!$Q$12),Precios!$Q$12))*(INDEX(Precios!$F$5:$F$124,MATCH(E975,Precios!$A$5:$A$124,0))+IF(F975="Sí",Precios!$Q$10,0)),"falta $ tela"))</f>
        <v/>
      </c>
      <c r="H975" s="32" t="str">
        <f aca="false">IF(A975="","",A975&amp;"|"&amp;COUNTIF($A$5:A975,A975))</f>
        <v/>
      </c>
    </row>
    <row r="976" customFormat="false" ht="15" hidden="false" customHeight="false" outlineLevel="0" collapsed="false">
      <c r="A976" s="28"/>
      <c r="B976" s="28"/>
      <c r="C976" s="28"/>
      <c r="D976" s="31"/>
      <c r="E976" s="10"/>
      <c r="F976" s="28"/>
      <c r="G976" s="11" t="str">
        <f aca="false">IF(OR(A976="",N(D976)=0),"",IFERROR(D976*(1+IFERROR(IF(ISNUMBER(INDEX(Moldes!$K$5:$K$154,MATCH(A976,Moldes!$A$5:$A$154,0))),INDEX(Moldes!$K$5:$K$154,MATCH(A976,Moldes!$A$5:$A$154,0)),Precios!$Q$12),Precios!$Q$12))*(INDEX(Precios!$F$5:$F$124,MATCH(E976,Precios!$A$5:$A$124,0))+IF(F976="Sí",Precios!$Q$10,0)),"falta $ tela"))</f>
        <v/>
      </c>
      <c r="H976" s="32" t="str">
        <f aca="false">IF(A976="","",A976&amp;"|"&amp;COUNTIF($A$5:A976,A976))</f>
        <v/>
      </c>
    </row>
    <row r="977" customFormat="false" ht="15" hidden="false" customHeight="false" outlineLevel="0" collapsed="false">
      <c r="A977" s="28"/>
      <c r="B977" s="28"/>
      <c r="C977" s="28"/>
      <c r="D977" s="31"/>
      <c r="E977" s="10"/>
      <c r="F977" s="28"/>
      <c r="G977" s="11" t="str">
        <f aca="false">IF(OR(A977="",N(D977)=0),"",IFERROR(D977*(1+IFERROR(IF(ISNUMBER(INDEX(Moldes!$K$5:$K$154,MATCH(A977,Moldes!$A$5:$A$154,0))),INDEX(Moldes!$K$5:$K$154,MATCH(A977,Moldes!$A$5:$A$154,0)),Precios!$Q$12),Precios!$Q$12))*(INDEX(Precios!$F$5:$F$124,MATCH(E977,Precios!$A$5:$A$124,0))+IF(F977="Sí",Precios!$Q$10,0)),"falta $ tela"))</f>
        <v/>
      </c>
      <c r="H977" s="32" t="str">
        <f aca="false">IF(A977="","",A977&amp;"|"&amp;COUNTIF($A$5:A977,A977))</f>
        <v/>
      </c>
    </row>
    <row r="978" customFormat="false" ht="15" hidden="false" customHeight="false" outlineLevel="0" collapsed="false">
      <c r="A978" s="28"/>
      <c r="B978" s="28"/>
      <c r="C978" s="28"/>
      <c r="D978" s="31"/>
      <c r="E978" s="10"/>
      <c r="F978" s="28"/>
      <c r="G978" s="11" t="str">
        <f aca="false">IF(OR(A978="",N(D978)=0),"",IFERROR(D978*(1+IFERROR(IF(ISNUMBER(INDEX(Moldes!$K$5:$K$154,MATCH(A978,Moldes!$A$5:$A$154,0))),INDEX(Moldes!$K$5:$K$154,MATCH(A978,Moldes!$A$5:$A$154,0)),Precios!$Q$12),Precios!$Q$12))*(INDEX(Precios!$F$5:$F$124,MATCH(E978,Precios!$A$5:$A$124,0))+IF(F978="Sí",Precios!$Q$10,0)),"falta $ tela"))</f>
        <v/>
      </c>
      <c r="H978" s="32" t="str">
        <f aca="false">IF(A978="","",A978&amp;"|"&amp;COUNTIF($A$5:A978,A978))</f>
        <v/>
      </c>
    </row>
    <row r="979" customFormat="false" ht="15" hidden="false" customHeight="false" outlineLevel="0" collapsed="false">
      <c r="A979" s="28"/>
      <c r="B979" s="28"/>
      <c r="C979" s="28"/>
      <c r="D979" s="31"/>
      <c r="E979" s="10"/>
      <c r="F979" s="28"/>
      <c r="G979" s="11" t="str">
        <f aca="false">IF(OR(A979="",N(D979)=0),"",IFERROR(D979*(1+IFERROR(IF(ISNUMBER(INDEX(Moldes!$K$5:$K$154,MATCH(A979,Moldes!$A$5:$A$154,0))),INDEX(Moldes!$K$5:$K$154,MATCH(A979,Moldes!$A$5:$A$154,0)),Precios!$Q$12),Precios!$Q$12))*(INDEX(Precios!$F$5:$F$124,MATCH(E979,Precios!$A$5:$A$124,0))+IF(F979="Sí",Precios!$Q$10,0)),"falta $ tela"))</f>
        <v/>
      </c>
      <c r="H979" s="32" t="str">
        <f aca="false">IF(A979="","",A979&amp;"|"&amp;COUNTIF($A$5:A979,A979))</f>
        <v/>
      </c>
    </row>
    <row r="980" customFormat="false" ht="15" hidden="false" customHeight="false" outlineLevel="0" collapsed="false">
      <c r="A980" s="28"/>
      <c r="B980" s="28"/>
      <c r="C980" s="28"/>
      <c r="D980" s="31"/>
      <c r="E980" s="10"/>
      <c r="F980" s="28"/>
      <c r="G980" s="11" t="str">
        <f aca="false">IF(OR(A980="",N(D980)=0),"",IFERROR(D980*(1+IFERROR(IF(ISNUMBER(INDEX(Moldes!$K$5:$K$154,MATCH(A980,Moldes!$A$5:$A$154,0))),INDEX(Moldes!$K$5:$K$154,MATCH(A980,Moldes!$A$5:$A$154,0)),Precios!$Q$12),Precios!$Q$12))*(INDEX(Precios!$F$5:$F$124,MATCH(E980,Precios!$A$5:$A$124,0))+IF(F980="Sí",Precios!$Q$10,0)),"falta $ tela"))</f>
        <v/>
      </c>
      <c r="H980" s="32" t="str">
        <f aca="false">IF(A980="","",A980&amp;"|"&amp;COUNTIF($A$5:A980,A980))</f>
        <v/>
      </c>
    </row>
    <row r="981" customFormat="false" ht="15" hidden="false" customHeight="false" outlineLevel="0" collapsed="false">
      <c r="A981" s="28"/>
      <c r="B981" s="28"/>
      <c r="C981" s="28"/>
      <c r="D981" s="31"/>
      <c r="E981" s="10"/>
      <c r="F981" s="28"/>
      <c r="G981" s="11" t="str">
        <f aca="false">IF(OR(A981="",N(D981)=0),"",IFERROR(D981*(1+IFERROR(IF(ISNUMBER(INDEX(Moldes!$K$5:$K$154,MATCH(A981,Moldes!$A$5:$A$154,0))),INDEX(Moldes!$K$5:$K$154,MATCH(A981,Moldes!$A$5:$A$154,0)),Precios!$Q$12),Precios!$Q$12))*(INDEX(Precios!$F$5:$F$124,MATCH(E981,Precios!$A$5:$A$124,0))+IF(F981="Sí",Precios!$Q$10,0)),"falta $ tela"))</f>
        <v/>
      </c>
      <c r="H981" s="32" t="str">
        <f aca="false">IF(A981="","",A981&amp;"|"&amp;COUNTIF($A$5:A981,A981))</f>
        <v/>
      </c>
    </row>
    <row r="982" customFormat="false" ht="15" hidden="false" customHeight="false" outlineLevel="0" collapsed="false">
      <c r="A982" s="28"/>
      <c r="B982" s="28"/>
      <c r="C982" s="28"/>
      <c r="D982" s="31"/>
      <c r="E982" s="10"/>
      <c r="F982" s="28"/>
      <c r="G982" s="11" t="str">
        <f aca="false">IF(OR(A982="",N(D982)=0),"",IFERROR(D982*(1+IFERROR(IF(ISNUMBER(INDEX(Moldes!$K$5:$K$154,MATCH(A982,Moldes!$A$5:$A$154,0))),INDEX(Moldes!$K$5:$K$154,MATCH(A982,Moldes!$A$5:$A$154,0)),Precios!$Q$12),Precios!$Q$12))*(INDEX(Precios!$F$5:$F$124,MATCH(E982,Precios!$A$5:$A$124,0))+IF(F982="Sí",Precios!$Q$10,0)),"falta $ tela"))</f>
        <v/>
      </c>
      <c r="H982" s="32" t="str">
        <f aca="false">IF(A982="","",A982&amp;"|"&amp;COUNTIF($A$5:A982,A982))</f>
        <v/>
      </c>
    </row>
    <row r="983" customFormat="false" ht="15" hidden="false" customHeight="false" outlineLevel="0" collapsed="false">
      <c r="A983" s="28"/>
      <c r="B983" s="28"/>
      <c r="C983" s="28"/>
      <c r="D983" s="31"/>
      <c r="E983" s="10"/>
      <c r="F983" s="28"/>
      <c r="G983" s="11" t="str">
        <f aca="false">IF(OR(A983="",N(D983)=0),"",IFERROR(D983*(1+IFERROR(IF(ISNUMBER(INDEX(Moldes!$K$5:$K$154,MATCH(A983,Moldes!$A$5:$A$154,0))),INDEX(Moldes!$K$5:$K$154,MATCH(A983,Moldes!$A$5:$A$154,0)),Precios!$Q$12),Precios!$Q$12))*(INDEX(Precios!$F$5:$F$124,MATCH(E983,Precios!$A$5:$A$124,0))+IF(F983="Sí",Precios!$Q$10,0)),"falta $ tela"))</f>
        <v/>
      </c>
      <c r="H983" s="32" t="str">
        <f aca="false">IF(A983="","",A983&amp;"|"&amp;COUNTIF($A$5:A983,A983))</f>
        <v/>
      </c>
    </row>
    <row r="984" customFormat="false" ht="15" hidden="false" customHeight="false" outlineLevel="0" collapsed="false">
      <c r="A984" s="28"/>
      <c r="B984" s="28"/>
      <c r="C984" s="28"/>
      <c r="D984" s="31"/>
      <c r="E984" s="10"/>
      <c r="F984" s="28"/>
      <c r="G984" s="11" t="str">
        <f aca="false">IF(OR(A984="",N(D984)=0),"",IFERROR(D984*(1+IFERROR(IF(ISNUMBER(INDEX(Moldes!$K$5:$K$154,MATCH(A984,Moldes!$A$5:$A$154,0))),INDEX(Moldes!$K$5:$K$154,MATCH(A984,Moldes!$A$5:$A$154,0)),Precios!$Q$12),Precios!$Q$12))*(INDEX(Precios!$F$5:$F$124,MATCH(E984,Precios!$A$5:$A$124,0))+IF(F984="Sí",Precios!$Q$10,0)),"falta $ tela"))</f>
        <v/>
      </c>
      <c r="H984" s="32" t="str">
        <f aca="false">IF(A984="","",A984&amp;"|"&amp;COUNTIF($A$5:A984,A984))</f>
        <v/>
      </c>
    </row>
    <row r="985" customFormat="false" ht="15" hidden="false" customHeight="false" outlineLevel="0" collapsed="false">
      <c r="A985" s="28"/>
      <c r="B985" s="28"/>
      <c r="C985" s="28"/>
      <c r="D985" s="31"/>
      <c r="E985" s="10"/>
      <c r="F985" s="28"/>
      <c r="G985" s="11" t="str">
        <f aca="false">IF(OR(A985="",N(D985)=0),"",IFERROR(D985*(1+IFERROR(IF(ISNUMBER(INDEX(Moldes!$K$5:$K$154,MATCH(A985,Moldes!$A$5:$A$154,0))),INDEX(Moldes!$K$5:$K$154,MATCH(A985,Moldes!$A$5:$A$154,0)),Precios!$Q$12),Precios!$Q$12))*(INDEX(Precios!$F$5:$F$124,MATCH(E985,Precios!$A$5:$A$124,0))+IF(F985="Sí",Precios!$Q$10,0)),"falta $ tela"))</f>
        <v/>
      </c>
      <c r="H985" s="32" t="str">
        <f aca="false">IF(A985="","",A985&amp;"|"&amp;COUNTIF($A$5:A985,A985))</f>
        <v/>
      </c>
    </row>
    <row r="986" customFormat="false" ht="15" hidden="false" customHeight="false" outlineLevel="0" collapsed="false">
      <c r="A986" s="28"/>
      <c r="B986" s="28"/>
      <c r="C986" s="28"/>
      <c r="D986" s="31"/>
      <c r="E986" s="10"/>
      <c r="F986" s="28"/>
      <c r="G986" s="11" t="str">
        <f aca="false">IF(OR(A986="",N(D986)=0),"",IFERROR(D986*(1+IFERROR(IF(ISNUMBER(INDEX(Moldes!$K$5:$K$154,MATCH(A986,Moldes!$A$5:$A$154,0))),INDEX(Moldes!$K$5:$K$154,MATCH(A986,Moldes!$A$5:$A$154,0)),Precios!$Q$12),Precios!$Q$12))*(INDEX(Precios!$F$5:$F$124,MATCH(E986,Precios!$A$5:$A$124,0))+IF(F986="Sí",Precios!$Q$10,0)),"falta $ tela"))</f>
        <v/>
      </c>
      <c r="H986" s="32" t="str">
        <f aca="false">IF(A986="","",A986&amp;"|"&amp;COUNTIF($A$5:A986,A986))</f>
        <v/>
      </c>
    </row>
    <row r="987" customFormat="false" ht="15" hidden="false" customHeight="false" outlineLevel="0" collapsed="false">
      <c r="A987" s="28"/>
      <c r="B987" s="28"/>
      <c r="C987" s="28"/>
      <c r="D987" s="31"/>
      <c r="E987" s="10"/>
      <c r="F987" s="28"/>
      <c r="G987" s="11" t="str">
        <f aca="false">IF(OR(A987="",N(D987)=0),"",IFERROR(D987*(1+IFERROR(IF(ISNUMBER(INDEX(Moldes!$K$5:$K$154,MATCH(A987,Moldes!$A$5:$A$154,0))),INDEX(Moldes!$K$5:$K$154,MATCH(A987,Moldes!$A$5:$A$154,0)),Precios!$Q$12),Precios!$Q$12))*(INDEX(Precios!$F$5:$F$124,MATCH(E987,Precios!$A$5:$A$124,0))+IF(F987="Sí",Precios!$Q$10,0)),"falta $ tela"))</f>
        <v/>
      </c>
      <c r="H987" s="32" t="str">
        <f aca="false">IF(A987="","",A987&amp;"|"&amp;COUNTIF($A$5:A987,A987))</f>
        <v/>
      </c>
    </row>
    <row r="988" customFormat="false" ht="15" hidden="false" customHeight="false" outlineLevel="0" collapsed="false">
      <c r="A988" s="28"/>
      <c r="B988" s="28"/>
      <c r="C988" s="28"/>
      <c r="D988" s="31"/>
      <c r="E988" s="10"/>
      <c r="F988" s="28"/>
      <c r="G988" s="11" t="str">
        <f aca="false">IF(OR(A988="",N(D988)=0),"",IFERROR(D988*(1+IFERROR(IF(ISNUMBER(INDEX(Moldes!$K$5:$K$154,MATCH(A988,Moldes!$A$5:$A$154,0))),INDEX(Moldes!$K$5:$K$154,MATCH(A988,Moldes!$A$5:$A$154,0)),Precios!$Q$12),Precios!$Q$12))*(INDEX(Precios!$F$5:$F$124,MATCH(E988,Precios!$A$5:$A$124,0))+IF(F988="Sí",Precios!$Q$10,0)),"falta $ tela"))</f>
        <v/>
      </c>
      <c r="H988" s="32" t="str">
        <f aca="false">IF(A988="","",A988&amp;"|"&amp;COUNTIF($A$5:A988,A988))</f>
        <v/>
      </c>
    </row>
    <row r="989" customFormat="false" ht="15" hidden="false" customHeight="false" outlineLevel="0" collapsed="false">
      <c r="A989" s="28"/>
      <c r="B989" s="28"/>
      <c r="C989" s="28"/>
      <c r="D989" s="31"/>
      <c r="E989" s="10"/>
      <c r="F989" s="28"/>
      <c r="G989" s="11" t="str">
        <f aca="false">IF(OR(A989="",N(D989)=0),"",IFERROR(D989*(1+IFERROR(IF(ISNUMBER(INDEX(Moldes!$K$5:$K$154,MATCH(A989,Moldes!$A$5:$A$154,0))),INDEX(Moldes!$K$5:$K$154,MATCH(A989,Moldes!$A$5:$A$154,0)),Precios!$Q$12),Precios!$Q$12))*(INDEX(Precios!$F$5:$F$124,MATCH(E989,Precios!$A$5:$A$124,0))+IF(F989="Sí",Precios!$Q$10,0)),"falta $ tela"))</f>
        <v/>
      </c>
      <c r="H989" s="32" t="str">
        <f aca="false">IF(A989="","",A989&amp;"|"&amp;COUNTIF($A$5:A989,A989))</f>
        <v/>
      </c>
    </row>
    <row r="990" customFormat="false" ht="15" hidden="false" customHeight="false" outlineLevel="0" collapsed="false">
      <c r="A990" s="28"/>
      <c r="B990" s="28"/>
      <c r="C990" s="28"/>
      <c r="D990" s="31"/>
      <c r="E990" s="10"/>
      <c r="F990" s="28"/>
      <c r="G990" s="11" t="str">
        <f aca="false">IF(OR(A990="",N(D990)=0),"",IFERROR(D990*(1+IFERROR(IF(ISNUMBER(INDEX(Moldes!$K$5:$K$154,MATCH(A990,Moldes!$A$5:$A$154,0))),INDEX(Moldes!$K$5:$K$154,MATCH(A990,Moldes!$A$5:$A$154,0)),Precios!$Q$12),Precios!$Q$12))*(INDEX(Precios!$F$5:$F$124,MATCH(E990,Precios!$A$5:$A$124,0))+IF(F990="Sí",Precios!$Q$10,0)),"falta $ tela"))</f>
        <v/>
      </c>
      <c r="H990" s="32" t="str">
        <f aca="false">IF(A990="","",A990&amp;"|"&amp;COUNTIF($A$5:A990,A990))</f>
        <v/>
      </c>
    </row>
    <row r="991" customFormat="false" ht="15" hidden="false" customHeight="false" outlineLevel="0" collapsed="false">
      <c r="A991" s="28"/>
      <c r="B991" s="28"/>
      <c r="C991" s="28"/>
      <c r="D991" s="31"/>
      <c r="E991" s="10"/>
      <c r="F991" s="28"/>
      <c r="G991" s="11" t="str">
        <f aca="false">IF(OR(A991="",N(D991)=0),"",IFERROR(D991*(1+IFERROR(IF(ISNUMBER(INDEX(Moldes!$K$5:$K$154,MATCH(A991,Moldes!$A$5:$A$154,0))),INDEX(Moldes!$K$5:$K$154,MATCH(A991,Moldes!$A$5:$A$154,0)),Precios!$Q$12),Precios!$Q$12))*(INDEX(Precios!$F$5:$F$124,MATCH(E991,Precios!$A$5:$A$124,0))+IF(F991="Sí",Precios!$Q$10,0)),"falta $ tela"))</f>
        <v/>
      </c>
      <c r="H991" s="32" t="str">
        <f aca="false">IF(A991="","",A991&amp;"|"&amp;COUNTIF($A$5:A991,A991))</f>
        <v/>
      </c>
    </row>
    <row r="992" customFormat="false" ht="15" hidden="false" customHeight="false" outlineLevel="0" collapsed="false">
      <c r="A992" s="28"/>
      <c r="B992" s="28"/>
      <c r="C992" s="28"/>
      <c r="D992" s="31"/>
      <c r="E992" s="10"/>
      <c r="F992" s="28"/>
      <c r="G992" s="11" t="str">
        <f aca="false">IF(OR(A992="",N(D992)=0),"",IFERROR(D992*(1+IFERROR(IF(ISNUMBER(INDEX(Moldes!$K$5:$K$154,MATCH(A992,Moldes!$A$5:$A$154,0))),INDEX(Moldes!$K$5:$K$154,MATCH(A992,Moldes!$A$5:$A$154,0)),Precios!$Q$12),Precios!$Q$12))*(INDEX(Precios!$F$5:$F$124,MATCH(E992,Precios!$A$5:$A$124,0))+IF(F992="Sí",Precios!$Q$10,0)),"falta $ tela"))</f>
        <v/>
      </c>
      <c r="H992" s="32" t="str">
        <f aca="false">IF(A992="","",A992&amp;"|"&amp;COUNTIF($A$5:A992,A992))</f>
        <v/>
      </c>
    </row>
    <row r="993" customFormat="false" ht="15" hidden="false" customHeight="false" outlineLevel="0" collapsed="false">
      <c r="A993" s="28"/>
      <c r="B993" s="28"/>
      <c r="C993" s="28"/>
      <c r="D993" s="31"/>
      <c r="E993" s="10"/>
      <c r="F993" s="28"/>
      <c r="G993" s="11" t="str">
        <f aca="false">IF(OR(A993="",N(D993)=0),"",IFERROR(D993*(1+IFERROR(IF(ISNUMBER(INDEX(Moldes!$K$5:$K$154,MATCH(A993,Moldes!$A$5:$A$154,0))),INDEX(Moldes!$K$5:$K$154,MATCH(A993,Moldes!$A$5:$A$154,0)),Precios!$Q$12),Precios!$Q$12))*(INDEX(Precios!$F$5:$F$124,MATCH(E993,Precios!$A$5:$A$124,0))+IF(F993="Sí",Precios!$Q$10,0)),"falta $ tela"))</f>
        <v/>
      </c>
      <c r="H993" s="32" t="str">
        <f aca="false">IF(A993="","",A993&amp;"|"&amp;COUNTIF($A$5:A993,A993))</f>
        <v/>
      </c>
    </row>
    <row r="994" customFormat="false" ht="15" hidden="false" customHeight="false" outlineLevel="0" collapsed="false">
      <c r="A994" s="28"/>
      <c r="B994" s="28"/>
      <c r="C994" s="28"/>
      <c r="D994" s="31"/>
      <c r="E994" s="10"/>
      <c r="F994" s="28"/>
      <c r="G994" s="11" t="str">
        <f aca="false">IF(OR(A994="",N(D994)=0),"",IFERROR(D994*(1+IFERROR(IF(ISNUMBER(INDEX(Moldes!$K$5:$K$154,MATCH(A994,Moldes!$A$5:$A$154,0))),INDEX(Moldes!$K$5:$K$154,MATCH(A994,Moldes!$A$5:$A$154,0)),Precios!$Q$12),Precios!$Q$12))*(INDEX(Precios!$F$5:$F$124,MATCH(E994,Precios!$A$5:$A$124,0))+IF(F994="Sí",Precios!$Q$10,0)),"falta $ tela"))</f>
        <v/>
      </c>
      <c r="H994" s="32" t="str">
        <f aca="false">IF(A994="","",A994&amp;"|"&amp;COUNTIF($A$5:A994,A994))</f>
        <v/>
      </c>
    </row>
    <row r="995" customFormat="false" ht="15" hidden="false" customHeight="false" outlineLevel="0" collapsed="false">
      <c r="A995" s="28"/>
      <c r="B995" s="28"/>
      <c r="C995" s="28"/>
      <c r="D995" s="31"/>
      <c r="E995" s="10"/>
      <c r="F995" s="28"/>
      <c r="G995" s="11" t="str">
        <f aca="false">IF(OR(A995="",N(D995)=0),"",IFERROR(D995*(1+IFERROR(IF(ISNUMBER(INDEX(Moldes!$K$5:$K$154,MATCH(A995,Moldes!$A$5:$A$154,0))),INDEX(Moldes!$K$5:$K$154,MATCH(A995,Moldes!$A$5:$A$154,0)),Precios!$Q$12),Precios!$Q$12))*(INDEX(Precios!$F$5:$F$124,MATCH(E995,Precios!$A$5:$A$124,0))+IF(F995="Sí",Precios!$Q$10,0)),"falta $ tela"))</f>
        <v/>
      </c>
      <c r="H995" s="32" t="str">
        <f aca="false">IF(A995="","",A995&amp;"|"&amp;COUNTIF($A$5:A995,A995))</f>
        <v/>
      </c>
    </row>
    <row r="996" customFormat="false" ht="15" hidden="false" customHeight="false" outlineLevel="0" collapsed="false">
      <c r="A996" s="28"/>
      <c r="B996" s="28"/>
      <c r="C996" s="28"/>
      <c r="D996" s="31"/>
      <c r="E996" s="10"/>
      <c r="F996" s="28"/>
      <c r="G996" s="11" t="str">
        <f aca="false">IF(OR(A996="",N(D996)=0),"",IFERROR(D996*(1+IFERROR(IF(ISNUMBER(INDEX(Moldes!$K$5:$K$154,MATCH(A996,Moldes!$A$5:$A$154,0))),INDEX(Moldes!$K$5:$K$154,MATCH(A996,Moldes!$A$5:$A$154,0)),Precios!$Q$12),Precios!$Q$12))*(INDEX(Precios!$F$5:$F$124,MATCH(E996,Precios!$A$5:$A$124,0))+IF(F996="Sí",Precios!$Q$10,0)),"falta $ tela"))</f>
        <v/>
      </c>
      <c r="H996" s="32" t="str">
        <f aca="false">IF(A996="","",A996&amp;"|"&amp;COUNTIF($A$5:A996,A996))</f>
        <v/>
      </c>
    </row>
    <row r="997" customFormat="false" ht="15" hidden="false" customHeight="false" outlineLevel="0" collapsed="false">
      <c r="A997" s="28"/>
      <c r="B997" s="28"/>
      <c r="C997" s="28"/>
      <c r="D997" s="31"/>
      <c r="E997" s="10"/>
      <c r="F997" s="28"/>
      <c r="G997" s="11" t="str">
        <f aca="false">IF(OR(A997="",N(D997)=0),"",IFERROR(D997*(1+IFERROR(IF(ISNUMBER(INDEX(Moldes!$K$5:$K$154,MATCH(A997,Moldes!$A$5:$A$154,0))),INDEX(Moldes!$K$5:$K$154,MATCH(A997,Moldes!$A$5:$A$154,0)),Precios!$Q$12),Precios!$Q$12))*(INDEX(Precios!$F$5:$F$124,MATCH(E997,Precios!$A$5:$A$124,0))+IF(F997="Sí",Precios!$Q$10,0)),"falta $ tela"))</f>
        <v/>
      </c>
      <c r="H997" s="32" t="str">
        <f aca="false">IF(A997="","",A997&amp;"|"&amp;COUNTIF($A$5:A997,A997))</f>
        <v/>
      </c>
    </row>
    <row r="998" customFormat="false" ht="15" hidden="false" customHeight="false" outlineLevel="0" collapsed="false">
      <c r="A998" s="28"/>
      <c r="B998" s="28"/>
      <c r="C998" s="28"/>
      <c r="D998" s="31"/>
      <c r="E998" s="10"/>
      <c r="F998" s="28"/>
      <c r="G998" s="11" t="str">
        <f aca="false">IF(OR(A998="",N(D998)=0),"",IFERROR(D998*(1+IFERROR(IF(ISNUMBER(INDEX(Moldes!$K$5:$K$154,MATCH(A998,Moldes!$A$5:$A$154,0))),INDEX(Moldes!$K$5:$K$154,MATCH(A998,Moldes!$A$5:$A$154,0)),Precios!$Q$12),Precios!$Q$12))*(INDEX(Precios!$F$5:$F$124,MATCH(E998,Precios!$A$5:$A$124,0))+IF(F998="Sí",Precios!$Q$10,0)),"falta $ tela"))</f>
        <v/>
      </c>
      <c r="H998" s="32" t="str">
        <f aca="false">IF(A998="","",A998&amp;"|"&amp;COUNTIF($A$5:A998,A998))</f>
        <v/>
      </c>
    </row>
    <row r="999" customFormat="false" ht="15" hidden="false" customHeight="false" outlineLevel="0" collapsed="false">
      <c r="A999" s="28"/>
      <c r="B999" s="28"/>
      <c r="C999" s="28"/>
      <c r="D999" s="31"/>
      <c r="E999" s="10"/>
      <c r="F999" s="28"/>
      <c r="G999" s="11" t="str">
        <f aca="false">IF(OR(A999="",N(D999)=0),"",IFERROR(D999*(1+IFERROR(IF(ISNUMBER(INDEX(Moldes!$K$5:$K$154,MATCH(A999,Moldes!$A$5:$A$154,0))),INDEX(Moldes!$K$5:$K$154,MATCH(A999,Moldes!$A$5:$A$154,0)),Precios!$Q$12),Precios!$Q$12))*(INDEX(Precios!$F$5:$F$124,MATCH(E999,Precios!$A$5:$A$124,0))+IF(F999="Sí",Precios!$Q$10,0)),"falta $ tela"))</f>
        <v/>
      </c>
      <c r="H999" s="32" t="str">
        <f aca="false">IF(A999="","",A999&amp;"|"&amp;COUNTIF($A$5:A999,A999))</f>
        <v/>
      </c>
    </row>
    <row r="1000" customFormat="false" ht="15" hidden="false" customHeight="false" outlineLevel="0" collapsed="false">
      <c r="A1000" s="28"/>
      <c r="B1000" s="28"/>
      <c r="C1000" s="28"/>
      <c r="D1000" s="31"/>
      <c r="E1000" s="10"/>
      <c r="F1000" s="28"/>
      <c r="G1000" s="11" t="str">
        <f aca="false">IF(OR(A1000="",N(D1000)=0),"",IFERROR(D1000*(1+IFERROR(IF(ISNUMBER(INDEX(Moldes!$K$5:$K$154,MATCH(A1000,Moldes!$A$5:$A$154,0))),INDEX(Moldes!$K$5:$K$154,MATCH(A1000,Moldes!$A$5:$A$154,0)),Precios!$Q$12),Precios!$Q$12))*(INDEX(Precios!$F$5:$F$124,MATCH(E1000,Precios!$A$5:$A$124,0))+IF(F1000="Sí",Precios!$Q$10,0)),"falta $ tela"))</f>
        <v/>
      </c>
      <c r="H1000" s="32" t="str">
        <f aca="false">IF(A1000="","",A1000&amp;"|"&amp;COUNTIF($A$5:A1000,A1000))</f>
        <v/>
      </c>
    </row>
    <row r="1001" customFormat="false" ht="15" hidden="false" customHeight="false" outlineLevel="0" collapsed="false">
      <c r="A1001" s="28"/>
      <c r="B1001" s="28"/>
      <c r="C1001" s="28"/>
      <c r="D1001" s="31"/>
      <c r="E1001" s="10"/>
      <c r="F1001" s="28"/>
      <c r="G1001" s="11" t="str">
        <f aca="false">IF(OR(A1001="",N(D1001)=0),"",IFERROR(D1001*(1+IFERROR(IF(ISNUMBER(INDEX(Moldes!$K$5:$K$154,MATCH(A1001,Moldes!$A$5:$A$154,0))),INDEX(Moldes!$K$5:$K$154,MATCH(A1001,Moldes!$A$5:$A$154,0)),Precios!$Q$12),Precios!$Q$12))*(INDEX(Precios!$F$5:$F$124,MATCH(E1001,Precios!$A$5:$A$124,0))+IF(F1001="Sí",Precios!$Q$10,0)),"falta $ tela"))</f>
        <v/>
      </c>
      <c r="H1001" s="32" t="str">
        <f aca="false">IF(A1001="","",A1001&amp;"|"&amp;COUNTIF($A$5:A1001,A1001))</f>
        <v/>
      </c>
    </row>
    <row r="1002" customFormat="false" ht="15" hidden="false" customHeight="false" outlineLevel="0" collapsed="false">
      <c r="A1002" s="28"/>
      <c r="B1002" s="28"/>
      <c r="C1002" s="28"/>
      <c r="D1002" s="31"/>
      <c r="E1002" s="10"/>
      <c r="F1002" s="28"/>
      <c r="G1002" s="11" t="str">
        <f aca="false">IF(OR(A1002="",N(D1002)=0),"",IFERROR(D1002*(1+IFERROR(IF(ISNUMBER(INDEX(Moldes!$K$5:$K$154,MATCH(A1002,Moldes!$A$5:$A$154,0))),INDEX(Moldes!$K$5:$K$154,MATCH(A1002,Moldes!$A$5:$A$154,0)),Precios!$Q$12),Precios!$Q$12))*(INDEX(Precios!$F$5:$F$124,MATCH(E1002,Precios!$A$5:$A$124,0))+IF(F1002="Sí",Precios!$Q$10,0)),"falta $ tela"))</f>
        <v/>
      </c>
      <c r="H1002" s="32" t="str">
        <f aca="false">IF(A1002="","",A1002&amp;"|"&amp;COUNTIF($A$5:A1002,A1002))</f>
        <v/>
      </c>
    </row>
    <row r="1003" customFormat="false" ht="15" hidden="false" customHeight="false" outlineLevel="0" collapsed="false">
      <c r="A1003" s="28"/>
      <c r="B1003" s="28"/>
      <c r="C1003" s="28"/>
      <c r="D1003" s="31"/>
      <c r="E1003" s="10"/>
      <c r="F1003" s="28"/>
      <c r="G1003" s="11" t="str">
        <f aca="false">IF(OR(A1003="",N(D1003)=0),"",IFERROR(D1003*(1+IFERROR(IF(ISNUMBER(INDEX(Moldes!$K$5:$K$154,MATCH(A1003,Moldes!$A$5:$A$154,0))),INDEX(Moldes!$K$5:$K$154,MATCH(A1003,Moldes!$A$5:$A$154,0)),Precios!$Q$12),Precios!$Q$12))*(INDEX(Precios!$F$5:$F$124,MATCH(E1003,Precios!$A$5:$A$124,0))+IF(F1003="Sí",Precios!$Q$10,0)),"falta $ tela"))</f>
        <v/>
      </c>
      <c r="H1003" s="32" t="str">
        <f aca="false">IF(A1003="","",A1003&amp;"|"&amp;COUNTIF($A$5:A1003,A1003))</f>
        <v/>
      </c>
    </row>
    <row r="1004" customFormat="false" ht="15" hidden="false" customHeight="false" outlineLevel="0" collapsed="false">
      <c r="A1004" s="28"/>
      <c r="B1004" s="28"/>
      <c r="C1004" s="28"/>
      <c r="D1004" s="31"/>
      <c r="E1004" s="10"/>
      <c r="F1004" s="28"/>
      <c r="G1004" s="11" t="str">
        <f aca="false">IF(OR(A1004="",N(D1004)=0),"",IFERROR(D1004*(1+IFERROR(IF(ISNUMBER(INDEX(Moldes!$K$5:$K$154,MATCH(A1004,Moldes!$A$5:$A$154,0))),INDEX(Moldes!$K$5:$K$154,MATCH(A1004,Moldes!$A$5:$A$154,0)),Precios!$Q$12),Precios!$Q$12))*(INDEX(Precios!$F$5:$F$124,MATCH(E1004,Precios!$A$5:$A$124,0))+IF(F1004="Sí",Precios!$Q$10,0)),"falta $ tela"))</f>
        <v/>
      </c>
      <c r="H1004" s="32" t="str">
        <f aca="false">IF(A1004="","",A1004&amp;"|"&amp;COUNTIF($A$5:A1004,A1004))</f>
        <v/>
      </c>
    </row>
  </sheetData>
  <autoFilter ref="A4:G1004"/>
  <dataValidations count="3">
    <dataValidation allowBlank="true" errorStyle="stop" operator="between" showDropDown="false" showErrorMessage="false" showInputMessage="false" sqref="A5:A1004" type="list">
      <formula1>Moldes!$A$5:$A$154</formula1>
      <formula2>0</formula2>
    </dataValidation>
    <dataValidation allowBlank="true" errorStyle="stop" operator="between" showDropDown="false" showErrorMessage="false" showInputMessage="false" sqref="E5:E1004" type="list">
      <formula1>Precios!$A$5:$A$124</formula1>
      <formula2>0</formula2>
    </dataValidation>
    <dataValidation allowBlank="true" errorStyle="stop" operator="between" showDropDown="false" showErrorMessage="false" showInputMessage="false" sqref="F5:F1004"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4" min="2" style="0" width="11"/>
    <col collapsed="false" customWidth="true" hidden="false" outlineLevel="0" max="5" min="5" style="0" width="13"/>
    <col collapsed="false" customWidth="true" hidden="false" outlineLevel="0" max="6" min="6" style="0" width="12"/>
    <col collapsed="false" customWidth="true" hidden="false" outlineLevel="0" max="7" min="7" style="0" width="9"/>
    <col collapsed="false" customWidth="true" hidden="false" outlineLevel="0" max="8" min="8" style="0" width="34"/>
    <col collapsed="false" customWidth="true" hidden="false" outlineLevel="0" max="10" min="10" style="0" width="34"/>
    <col collapsed="false" customWidth="true" hidden="false" outlineLevel="0" max="11" min="11" style="0" width="12"/>
    <col collapsed="false" customWidth="true" hidden="false" outlineLevel="0" max="13" min="13" style="0" width="22"/>
    <col collapsed="false" customWidth="true" hidden="false" outlineLevel="0" max="14" min="14" style="0" width="12"/>
    <col collapsed="false" customWidth="true" hidden="false" outlineLevel="0" max="16" min="16" style="0" width="40"/>
    <col collapsed="false" customWidth="true" hidden="false" outlineLevel="0" max="17" min="17" style="0" width="13"/>
    <col collapsed="false" customWidth="true" hidden="false" outlineLevel="0" max="18" min="18" style="0" width="46"/>
  </cols>
  <sheetData>
    <row r="1" customFormat="false" ht="17.35" hidden="false" customHeight="false" outlineLevel="0" collapsed="false">
      <c r="A1" s="26" t="s">
        <v>204</v>
      </c>
    </row>
    <row r="2" customFormat="false" ht="15" hidden="false" customHeight="false" outlineLevel="0" collapsed="false">
      <c r="A2" s="2" t="s">
        <v>205</v>
      </c>
    </row>
    <row r="4" customFormat="false" ht="42" hidden="false" customHeight="true" outlineLevel="0" collapsed="false">
      <c r="A4" s="7" t="s">
        <v>206</v>
      </c>
      <c r="B4" s="7" t="s">
        <v>207</v>
      </c>
      <c r="C4" s="7" t="s">
        <v>208</v>
      </c>
      <c r="D4" s="7" t="s">
        <v>209</v>
      </c>
      <c r="E4" s="7" t="s">
        <v>210</v>
      </c>
      <c r="F4" s="7" t="s">
        <v>211</v>
      </c>
      <c r="G4" s="7" t="s">
        <v>212</v>
      </c>
      <c r="H4" s="7" t="s">
        <v>213</v>
      </c>
      <c r="J4" s="7" t="s">
        <v>214</v>
      </c>
      <c r="K4" s="7" t="s">
        <v>215</v>
      </c>
      <c r="M4" s="7" t="s">
        <v>216</v>
      </c>
      <c r="N4" s="7" t="s">
        <v>217</v>
      </c>
      <c r="P4" s="7" t="s">
        <v>218</v>
      </c>
      <c r="Q4" s="7" t="s">
        <v>219</v>
      </c>
      <c r="R4" s="7" t="s">
        <v>213</v>
      </c>
    </row>
    <row r="5" customFormat="false" ht="15" hidden="false" customHeight="false" outlineLevel="0" collapsed="false">
      <c r="A5" s="28" t="s">
        <v>183</v>
      </c>
      <c r="B5" s="28" t="s">
        <v>220</v>
      </c>
      <c r="C5" s="17" t="n">
        <v>3531</v>
      </c>
      <c r="D5" s="17"/>
      <c r="E5" s="28" t="n">
        <v>0.197</v>
      </c>
      <c r="F5" s="20" t="n">
        <f aca="false">IF(N(E5)=0,"",IF(ISNUMBER(C5),C5,IF(ISNUMBER(D5),D5/1.19,""))*E5)</f>
        <v>695.607</v>
      </c>
      <c r="G5" s="33" t="n">
        <f aca="false">IF(N(E5)&gt;0,1/E5,"")</f>
        <v>5.0761421319797</v>
      </c>
      <c r="H5" s="28"/>
      <c r="J5" s="28" t="s">
        <v>155</v>
      </c>
      <c r="K5" s="17" t="n">
        <v>1700</v>
      </c>
      <c r="M5" s="28" t="s">
        <v>221</v>
      </c>
      <c r="N5" s="17" t="n">
        <v>350</v>
      </c>
      <c r="P5" s="22" t="s">
        <v>222</v>
      </c>
      <c r="Q5" s="17" t="n">
        <v>50420</v>
      </c>
      <c r="R5" s="16" t="s">
        <v>223</v>
      </c>
    </row>
    <row r="6" customFormat="false" ht="15" hidden="false" customHeight="false" outlineLevel="0" collapsed="false">
      <c r="A6" s="28" t="s">
        <v>224</v>
      </c>
      <c r="B6" s="28"/>
      <c r="C6" s="17" t="n">
        <v>5600</v>
      </c>
      <c r="D6" s="17"/>
      <c r="E6" s="28"/>
      <c r="F6" s="20" t="str">
        <f aca="false">IF(N(E6)=0,"",IF(ISNUMBER(C6),C6,IF(ISNUMBER(D6),D6/1.19,""))*E6)</f>
        <v/>
      </c>
      <c r="G6" s="33" t="str">
        <f aca="false">IF(N(E6)&gt;0,1/E6,"")</f>
        <v/>
      </c>
      <c r="H6" s="28" t="s">
        <v>225</v>
      </c>
      <c r="J6" s="28" t="s">
        <v>58</v>
      </c>
      <c r="K6" s="17" t="n">
        <v>2000</v>
      </c>
      <c r="M6" s="28" t="s">
        <v>226</v>
      </c>
      <c r="N6" s="17" t="n">
        <v>8500</v>
      </c>
      <c r="P6" s="22" t="s">
        <v>227</v>
      </c>
      <c r="Q6" s="28"/>
      <c r="R6" s="16" t="s">
        <v>228</v>
      </c>
    </row>
    <row r="7" customFormat="false" ht="15" hidden="false" customHeight="false" outlineLevel="0" collapsed="false">
      <c r="A7" s="28" t="s">
        <v>181</v>
      </c>
      <c r="B7" s="28"/>
      <c r="C7" s="17" t="n">
        <v>5600</v>
      </c>
      <c r="D7" s="17"/>
      <c r="E7" s="28"/>
      <c r="F7" s="20" t="str">
        <f aca="false">IF(N(E7)=0,"",IF(ISNUMBER(C7),C7,IF(ISNUMBER(D7),D7/1.19,""))*E7)</f>
        <v/>
      </c>
      <c r="G7" s="33" t="str">
        <f aca="false">IF(N(E7)&gt;0,1/E7,"")</f>
        <v/>
      </c>
      <c r="H7" s="28" t="s">
        <v>225</v>
      </c>
      <c r="J7" s="28" t="s">
        <v>229</v>
      </c>
      <c r="K7" s="17" t="n">
        <v>2200</v>
      </c>
      <c r="M7" s="28" t="s">
        <v>230</v>
      </c>
      <c r="N7" s="17" t="n">
        <v>150</v>
      </c>
      <c r="P7" s="22" t="s">
        <v>231</v>
      </c>
      <c r="Q7" s="17" t="n">
        <v>72119</v>
      </c>
      <c r="R7" s="16" t="s">
        <v>232</v>
      </c>
    </row>
    <row r="8" customFormat="false" ht="15" hidden="false" customHeight="false" outlineLevel="0" collapsed="false">
      <c r="A8" s="28" t="s">
        <v>233</v>
      </c>
      <c r="B8" s="28"/>
      <c r="C8" s="17" t="n">
        <v>7500</v>
      </c>
      <c r="D8" s="17"/>
      <c r="E8" s="28"/>
      <c r="F8" s="20" t="str">
        <f aca="false">IF(N(E8)=0,"",IF(ISNUMBER(C8),C8,IF(ISNUMBER(D8),D8/1.19,""))*E8)</f>
        <v/>
      </c>
      <c r="G8" s="33" t="str">
        <f aca="false">IF(N(E8)&gt;0,1/E8,"")</f>
        <v/>
      </c>
      <c r="H8" s="28" t="s">
        <v>225</v>
      </c>
      <c r="J8" s="28" t="s">
        <v>107</v>
      </c>
      <c r="K8" s="17" t="n">
        <v>1900</v>
      </c>
      <c r="M8" s="28" t="s">
        <v>234</v>
      </c>
      <c r="N8" s="17" t="n">
        <v>80</v>
      </c>
      <c r="P8" s="22" t="s">
        <v>235</v>
      </c>
      <c r="Q8" s="28"/>
      <c r="R8" s="16" t="s">
        <v>236</v>
      </c>
    </row>
    <row r="9" customFormat="false" ht="15" hidden="false" customHeight="false" outlineLevel="0" collapsed="false">
      <c r="A9" s="28" t="s">
        <v>185</v>
      </c>
      <c r="B9" s="28"/>
      <c r="C9" s="17" t="n">
        <v>7700</v>
      </c>
      <c r="D9" s="17"/>
      <c r="E9" s="28"/>
      <c r="F9" s="20" t="str">
        <f aca="false">IF(N(E9)=0,"",IF(ISNUMBER(C9),C9,IF(ISNUMBER(D9),D9/1.19,""))*E9)</f>
        <v/>
      </c>
      <c r="G9" s="33" t="str">
        <f aca="false">IF(N(E9)&gt;0,1/E9,"")</f>
        <v/>
      </c>
      <c r="H9" s="28" t="s">
        <v>225</v>
      </c>
      <c r="J9" s="28" t="s">
        <v>128</v>
      </c>
      <c r="K9" s="17" t="n">
        <v>2000</v>
      </c>
      <c r="M9" s="28" t="s">
        <v>237</v>
      </c>
      <c r="N9" s="17" t="n">
        <v>65</v>
      </c>
      <c r="P9" s="22" t="s">
        <v>238</v>
      </c>
      <c r="Q9" s="17"/>
      <c r="R9" s="16" t="s">
        <v>239</v>
      </c>
    </row>
    <row r="10" customFormat="false" ht="15" hidden="false" customHeight="false" outlineLevel="0" collapsed="false">
      <c r="A10" s="28" t="s">
        <v>240</v>
      </c>
      <c r="B10" s="28"/>
      <c r="C10" s="17" t="n">
        <v>8000</v>
      </c>
      <c r="D10" s="17"/>
      <c r="E10" s="28"/>
      <c r="F10" s="20" t="str">
        <f aca="false">IF(N(E10)=0,"",IF(ISNUMBER(C10),C10,IF(ISNUMBER(D10),D10/1.19,""))*E10)</f>
        <v/>
      </c>
      <c r="G10" s="33" t="str">
        <f aca="false">IF(N(E10)&gt;0,1/E10,"")</f>
        <v/>
      </c>
      <c r="H10" s="28" t="s">
        <v>225</v>
      </c>
      <c r="J10" s="28" t="s">
        <v>151</v>
      </c>
      <c r="K10" s="17" t="n">
        <v>2200</v>
      </c>
      <c r="M10" s="28" t="s">
        <v>241</v>
      </c>
      <c r="N10" s="17" t="n">
        <v>600</v>
      </c>
      <c r="P10" s="21" t="s">
        <v>242</v>
      </c>
      <c r="Q10" s="12" t="n">
        <f aca="false">IFERROR(Q5/Q6,0)+N(Q8)*N(Q7)/1000+N(Q9)</f>
        <v>0</v>
      </c>
      <c r="R10" s="16" t="s">
        <v>243</v>
      </c>
    </row>
    <row r="11" customFormat="false" ht="15" hidden="false" customHeight="false" outlineLevel="0" collapsed="false">
      <c r="A11" s="28" t="s">
        <v>244</v>
      </c>
      <c r="B11" s="28"/>
      <c r="C11" s="17" t="n">
        <v>7800</v>
      </c>
      <c r="D11" s="17"/>
      <c r="E11" s="28"/>
      <c r="F11" s="20" t="str">
        <f aca="false">IF(N(E11)=0,"",IF(ISNUMBER(C11),C11,IF(ISNUMBER(D11),D11/1.19,""))*E11)</f>
        <v/>
      </c>
      <c r="G11" s="33" t="str">
        <f aca="false">IF(N(E11)&gt;0,1/E11,"")</f>
        <v/>
      </c>
      <c r="H11" s="28" t="s">
        <v>225</v>
      </c>
      <c r="J11" s="28" t="s">
        <v>136</v>
      </c>
      <c r="K11" s="17" t="n">
        <v>1900</v>
      </c>
      <c r="M11" s="28" t="s">
        <v>245</v>
      </c>
      <c r="N11" s="17" t="n">
        <v>200</v>
      </c>
    </row>
    <row r="12" customFormat="false" ht="15" hidden="false" customHeight="false" outlineLevel="0" collapsed="false">
      <c r="A12" s="28" t="s">
        <v>246</v>
      </c>
      <c r="B12" s="28"/>
      <c r="C12" s="17" t="n">
        <v>6900</v>
      </c>
      <c r="D12" s="17"/>
      <c r="E12" s="28"/>
      <c r="F12" s="20" t="str">
        <f aca="false">IF(N(E12)=0,"",IF(ISNUMBER(C12),C12,IF(ISNUMBER(D12),D12/1.19,""))*E12)</f>
        <v/>
      </c>
      <c r="G12" s="33" t="str">
        <f aca="false">IF(N(E12)&gt;0,1/E12,"")</f>
        <v/>
      </c>
      <c r="H12" s="28" t="s">
        <v>225</v>
      </c>
      <c r="J12" s="28" t="s">
        <v>144</v>
      </c>
      <c r="K12" s="17" t="n">
        <v>2400</v>
      </c>
      <c r="M12" s="28" t="s">
        <v>247</v>
      </c>
      <c r="N12" s="17" t="n">
        <v>5454</v>
      </c>
      <c r="P12" s="22" t="s">
        <v>248</v>
      </c>
      <c r="Q12" s="29" t="n">
        <v>0</v>
      </c>
      <c r="R12" s="16" t="s">
        <v>249</v>
      </c>
    </row>
    <row r="13" customFormat="false" ht="15" hidden="false" customHeight="false" outlineLevel="0" collapsed="false">
      <c r="A13" s="28" t="s">
        <v>250</v>
      </c>
      <c r="B13" s="28"/>
      <c r="C13" s="17" t="n">
        <v>7200</v>
      </c>
      <c r="D13" s="17"/>
      <c r="E13" s="28"/>
      <c r="F13" s="20" t="str">
        <f aca="false">IF(N(E13)=0,"",IF(ISNUMBER(C13),C13,IF(ISNUMBER(D13),D13/1.19,""))*E13)</f>
        <v/>
      </c>
      <c r="G13" s="33" t="str">
        <f aca="false">IF(N(E13)&gt;0,1/E13,"")</f>
        <v/>
      </c>
      <c r="H13" s="28" t="s">
        <v>225</v>
      </c>
      <c r="J13" s="28" t="s">
        <v>121</v>
      </c>
      <c r="K13" s="17" t="n">
        <v>2400</v>
      </c>
      <c r="M13" s="28" t="s">
        <v>251</v>
      </c>
      <c r="N13" s="17" t="n">
        <v>900</v>
      </c>
    </row>
    <row r="14" customFormat="false" ht="15" hidden="false" customHeight="false" outlineLevel="0" collapsed="false">
      <c r="A14" s="28" t="s">
        <v>252</v>
      </c>
      <c r="B14" s="28"/>
      <c r="C14" s="17" t="n">
        <v>7900</v>
      </c>
      <c r="D14" s="17"/>
      <c r="E14" s="28"/>
      <c r="F14" s="20" t="str">
        <f aca="false">IF(N(E14)=0,"",IF(ISNUMBER(C14),C14,IF(ISNUMBER(D14),D14/1.19,""))*E14)</f>
        <v/>
      </c>
      <c r="G14" s="33" t="str">
        <f aca="false">IF(N(E14)&gt;0,1/E14,"")</f>
        <v/>
      </c>
      <c r="H14" s="28" t="s">
        <v>225</v>
      </c>
      <c r="J14" s="28" t="s">
        <v>253</v>
      </c>
      <c r="K14" s="17" t="n">
        <v>2200</v>
      </c>
      <c r="M14" s="28" t="s">
        <v>254</v>
      </c>
      <c r="N14" s="17" t="n">
        <v>400</v>
      </c>
      <c r="P14" s="22" t="s">
        <v>255</v>
      </c>
      <c r="Q14" s="29" t="n">
        <v>0.434</v>
      </c>
      <c r="R14" s="16" t="s">
        <v>256</v>
      </c>
    </row>
    <row r="15" customFormat="false" ht="15" hidden="false" customHeight="false" outlineLevel="0" collapsed="false">
      <c r="A15" s="28" t="s">
        <v>257</v>
      </c>
      <c r="B15" s="28"/>
      <c r="C15" s="17" t="n">
        <v>6800</v>
      </c>
      <c r="D15" s="17"/>
      <c r="E15" s="28"/>
      <c r="F15" s="20" t="str">
        <f aca="false">IF(N(E15)=0,"",IF(ISNUMBER(C15),C15,IF(ISNUMBER(D15),D15/1.19,""))*E15)</f>
        <v/>
      </c>
      <c r="G15" s="33" t="str">
        <f aca="false">IF(N(E15)&gt;0,1/E15,"")</f>
        <v/>
      </c>
      <c r="H15" s="28" t="s">
        <v>225</v>
      </c>
      <c r="J15" s="28" t="s">
        <v>258</v>
      </c>
      <c r="K15" s="17" t="n">
        <v>2600</v>
      </c>
      <c r="M15" s="28"/>
      <c r="N15" s="17"/>
      <c r="P15" s="22" t="s">
        <v>259</v>
      </c>
      <c r="Q15" s="29" t="n">
        <v>0.15</v>
      </c>
      <c r="R15" s="16" t="s">
        <v>232</v>
      </c>
    </row>
    <row r="16" customFormat="false" ht="15" hidden="false" customHeight="false" outlineLevel="0" collapsed="false">
      <c r="A16" s="28" t="s">
        <v>260</v>
      </c>
      <c r="B16" s="28"/>
      <c r="C16" s="17" t="n">
        <v>5600</v>
      </c>
      <c r="D16" s="17"/>
      <c r="E16" s="28"/>
      <c r="F16" s="20" t="str">
        <f aca="false">IF(N(E16)=0,"",IF(ISNUMBER(C16),C16,IF(ISNUMBER(D16),D16/1.19,""))*E16)</f>
        <v/>
      </c>
      <c r="G16" s="33" t="str">
        <f aca="false">IF(N(E16)&gt;0,1/E16,"")</f>
        <v/>
      </c>
      <c r="H16" s="28" t="s">
        <v>225</v>
      </c>
      <c r="J16" s="28" t="s">
        <v>159</v>
      </c>
      <c r="K16" s="17" t="n">
        <v>2200</v>
      </c>
      <c r="M16" s="28"/>
      <c r="N16" s="17"/>
      <c r="P16" s="21" t="s">
        <v>261</v>
      </c>
      <c r="Q16" s="34" t="n">
        <f aca="false">IFERROR(1/(1-Q14-Q15),"")</f>
        <v>2.40384615384615</v>
      </c>
      <c r="R16" s="16" t="s">
        <v>262</v>
      </c>
    </row>
    <row r="17" customFormat="false" ht="15" hidden="false" customHeight="false" outlineLevel="0" collapsed="false">
      <c r="A17" s="28" t="s">
        <v>263</v>
      </c>
      <c r="B17" s="28"/>
      <c r="C17" s="17" t="n">
        <v>5800</v>
      </c>
      <c r="D17" s="17"/>
      <c r="E17" s="28"/>
      <c r="F17" s="20" t="str">
        <f aca="false">IF(N(E17)=0,"",IF(ISNUMBER(C17),C17,IF(ISNUMBER(D17),D17/1.19,""))*E17)</f>
        <v/>
      </c>
      <c r="G17" s="33" t="str">
        <f aca="false">IF(N(E17)&gt;0,1/E17,"")</f>
        <v/>
      </c>
      <c r="H17" s="28" t="s">
        <v>225</v>
      </c>
      <c r="J17" s="28" t="s">
        <v>88</v>
      </c>
      <c r="K17" s="17" t="n">
        <v>2300</v>
      </c>
      <c r="M17" s="28"/>
      <c r="N17" s="17"/>
    </row>
    <row r="18" customFormat="false" ht="15" hidden="false" customHeight="false" outlineLevel="0" collapsed="false">
      <c r="A18" s="28" t="s">
        <v>264</v>
      </c>
      <c r="B18" s="28"/>
      <c r="C18" s="17" t="n">
        <v>7800</v>
      </c>
      <c r="D18" s="17"/>
      <c r="E18" s="28"/>
      <c r="F18" s="20" t="str">
        <f aca="false">IF(N(E18)=0,"",IF(ISNUMBER(C18),C18,IF(ISNUMBER(D18),D18/1.19,""))*E18)</f>
        <v/>
      </c>
      <c r="G18" s="33" t="str">
        <f aca="false">IF(N(E18)&gt;0,1/E18,"")</f>
        <v/>
      </c>
      <c r="H18" s="28" t="s">
        <v>225</v>
      </c>
      <c r="J18" s="28" t="s">
        <v>265</v>
      </c>
      <c r="K18" s="17" t="n">
        <v>2400</v>
      </c>
      <c r="M18" s="28"/>
      <c r="N18" s="17"/>
    </row>
    <row r="19" customFormat="false" ht="15" hidden="false" customHeight="false" outlineLevel="0" collapsed="false">
      <c r="A19" s="28" t="s">
        <v>266</v>
      </c>
      <c r="B19" s="28"/>
      <c r="C19" s="17" t="n">
        <v>5600</v>
      </c>
      <c r="D19" s="17"/>
      <c r="E19" s="28"/>
      <c r="F19" s="20" t="str">
        <f aca="false">IF(N(E19)=0,"",IF(ISNUMBER(C19),C19,IF(ISNUMBER(D19),D19/1.19,""))*E19)</f>
        <v/>
      </c>
      <c r="G19" s="33" t="str">
        <f aca="false">IF(N(E19)&gt;0,1/E19,"")</f>
        <v/>
      </c>
      <c r="H19" s="28" t="s">
        <v>225</v>
      </c>
      <c r="J19" s="28" t="s">
        <v>267</v>
      </c>
      <c r="K19" s="17" t="n">
        <v>1800</v>
      </c>
      <c r="M19" s="28"/>
      <c r="N19" s="17"/>
    </row>
    <row r="20" customFormat="false" ht="15" hidden="false" customHeight="false" outlineLevel="0" collapsed="false">
      <c r="A20" s="28" t="s">
        <v>268</v>
      </c>
      <c r="B20" s="28"/>
      <c r="C20" s="17" t="n">
        <v>5600</v>
      </c>
      <c r="D20" s="17"/>
      <c r="E20" s="28"/>
      <c r="F20" s="20" t="str">
        <f aca="false">IF(N(E20)=0,"",IF(ISNUMBER(C20),C20,IF(ISNUMBER(D20),D20/1.19,""))*E20)</f>
        <v/>
      </c>
      <c r="G20" s="33" t="str">
        <f aca="false">IF(N(E20)&gt;0,1/E20,"")</f>
        <v/>
      </c>
      <c r="H20" s="28" t="s">
        <v>225</v>
      </c>
      <c r="J20" s="28" t="s">
        <v>269</v>
      </c>
      <c r="K20" s="17" t="n">
        <v>1800</v>
      </c>
      <c r="M20" s="28"/>
      <c r="N20" s="17"/>
    </row>
    <row r="21" customFormat="false" ht="15" hidden="false" customHeight="false" outlineLevel="0" collapsed="false">
      <c r="A21" s="28" t="s">
        <v>270</v>
      </c>
      <c r="B21" s="28"/>
      <c r="C21" s="17" t="n">
        <v>6200</v>
      </c>
      <c r="D21" s="17"/>
      <c r="E21" s="28"/>
      <c r="F21" s="20" t="str">
        <f aca="false">IF(N(E21)=0,"",IF(ISNUMBER(C21),C21,IF(ISNUMBER(D21),D21/1.19,""))*E21)</f>
        <v/>
      </c>
      <c r="G21" s="33" t="str">
        <f aca="false">IF(N(E21)&gt;0,1/E21,"")</f>
        <v/>
      </c>
      <c r="H21" s="28" t="s">
        <v>225</v>
      </c>
      <c r="J21" s="28" t="s">
        <v>271</v>
      </c>
      <c r="K21" s="17" t="n">
        <v>2000</v>
      </c>
      <c r="M21" s="28"/>
      <c r="N21" s="17"/>
    </row>
    <row r="22" customFormat="false" ht="15" hidden="false" customHeight="false" outlineLevel="0" collapsed="false">
      <c r="A22" s="28" t="s">
        <v>272</v>
      </c>
      <c r="B22" s="28"/>
      <c r="C22" s="17" t="n">
        <v>2630</v>
      </c>
      <c r="D22" s="17"/>
      <c r="E22" s="28"/>
      <c r="F22" s="20" t="str">
        <f aca="false">IF(N(E22)=0,"",IF(ISNUMBER(C22),C22,IF(ISNUMBER(D22),D22/1.19,""))*E22)</f>
        <v/>
      </c>
      <c r="G22" s="33" t="str">
        <f aca="false">IF(N(E22)&gt;0,1/E22,"")</f>
        <v/>
      </c>
      <c r="H22" s="28" t="s">
        <v>225</v>
      </c>
      <c r="J22" s="28" t="s">
        <v>273</v>
      </c>
      <c r="K22" s="17" t="n">
        <v>2600</v>
      </c>
      <c r="M22" s="28"/>
      <c r="N22" s="17"/>
    </row>
    <row r="23" customFormat="false" ht="15" hidden="false" customHeight="false" outlineLevel="0" collapsed="false">
      <c r="A23" s="28" t="s">
        <v>199</v>
      </c>
      <c r="B23" s="28"/>
      <c r="C23" s="17" t="n">
        <v>2750</v>
      </c>
      <c r="D23" s="17"/>
      <c r="E23" s="28"/>
      <c r="F23" s="20" t="str">
        <f aca="false">IF(N(E23)=0,"",IF(ISNUMBER(C23),C23,IF(ISNUMBER(D23),D23/1.19,""))*E23)</f>
        <v/>
      </c>
      <c r="G23" s="33" t="str">
        <f aca="false">IF(N(E23)&gt;0,1/E23,"")</f>
        <v/>
      </c>
      <c r="H23" s="28" t="s">
        <v>225</v>
      </c>
      <c r="J23" s="28" t="s">
        <v>167</v>
      </c>
      <c r="K23" s="17" t="n">
        <v>1200</v>
      </c>
      <c r="M23" s="28"/>
      <c r="N23" s="17"/>
    </row>
    <row r="24" customFormat="false" ht="15" hidden="false" customHeight="false" outlineLevel="0" collapsed="false">
      <c r="A24" s="28" t="s">
        <v>274</v>
      </c>
      <c r="B24" s="28"/>
      <c r="C24" s="17" t="n">
        <v>2790</v>
      </c>
      <c r="D24" s="17"/>
      <c r="E24" s="28"/>
      <c r="F24" s="20" t="str">
        <f aca="false">IF(N(E24)=0,"",IF(ISNUMBER(C24),C24,IF(ISNUMBER(D24),D24/1.19,""))*E24)</f>
        <v/>
      </c>
      <c r="G24" s="33" t="str">
        <f aca="false">IF(N(E24)&gt;0,1/E24,"")</f>
        <v/>
      </c>
      <c r="H24" s="28" t="s">
        <v>225</v>
      </c>
      <c r="J24" s="28" t="s">
        <v>275</v>
      </c>
      <c r="K24" s="17" t="n">
        <v>3500</v>
      </c>
      <c r="M24" s="28"/>
      <c r="N24" s="17"/>
    </row>
    <row r="25" customFormat="false" ht="15" hidden="false" customHeight="false" outlineLevel="0" collapsed="false">
      <c r="A25" s="28" t="s">
        <v>276</v>
      </c>
      <c r="B25" s="28"/>
      <c r="C25" s="17" t="n">
        <v>2390</v>
      </c>
      <c r="D25" s="17"/>
      <c r="E25" s="28"/>
      <c r="F25" s="20" t="str">
        <f aca="false">IF(N(E25)=0,"",IF(ISNUMBER(C25),C25,IF(ISNUMBER(D25),D25/1.19,""))*E25)</f>
        <v/>
      </c>
      <c r="G25" s="33" t="str">
        <f aca="false">IF(N(E25)&gt;0,1/E25,"")</f>
        <v/>
      </c>
      <c r="H25" s="28" t="s">
        <v>225</v>
      </c>
      <c r="J25" s="28" t="s">
        <v>277</v>
      </c>
      <c r="K25" s="17" t="n">
        <v>3200</v>
      </c>
      <c r="M25" s="28"/>
      <c r="N25" s="17"/>
    </row>
    <row r="26" customFormat="false" ht="15" hidden="false" customHeight="false" outlineLevel="0" collapsed="false">
      <c r="A26" s="28" t="s">
        <v>278</v>
      </c>
      <c r="B26" s="28"/>
      <c r="C26" s="17" t="n">
        <v>2380</v>
      </c>
      <c r="D26" s="17"/>
      <c r="E26" s="28"/>
      <c r="F26" s="20" t="str">
        <f aca="false">IF(N(E26)=0,"",IF(ISNUMBER(C26),C26,IF(ISNUMBER(D26),D26/1.19,""))*E26)</f>
        <v/>
      </c>
      <c r="G26" s="33" t="str">
        <f aca="false">IF(N(E26)&gt;0,1/E26,"")</f>
        <v/>
      </c>
      <c r="H26" s="28" t="s">
        <v>225</v>
      </c>
      <c r="J26" s="28" t="s">
        <v>279</v>
      </c>
      <c r="K26" s="17" t="n">
        <v>2200</v>
      </c>
      <c r="M26" s="28"/>
      <c r="N26" s="17"/>
    </row>
    <row r="27" customFormat="false" ht="15" hidden="false" customHeight="false" outlineLevel="0" collapsed="false">
      <c r="A27" s="28" t="s">
        <v>280</v>
      </c>
      <c r="B27" s="28"/>
      <c r="C27" s="17" t="n">
        <v>5900</v>
      </c>
      <c r="D27" s="17"/>
      <c r="E27" s="28"/>
      <c r="F27" s="20" t="str">
        <f aca="false">IF(N(E27)=0,"",IF(ISNUMBER(C27),C27,IF(ISNUMBER(D27),D27/1.19,""))*E27)</f>
        <v/>
      </c>
      <c r="G27" s="33" t="str">
        <f aca="false">IF(N(E27)&gt;0,1/E27,"")</f>
        <v/>
      </c>
      <c r="H27" s="28" t="s">
        <v>225</v>
      </c>
      <c r="J27" s="28" t="s">
        <v>281</v>
      </c>
      <c r="K27" s="17" t="n">
        <v>1000</v>
      </c>
      <c r="M27" s="28"/>
      <c r="N27" s="17"/>
    </row>
    <row r="28" customFormat="false" ht="15" hidden="false" customHeight="false" outlineLevel="0" collapsed="false">
      <c r="A28" s="28" t="s">
        <v>282</v>
      </c>
      <c r="B28" s="28"/>
      <c r="C28" s="17" t="n">
        <v>4300</v>
      </c>
      <c r="D28" s="17"/>
      <c r="E28" s="28"/>
      <c r="F28" s="20" t="str">
        <f aca="false">IF(N(E28)=0,"",IF(ISNUMBER(C28),C28,IF(ISNUMBER(D28),D28/1.19,""))*E28)</f>
        <v/>
      </c>
      <c r="G28" s="33" t="str">
        <f aca="false">IF(N(E28)&gt;0,1/E28,"")</f>
        <v/>
      </c>
      <c r="H28" s="28" t="s">
        <v>225</v>
      </c>
      <c r="J28" s="28" t="s">
        <v>283</v>
      </c>
      <c r="K28" s="17" t="n">
        <v>3200</v>
      </c>
      <c r="M28" s="28"/>
      <c r="N28" s="17"/>
    </row>
    <row r="29" customFormat="false" ht="15" hidden="false" customHeight="false" outlineLevel="0" collapsed="false">
      <c r="A29" s="28" t="s">
        <v>188</v>
      </c>
      <c r="B29" s="28"/>
      <c r="C29" s="17" t="n">
        <v>6996</v>
      </c>
      <c r="D29" s="17"/>
      <c r="E29" s="28"/>
      <c r="F29" s="20" t="str">
        <f aca="false">IF(N(E29)=0,"",IF(ISNUMBER(C29),C29,IF(ISNUMBER(D29),D29/1.19,""))*E29)</f>
        <v/>
      </c>
      <c r="G29" s="33" t="str">
        <f aca="false">IF(N(E29)&gt;0,1/E29,"")</f>
        <v/>
      </c>
      <c r="H29" s="28" t="s">
        <v>225</v>
      </c>
      <c r="J29" s="28" t="s">
        <v>163</v>
      </c>
      <c r="K29" s="17" t="n">
        <v>1800</v>
      </c>
      <c r="M29" s="28"/>
      <c r="N29" s="17"/>
    </row>
    <row r="30" customFormat="false" ht="15" hidden="false" customHeight="false" outlineLevel="0" collapsed="false">
      <c r="A30" s="28" t="s">
        <v>284</v>
      </c>
      <c r="B30" s="28"/>
      <c r="C30" s="17" t="n">
        <v>2302</v>
      </c>
      <c r="D30" s="17"/>
      <c r="E30" s="28"/>
      <c r="F30" s="20" t="str">
        <f aca="false">IF(N(E30)=0,"",IF(ISNUMBER(C30),C30,IF(ISNUMBER(D30),D30/1.19,""))*E30)</f>
        <v/>
      </c>
      <c r="G30" s="33" t="str">
        <f aca="false">IF(N(E30)&gt;0,1/E30,"")</f>
        <v/>
      </c>
      <c r="H30" s="28" t="s">
        <v>225</v>
      </c>
      <c r="J30" s="28" t="s">
        <v>285</v>
      </c>
      <c r="K30" s="17" t="n">
        <v>2000</v>
      </c>
      <c r="M30" s="28"/>
      <c r="N30" s="17"/>
    </row>
    <row r="31" customFormat="false" ht="15" hidden="false" customHeight="false" outlineLevel="0" collapsed="false">
      <c r="A31" s="28" t="s">
        <v>201</v>
      </c>
      <c r="B31" s="28" t="s">
        <v>220</v>
      </c>
      <c r="C31" s="17" t="n">
        <v>4244</v>
      </c>
      <c r="D31" s="17"/>
      <c r="E31" s="28" t="n">
        <v>0.198</v>
      </c>
      <c r="F31" s="20" t="n">
        <f aca="false">IF(N(E31)=0,"",IF(ISNUMBER(C31),C31,IF(ISNUMBER(D31),D31/1.19,""))*E31)</f>
        <v>840.312</v>
      </c>
      <c r="G31" s="33" t="n">
        <f aca="false">IF(N(E31)&gt;0,1/E31,"")</f>
        <v>5.05050505050505</v>
      </c>
      <c r="H31" s="28"/>
      <c r="J31" s="28" t="s">
        <v>286</v>
      </c>
      <c r="K31" s="17" t="n">
        <v>2500</v>
      </c>
      <c r="M31" s="28"/>
      <c r="N31" s="17"/>
    </row>
    <row r="32" customFormat="false" ht="15" hidden="false" customHeight="false" outlineLevel="0" collapsed="false">
      <c r="A32" s="28" t="s">
        <v>287</v>
      </c>
      <c r="B32" s="28"/>
      <c r="C32" s="17" t="n">
        <v>4408</v>
      </c>
      <c r="D32" s="17"/>
      <c r="E32" s="28" t="n">
        <v>0.233</v>
      </c>
      <c r="F32" s="20" t="n">
        <f aca="false">IF(N(E32)=0,"",IF(ISNUMBER(C32),C32,IF(ISNUMBER(D32),D32/1.19,""))*E32)</f>
        <v>1027.064</v>
      </c>
      <c r="G32" s="33" t="n">
        <f aca="false">IF(N(E32)&gt;0,1/E32,"")</f>
        <v>4.29184549356223</v>
      </c>
      <c r="H32" s="28"/>
      <c r="J32" s="28" t="s">
        <v>288</v>
      </c>
      <c r="K32" s="17" t="n">
        <v>2200</v>
      </c>
      <c r="M32" s="28"/>
      <c r="N32" s="17"/>
    </row>
    <row r="33" customFormat="false" ht="15" hidden="false" customHeight="false" outlineLevel="0" collapsed="false">
      <c r="A33" s="28" t="s">
        <v>289</v>
      </c>
      <c r="B33" s="28"/>
      <c r="C33" s="17" t="n">
        <v>4408</v>
      </c>
      <c r="D33" s="17"/>
      <c r="E33" s="28" t="n">
        <v>0.254</v>
      </c>
      <c r="F33" s="20" t="n">
        <f aca="false">IF(N(E33)=0,"",IF(ISNUMBER(C33),C33,IF(ISNUMBER(D33),D33/1.19,""))*E33)</f>
        <v>1119.632</v>
      </c>
      <c r="G33" s="33" t="n">
        <f aca="false">IF(N(E33)&gt;0,1/E33,"")</f>
        <v>3.93700787401575</v>
      </c>
      <c r="H33" s="28"/>
      <c r="J33" s="28" t="s">
        <v>290</v>
      </c>
      <c r="K33" s="17" t="n">
        <v>2200</v>
      </c>
      <c r="M33" s="28"/>
      <c r="N33" s="17"/>
    </row>
    <row r="34" customFormat="false" ht="15" hidden="false" customHeight="false" outlineLevel="0" collapsed="false">
      <c r="A34" s="28" t="s">
        <v>203</v>
      </c>
      <c r="B34" s="28"/>
      <c r="C34" s="17"/>
      <c r="D34" s="17"/>
      <c r="E34" s="28"/>
      <c r="F34" s="20" t="str">
        <f aca="false">IF(N(E34)=0,"",IF(ISNUMBER(C34),C34,IF(ISNUMBER(D34),D34/1.19,""))*E34)</f>
        <v/>
      </c>
      <c r="G34" s="33" t="str">
        <f aca="false">IF(N(E34)&gt;0,1/E34,"")</f>
        <v/>
      </c>
      <c r="H34" s="28" t="s">
        <v>225</v>
      </c>
      <c r="J34" s="28" t="s">
        <v>291</v>
      </c>
      <c r="K34" s="17" t="n">
        <v>1900</v>
      </c>
      <c r="M34" s="28"/>
      <c r="N34" s="17"/>
    </row>
    <row r="35" customFormat="false" ht="15" hidden="false" customHeight="false" outlineLevel="0" collapsed="false">
      <c r="A35" s="28" t="s">
        <v>292</v>
      </c>
      <c r="B35" s="28"/>
      <c r="C35" s="17" t="n">
        <v>6400</v>
      </c>
      <c r="D35" s="17"/>
      <c r="E35" s="28"/>
      <c r="F35" s="20" t="str">
        <f aca="false">IF(N(E35)=0,"",IF(ISNUMBER(C35),C35,IF(ISNUMBER(D35),D35/1.19,""))*E35)</f>
        <v/>
      </c>
      <c r="G35" s="33" t="str">
        <f aca="false">IF(N(E35)&gt;0,1/E35,"")</f>
        <v/>
      </c>
      <c r="H35" s="28" t="s">
        <v>225</v>
      </c>
      <c r="J35" s="28" t="s">
        <v>293</v>
      </c>
      <c r="K35" s="17" t="n">
        <v>2400</v>
      </c>
      <c r="M35" s="28"/>
      <c r="N35" s="17"/>
    </row>
    <row r="36" customFormat="false" ht="15" hidden="false" customHeight="false" outlineLevel="0" collapsed="false">
      <c r="A36" s="28" t="s">
        <v>294</v>
      </c>
      <c r="B36" s="28"/>
      <c r="C36" s="17" t="n">
        <v>2975</v>
      </c>
      <c r="D36" s="17"/>
      <c r="E36" s="28"/>
      <c r="F36" s="20" t="str">
        <f aca="false">IF(N(E36)=0,"",IF(ISNUMBER(C36),C36,IF(ISNUMBER(D36),D36/1.19,""))*E36)</f>
        <v/>
      </c>
      <c r="G36" s="33" t="str">
        <f aca="false">IF(N(E36)&gt;0,1/E36,"")</f>
        <v/>
      </c>
      <c r="H36" s="28" t="s">
        <v>225</v>
      </c>
      <c r="J36" s="28" t="s">
        <v>295</v>
      </c>
      <c r="K36" s="17" t="n">
        <v>1700</v>
      </c>
      <c r="M36" s="28"/>
      <c r="N36" s="17"/>
    </row>
    <row r="37" customFormat="false" ht="15" hidden="false" customHeight="false" outlineLevel="0" collapsed="false">
      <c r="A37" s="28" t="s">
        <v>296</v>
      </c>
      <c r="B37" s="28"/>
      <c r="C37" s="17" t="n">
        <v>8590</v>
      </c>
      <c r="D37" s="17"/>
      <c r="E37" s="28"/>
      <c r="F37" s="20" t="str">
        <f aca="false">IF(N(E37)=0,"",IF(ISNUMBER(C37),C37,IF(ISNUMBER(D37),D37/1.19,""))*E37)</f>
        <v/>
      </c>
      <c r="G37" s="33" t="str">
        <f aca="false">IF(N(E37)&gt;0,1/E37,"")</f>
        <v/>
      </c>
      <c r="H37" s="28" t="s">
        <v>225</v>
      </c>
      <c r="J37" s="28" t="s">
        <v>297</v>
      </c>
      <c r="K37" s="17" t="n">
        <v>1800</v>
      </c>
      <c r="M37" s="28"/>
      <c r="N37" s="17"/>
    </row>
    <row r="38" customFormat="false" ht="15" hidden="false" customHeight="false" outlineLevel="0" collapsed="false">
      <c r="A38" s="28"/>
      <c r="B38" s="28"/>
      <c r="C38" s="17"/>
      <c r="D38" s="17"/>
      <c r="E38" s="28"/>
      <c r="F38" s="20" t="str">
        <f aca="false">IF(N(E38)=0,"",IF(ISNUMBER(C38),C38,IF(ISNUMBER(D38),D38/1.19,""))*E38)</f>
        <v/>
      </c>
      <c r="G38" s="33" t="str">
        <f aca="false">IF(N(E38)&gt;0,1/E38,"")</f>
        <v/>
      </c>
      <c r="H38" s="28"/>
      <c r="J38" s="28" t="s">
        <v>298</v>
      </c>
      <c r="K38" s="17" t="n">
        <v>650</v>
      </c>
      <c r="M38" s="28"/>
      <c r="N38" s="17"/>
    </row>
    <row r="39" customFormat="false" ht="15" hidden="false" customHeight="false" outlineLevel="0" collapsed="false">
      <c r="A39" s="28"/>
      <c r="B39" s="28"/>
      <c r="C39" s="17"/>
      <c r="D39" s="17"/>
      <c r="E39" s="28"/>
      <c r="F39" s="20" t="str">
        <f aca="false">IF(N(E39)=0,"",IF(ISNUMBER(C39),C39,IF(ISNUMBER(D39),D39/1.19,""))*E39)</f>
        <v/>
      </c>
      <c r="G39" s="33" t="str">
        <f aca="false">IF(N(E39)&gt;0,1/E39,"")</f>
        <v/>
      </c>
      <c r="H39" s="28"/>
      <c r="J39" s="28" t="s">
        <v>299</v>
      </c>
      <c r="K39" s="17" t="n">
        <v>2400</v>
      </c>
      <c r="M39" s="28"/>
      <c r="N39" s="17"/>
    </row>
    <row r="40" customFormat="false" ht="15" hidden="false" customHeight="false" outlineLevel="0" collapsed="false">
      <c r="A40" s="28"/>
      <c r="B40" s="28"/>
      <c r="C40" s="17"/>
      <c r="D40" s="17"/>
      <c r="E40" s="28"/>
      <c r="F40" s="20" t="str">
        <f aca="false">IF(N(E40)=0,"",IF(ISNUMBER(C40),C40,IF(ISNUMBER(D40),D40/1.19,""))*E40)</f>
        <v/>
      </c>
      <c r="G40" s="33" t="str">
        <f aca="false">IF(N(E40)&gt;0,1/E40,"")</f>
        <v/>
      </c>
      <c r="H40" s="28"/>
      <c r="J40" s="28" t="s">
        <v>300</v>
      </c>
      <c r="K40" s="17" t="n">
        <v>1700</v>
      </c>
      <c r="M40" s="28"/>
      <c r="N40" s="17"/>
    </row>
    <row r="41" customFormat="false" ht="15" hidden="false" customHeight="false" outlineLevel="0" collapsed="false">
      <c r="A41" s="28"/>
      <c r="B41" s="28"/>
      <c r="C41" s="17"/>
      <c r="D41" s="17"/>
      <c r="E41" s="28"/>
      <c r="F41" s="20" t="str">
        <f aca="false">IF(N(E41)=0,"",IF(ISNUMBER(C41),C41,IF(ISNUMBER(D41),D41/1.19,""))*E41)</f>
        <v/>
      </c>
      <c r="G41" s="33" t="str">
        <f aca="false">IF(N(E41)&gt;0,1/E41,"")</f>
        <v/>
      </c>
      <c r="H41" s="28"/>
      <c r="J41" s="28" t="s">
        <v>301</v>
      </c>
      <c r="K41" s="17" t="n">
        <v>2000</v>
      </c>
      <c r="M41" s="28"/>
      <c r="N41" s="17"/>
    </row>
    <row r="42" customFormat="false" ht="15" hidden="false" customHeight="false" outlineLevel="0" collapsed="false">
      <c r="A42" s="28"/>
      <c r="B42" s="28"/>
      <c r="C42" s="17"/>
      <c r="D42" s="17"/>
      <c r="E42" s="28"/>
      <c r="F42" s="20" t="str">
        <f aca="false">IF(N(E42)=0,"",IF(ISNUMBER(C42),C42,IF(ISNUMBER(D42),D42/1.19,""))*E42)</f>
        <v/>
      </c>
      <c r="G42" s="33" t="str">
        <f aca="false">IF(N(E42)&gt;0,1/E42,"")</f>
        <v/>
      </c>
      <c r="H42" s="28"/>
      <c r="J42" s="28" t="s">
        <v>302</v>
      </c>
      <c r="K42" s="17" t="n">
        <v>8000</v>
      </c>
      <c r="M42" s="28"/>
      <c r="N42" s="17"/>
    </row>
    <row r="43" customFormat="false" ht="15" hidden="false" customHeight="false" outlineLevel="0" collapsed="false">
      <c r="A43" s="28"/>
      <c r="B43" s="28"/>
      <c r="C43" s="17"/>
      <c r="D43" s="17"/>
      <c r="E43" s="28"/>
      <c r="F43" s="20" t="str">
        <f aca="false">IF(N(E43)=0,"",IF(ISNUMBER(C43),C43,IF(ISNUMBER(D43),D43/1.19,""))*E43)</f>
        <v/>
      </c>
      <c r="G43" s="33" t="str">
        <f aca="false">IF(N(E43)&gt;0,1/E43,"")</f>
        <v/>
      </c>
      <c r="H43" s="28"/>
      <c r="J43" s="28" t="s">
        <v>303</v>
      </c>
      <c r="K43" s="17" t="n">
        <v>2500</v>
      </c>
      <c r="M43" s="28"/>
      <c r="N43" s="17"/>
    </row>
    <row r="44" customFormat="false" ht="15" hidden="false" customHeight="false" outlineLevel="0" collapsed="false">
      <c r="A44" s="28"/>
      <c r="B44" s="28"/>
      <c r="C44" s="17"/>
      <c r="D44" s="17"/>
      <c r="E44" s="28"/>
      <c r="F44" s="20" t="str">
        <f aca="false">IF(N(E44)=0,"",IF(ISNUMBER(C44),C44,IF(ISNUMBER(D44),D44/1.19,""))*E44)</f>
        <v/>
      </c>
      <c r="G44" s="33" t="str">
        <f aca="false">IF(N(E44)&gt;0,1/E44,"")</f>
        <v/>
      </c>
      <c r="H44" s="28"/>
      <c r="J44" s="28" t="s">
        <v>304</v>
      </c>
      <c r="K44" s="17" t="n">
        <v>5500</v>
      </c>
      <c r="M44" s="28"/>
      <c r="N44" s="17"/>
    </row>
    <row r="45" customFormat="false" ht="15" hidden="false" customHeight="false" outlineLevel="0" collapsed="false">
      <c r="A45" s="28"/>
      <c r="B45" s="28"/>
      <c r="C45" s="17"/>
      <c r="D45" s="17"/>
      <c r="E45" s="28"/>
      <c r="F45" s="20" t="str">
        <f aca="false">IF(N(E45)=0,"",IF(ISNUMBER(C45),C45,IF(ISNUMBER(D45),D45/1.19,""))*E45)</f>
        <v/>
      </c>
      <c r="G45" s="33" t="str">
        <f aca="false">IF(N(E45)&gt;0,1/E45,"")</f>
        <v/>
      </c>
      <c r="H45" s="28"/>
      <c r="J45" s="28" t="s">
        <v>305</v>
      </c>
      <c r="K45" s="17" t="n">
        <v>6000</v>
      </c>
      <c r="M45" s="28"/>
      <c r="N45" s="17"/>
    </row>
    <row r="46" customFormat="false" ht="15" hidden="false" customHeight="false" outlineLevel="0" collapsed="false">
      <c r="A46" s="28"/>
      <c r="B46" s="28"/>
      <c r="C46" s="17"/>
      <c r="D46" s="17"/>
      <c r="E46" s="28"/>
      <c r="F46" s="20" t="str">
        <f aca="false">IF(N(E46)=0,"",IF(ISNUMBER(C46),C46,IF(ISNUMBER(D46),D46/1.19,""))*E46)</f>
        <v/>
      </c>
      <c r="G46" s="33" t="str">
        <f aca="false">IF(N(E46)&gt;0,1/E46,"")</f>
        <v/>
      </c>
      <c r="H46" s="28"/>
      <c r="J46" s="28" t="s">
        <v>306</v>
      </c>
      <c r="K46" s="17" t="n">
        <v>5500</v>
      </c>
      <c r="M46" s="28"/>
      <c r="N46" s="17"/>
    </row>
    <row r="47" customFormat="false" ht="15" hidden="false" customHeight="false" outlineLevel="0" collapsed="false">
      <c r="A47" s="28"/>
      <c r="B47" s="28"/>
      <c r="C47" s="17"/>
      <c r="D47" s="17"/>
      <c r="E47" s="28"/>
      <c r="F47" s="20" t="str">
        <f aca="false">IF(N(E47)=0,"",IF(ISNUMBER(C47),C47,IF(ISNUMBER(D47),D47/1.19,""))*E47)</f>
        <v/>
      </c>
      <c r="G47" s="33" t="str">
        <f aca="false">IF(N(E47)&gt;0,1/E47,"")</f>
        <v/>
      </c>
      <c r="H47" s="28"/>
      <c r="J47" s="28" t="s">
        <v>307</v>
      </c>
      <c r="K47" s="17" t="n">
        <v>3000</v>
      </c>
      <c r="M47" s="28"/>
      <c r="N47" s="17"/>
    </row>
    <row r="48" customFormat="false" ht="15" hidden="false" customHeight="false" outlineLevel="0" collapsed="false">
      <c r="A48" s="28"/>
      <c r="B48" s="28"/>
      <c r="C48" s="17"/>
      <c r="D48" s="17"/>
      <c r="E48" s="28"/>
      <c r="F48" s="20" t="str">
        <f aca="false">IF(N(E48)=0,"",IF(ISNUMBER(C48),C48,IF(ISNUMBER(D48),D48/1.19,""))*E48)</f>
        <v/>
      </c>
      <c r="G48" s="33" t="str">
        <f aca="false">IF(N(E48)&gt;0,1/E48,"")</f>
        <v/>
      </c>
      <c r="H48" s="28"/>
      <c r="J48" s="28" t="s">
        <v>308</v>
      </c>
      <c r="K48" s="17" t="n">
        <v>3300</v>
      </c>
      <c r="M48" s="28"/>
      <c r="N48" s="17"/>
    </row>
    <row r="49" customFormat="false" ht="15" hidden="false" customHeight="false" outlineLevel="0" collapsed="false">
      <c r="A49" s="28"/>
      <c r="B49" s="28"/>
      <c r="C49" s="17"/>
      <c r="D49" s="17"/>
      <c r="E49" s="28"/>
      <c r="F49" s="20" t="str">
        <f aca="false">IF(N(E49)=0,"",IF(ISNUMBER(C49),C49,IF(ISNUMBER(D49),D49/1.19,""))*E49)</f>
        <v/>
      </c>
      <c r="G49" s="33" t="str">
        <f aca="false">IF(N(E49)&gt;0,1/E49,"")</f>
        <v/>
      </c>
      <c r="H49" s="28"/>
      <c r="J49" s="28" t="s">
        <v>309</v>
      </c>
      <c r="K49" s="17" t="n">
        <v>1000</v>
      </c>
      <c r="M49" s="28"/>
      <c r="N49" s="17"/>
    </row>
    <row r="50" customFormat="false" ht="15" hidden="false" customHeight="false" outlineLevel="0" collapsed="false">
      <c r="A50" s="28"/>
      <c r="B50" s="28"/>
      <c r="C50" s="17"/>
      <c r="D50" s="17"/>
      <c r="E50" s="28"/>
      <c r="F50" s="20" t="str">
        <f aca="false">IF(N(E50)=0,"",IF(ISNUMBER(C50),C50,IF(ISNUMBER(D50),D50/1.19,""))*E50)</f>
        <v/>
      </c>
      <c r="G50" s="33" t="str">
        <f aca="false">IF(N(E50)&gt;0,1/E50,"")</f>
        <v/>
      </c>
      <c r="H50" s="28"/>
      <c r="J50" s="28" t="s">
        <v>310</v>
      </c>
      <c r="K50" s="17" t="n">
        <v>500</v>
      </c>
      <c r="M50" s="28"/>
      <c r="N50" s="17"/>
    </row>
    <row r="51" customFormat="false" ht="15" hidden="false" customHeight="false" outlineLevel="0" collapsed="false">
      <c r="A51" s="28"/>
      <c r="B51" s="28"/>
      <c r="C51" s="17"/>
      <c r="D51" s="17"/>
      <c r="E51" s="28"/>
      <c r="F51" s="20" t="str">
        <f aca="false">IF(N(E51)=0,"",IF(ISNUMBER(C51),C51,IF(ISNUMBER(D51),D51/1.19,""))*E51)</f>
        <v/>
      </c>
      <c r="G51" s="33" t="str">
        <f aca="false">IF(N(E51)&gt;0,1/E51,"")</f>
        <v/>
      </c>
      <c r="H51" s="28"/>
      <c r="J51" s="28"/>
      <c r="K51" s="17"/>
      <c r="M51" s="28"/>
      <c r="N51" s="17"/>
    </row>
    <row r="52" customFormat="false" ht="15" hidden="false" customHeight="false" outlineLevel="0" collapsed="false">
      <c r="A52" s="28"/>
      <c r="B52" s="28"/>
      <c r="C52" s="17"/>
      <c r="D52" s="17"/>
      <c r="E52" s="28"/>
      <c r="F52" s="20" t="str">
        <f aca="false">IF(N(E52)=0,"",IF(ISNUMBER(C52),C52,IF(ISNUMBER(D52),D52/1.19,""))*E52)</f>
        <v/>
      </c>
      <c r="G52" s="33" t="str">
        <f aca="false">IF(N(E52)&gt;0,1/E52,"")</f>
        <v/>
      </c>
      <c r="H52" s="28"/>
      <c r="J52" s="28"/>
      <c r="K52" s="17"/>
      <c r="M52" s="28"/>
      <c r="N52" s="17"/>
    </row>
    <row r="53" customFormat="false" ht="15" hidden="false" customHeight="false" outlineLevel="0" collapsed="false">
      <c r="A53" s="28"/>
      <c r="B53" s="28"/>
      <c r="C53" s="17"/>
      <c r="D53" s="17"/>
      <c r="E53" s="28"/>
      <c r="F53" s="20" t="str">
        <f aca="false">IF(N(E53)=0,"",IF(ISNUMBER(C53),C53,IF(ISNUMBER(D53),D53/1.19,""))*E53)</f>
        <v/>
      </c>
      <c r="G53" s="33" t="str">
        <f aca="false">IF(N(E53)&gt;0,1/E53,"")</f>
        <v/>
      </c>
      <c r="H53" s="28"/>
      <c r="J53" s="28"/>
      <c r="K53" s="17"/>
      <c r="M53" s="28"/>
      <c r="N53" s="17"/>
    </row>
    <row r="54" customFormat="false" ht="15" hidden="false" customHeight="false" outlineLevel="0" collapsed="false">
      <c r="A54" s="28"/>
      <c r="B54" s="28"/>
      <c r="C54" s="17"/>
      <c r="D54" s="17"/>
      <c r="E54" s="28"/>
      <c r="F54" s="20" t="str">
        <f aca="false">IF(N(E54)=0,"",IF(ISNUMBER(C54),C54,IF(ISNUMBER(D54),D54/1.19,""))*E54)</f>
        <v/>
      </c>
      <c r="G54" s="33" t="str">
        <f aca="false">IF(N(E54)&gt;0,1/E54,"")</f>
        <v/>
      </c>
      <c r="H54" s="28"/>
      <c r="J54" s="28"/>
      <c r="K54" s="17"/>
      <c r="M54" s="28"/>
      <c r="N54" s="17"/>
    </row>
    <row r="55" customFormat="false" ht="15" hidden="false" customHeight="false" outlineLevel="0" collapsed="false">
      <c r="A55" s="28"/>
      <c r="B55" s="28"/>
      <c r="C55" s="17"/>
      <c r="D55" s="17"/>
      <c r="E55" s="28"/>
      <c r="F55" s="20" t="str">
        <f aca="false">IF(N(E55)=0,"",IF(ISNUMBER(C55),C55,IF(ISNUMBER(D55),D55/1.19,""))*E55)</f>
        <v/>
      </c>
      <c r="G55" s="33" t="str">
        <f aca="false">IF(N(E55)&gt;0,1/E55,"")</f>
        <v/>
      </c>
      <c r="H55" s="28"/>
      <c r="J55" s="28"/>
      <c r="K55" s="17"/>
      <c r="M55" s="28"/>
      <c r="N55" s="17"/>
    </row>
    <row r="56" customFormat="false" ht="15" hidden="false" customHeight="false" outlineLevel="0" collapsed="false">
      <c r="A56" s="28"/>
      <c r="B56" s="28"/>
      <c r="C56" s="17"/>
      <c r="D56" s="17"/>
      <c r="E56" s="28"/>
      <c r="F56" s="20" t="str">
        <f aca="false">IF(N(E56)=0,"",IF(ISNUMBER(C56),C56,IF(ISNUMBER(D56),D56/1.19,""))*E56)</f>
        <v/>
      </c>
      <c r="G56" s="33" t="str">
        <f aca="false">IF(N(E56)&gt;0,1/E56,"")</f>
        <v/>
      </c>
      <c r="H56" s="28"/>
      <c r="J56" s="28"/>
      <c r="K56" s="17"/>
      <c r="M56" s="28"/>
      <c r="N56" s="17"/>
    </row>
    <row r="57" customFormat="false" ht="15" hidden="false" customHeight="false" outlineLevel="0" collapsed="false">
      <c r="A57" s="28"/>
      <c r="B57" s="28"/>
      <c r="C57" s="17"/>
      <c r="D57" s="17"/>
      <c r="E57" s="28"/>
      <c r="F57" s="20" t="str">
        <f aca="false">IF(N(E57)=0,"",IF(ISNUMBER(C57),C57,IF(ISNUMBER(D57),D57/1.19,""))*E57)</f>
        <v/>
      </c>
      <c r="G57" s="33" t="str">
        <f aca="false">IF(N(E57)&gt;0,1/E57,"")</f>
        <v/>
      </c>
      <c r="H57" s="28"/>
      <c r="J57" s="28"/>
      <c r="K57" s="17"/>
      <c r="M57" s="28"/>
      <c r="N57" s="17"/>
    </row>
    <row r="58" customFormat="false" ht="15" hidden="false" customHeight="false" outlineLevel="0" collapsed="false">
      <c r="A58" s="28"/>
      <c r="B58" s="28"/>
      <c r="C58" s="17"/>
      <c r="D58" s="17"/>
      <c r="E58" s="28"/>
      <c r="F58" s="20" t="str">
        <f aca="false">IF(N(E58)=0,"",IF(ISNUMBER(C58),C58,IF(ISNUMBER(D58),D58/1.19,""))*E58)</f>
        <v/>
      </c>
      <c r="G58" s="33" t="str">
        <f aca="false">IF(N(E58)&gt;0,1/E58,"")</f>
        <v/>
      </c>
      <c r="H58" s="28"/>
      <c r="J58" s="28"/>
      <c r="K58" s="17"/>
      <c r="M58" s="28"/>
      <c r="N58" s="17"/>
    </row>
    <row r="59" customFormat="false" ht="15" hidden="false" customHeight="false" outlineLevel="0" collapsed="false">
      <c r="A59" s="28"/>
      <c r="B59" s="28"/>
      <c r="C59" s="17"/>
      <c r="D59" s="17"/>
      <c r="E59" s="28"/>
      <c r="F59" s="20" t="str">
        <f aca="false">IF(N(E59)=0,"",IF(ISNUMBER(C59),C59,IF(ISNUMBER(D59),D59/1.19,""))*E59)</f>
        <v/>
      </c>
      <c r="G59" s="33" t="str">
        <f aca="false">IF(N(E59)&gt;0,1/E59,"")</f>
        <v/>
      </c>
      <c r="H59" s="28"/>
      <c r="J59" s="28"/>
      <c r="K59" s="17"/>
      <c r="M59" s="28"/>
      <c r="N59" s="17"/>
    </row>
    <row r="60" customFormat="false" ht="15" hidden="false" customHeight="false" outlineLevel="0" collapsed="false">
      <c r="A60" s="28"/>
      <c r="B60" s="28"/>
      <c r="C60" s="17"/>
      <c r="D60" s="17"/>
      <c r="E60" s="28"/>
      <c r="F60" s="20" t="str">
        <f aca="false">IF(N(E60)=0,"",IF(ISNUMBER(C60),C60,IF(ISNUMBER(D60),D60/1.19,""))*E60)</f>
        <v/>
      </c>
      <c r="G60" s="33" t="str">
        <f aca="false">IF(N(E60)&gt;0,1/E60,"")</f>
        <v/>
      </c>
      <c r="H60" s="28"/>
      <c r="J60" s="28"/>
      <c r="K60" s="17"/>
      <c r="M60" s="28"/>
      <c r="N60" s="17"/>
    </row>
    <row r="61" customFormat="false" ht="15" hidden="false" customHeight="false" outlineLevel="0" collapsed="false">
      <c r="A61" s="28"/>
      <c r="B61" s="28"/>
      <c r="C61" s="17"/>
      <c r="D61" s="17"/>
      <c r="E61" s="28"/>
      <c r="F61" s="20" t="str">
        <f aca="false">IF(N(E61)=0,"",IF(ISNUMBER(C61),C61,IF(ISNUMBER(D61),D61/1.19,""))*E61)</f>
        <v/>
      </c>
      <c r="G61" s="33" t="str">
        <f aca="false">IF(N(E61)&gt;0,1/E61,"")</f>
        <v/>
      </c>
      <c r="H61" s="28"/>
      <c r="J61" s="28"/>
      <c r="K61" s="17"/>
      <c r="M61" s="28"/>
      <c r="N61" s="17"/>
    </row>
    <row r="62" customFormat="false" ht="15" hidden="false" customHeight="false" outlineLevel="0" collapsed="false">
      <c r="A62" s="28"/>
      <c r="B62" s="28"/>
      <c r="C62" s="17"/>
      <c r="D62" s="17"/>
      <c r="E62" s="28"/>
      <c r="F62" s="20" t="str">
        <f aca="false">IF(N(E62)=0,"",IF(ISNUMBER(C62),C62,IF(ISNUMBER(D62),D62/1.19,""))*E62)</f>
        <v/>
      </c>
      <c r="G62" s="33" t="str">
        <f aca="false">IF(N(E62)&gt;0,1/E62,"")</f>
        <v/>
      </c>
      <c r="H62" s="28"/>
      <c r="J62" s="28"/>
      <c r="K62" s="17"/>
      <c r="M62" s="28"/>
      <c r="N62" s="17"/>
    </row>
    <row r="63" customFormat="false" ht="15" hidden="false" customHeight="false" outlineLevel="0" collapsed="false">
      <c r="A63" s="28"/>
      <c r="B63" s="28"/>
      <c r="C63" s="17"/>
      <c r="D63" s="17"/>
      <c r="E63" s="28"/>
      <c r="F63" s="20" t="str">
        <f aca="false">IF(N(E63)=0,"",IF(ISNUMBER(C63),C63,IF(ISNUMBER(D63),D63/1.19,""))*E63)</f>
        <v/>
      </c>
      <c r="G63" s="33" t="str">
        <f aca="false">IF(N(E63)&gt;0,1/E63,"")</f>
        <v/>
      </c>
      <c r="H63" s="28"/>
      <c r="J63" s="28"/>
      <c r="K63" s="17"/>
      <c r="M63" s="28"/>
      <c r="N63" s="17"/>
    </row>
    <row r="64" customFormat="false" ht="15" hidden="false" customHeight="false" outlineLevel="0" collapsed="false">
      <c r="A64" s="28"/>
      <c r="B64" s="28"/>
      <c r="C64" s="17"/>
      <c r="D64" s="17"/>
      <c r="E64" s="28"/>
      <c r="F64" s="20" t="str">
        <f aca="false">IF(N(E64)=0,"",IF(ISNUMBER(C64),C64,IF(ISNUMBER(D64),D64/1.19,""))*E64)</f>
        <v/>
      </c>
      <c r="G64" s="33" t="str">
        <f aca="false">IF(N(E64)&gt;0,1/E64,"")</f>
        <v/>
      </c>
      <c r="H64" s="28"/>
      <c r="J64" s="28"/>
      <c r="K64" s="17"/>
      <c r="M64" s="28"/>
      <c r="N64" s="17"/>
    </row>
    <row r="65" customFormat="false" ht="15" hidden="false" customHeight="false" outlineLevel="0" collapsed="false">
      <c r="A65" s="28"/>
      <c r="B65" s="28"/>
      <c r="C65" s="17"/>
      <c r="D65" s="17"/>
      <c r="E65" s="28"/>
      <c r="F65" s="20" t="str">
        <f aca="false">IF(N(E65)=0,"",IF(ISNUMBER(C65),C65,IF(ISNUMBER(D65),D65/1.19,""))*E65)</f>
        <v/>
      </c>
      <c r="G65" s="33" t="str">
        <f aca="false">IF(N(E65)&gt;0,1/E65,"")</f>
        <v/>
      </c>
      <c r="H65" s="28"/>
      <c r="J65" s="28"/>
      <c r="K65" s="17"/>
    </row>
    <row r="66" customFormat="false" ht="15" hidden="false" customHeight="false" outlineLevel="0" collapsed="false">
      <c r="A66" s="28"/>
      <c r="B66" s="28"/>
      <c r="C66" s="17"/>
      <c r="D66" s="17"/>
      <c r="E66" s="28"/>
      <c r="F66" s="20" t="str">
        <f aca="false">IF(N(E66)=0,"",IF(ISNUMBER(C66),C66,IF(ISNUMBER(D66),D66/1.19,""))*E66)</f>
        <v/>
      </c>
      <c r="G66" s="33" t="str">
        <f aca="false">IF(N(E66)&gt;0,1/E66,"")</f>
        <v/>
      </c>
      <c r="H66" s="28"/>
      <c r="J66" s="28"/>
      <c r="K66" s="17"/>
    </row>
    <row r="67" customFormat="false" ht="15" hidden="false" customHeight="false" outlineLevel="0" collapsed="false">
      <c r="A67" s="28"/>
      <c r="B67" s="28"/>
      <c r="C67" s="17"/>
      <c r="D67" s="17"/>
      <c r="E67" s="28"/>
      <c r="F67" s="20" t="str">
        <f aca="false">IF(N(E67)=0,"",IF(ISNUMBER(C67),C67,IF(ISNUMBER(D67),D67/1.19,""))*E67)</f>
        <v/>
      </c>
      <c r="G67" s="33" t="str">
        <f aca="false">IF(N(E67)&gt;0,1/E67,"")</f>
        <v/>
      </c>
      <c r="H67" s="28"/>
      <c r="J67" s="28"/>
      <c r="K67" s="17"/>
    </row>
    <row r="68" customFormat="false" ht="15" hidden="false" customHeight="false" outlineLevel="0" collapsed="false">
      <c r="A68" s="28"/>
      <c r="B68" s="28"/>
      <c r="C68" s="17"/>
      <c r="D68" s="17"/>
      <c r="E68" s="28"/>
      <c r="F68" s="20" t="str">
        <f aca="false">IF(N(E68)=0,"",IF(ISNUMBER(C68),C68,IF(ISNUMBER(D68),D68/1.19,""))*E68)</f>
        <v/>
      </c>
      <c r="G68" s="33" t="str">
        <f aca="false">IF(N(E68)&gt;0,1/E68,"")</f>
        <v/>
      </c>
      <c r="H68" s="28"/>
      <c r="J68" s="28"/>
      <c r="K68" s="17"/>
    </row>
    <row r="69" customFormat="false" ht="15" hidden="false" customHeight="false" outlineLevel="0" collapsed="false">
      <c r="A69" s="28"/>
      <c r="B69" s="28"/>
      <c r="C69" s="17"/>
      <c r="D69" s="17"/>
      <c r="E69" s="28"/>
      <c r="F69" s="20" t="str">
        <f aca="false">IF(N(E69)=0,"",IF(ISNUMBER(C69),C69,IF(ISNUMBER(D69),D69/1.19,""))*E69)</f>
        <v/>
      </c>
      <c r="G69" s="33" t="str">
        <f aca="false">IF(N(E69)&gt;0,1/E69,"")</f>
        <v/>
      </c>
      <c r="H69" s="28"/>
      <c r="J69" s="28"/>
      <c r="K69" s="17"/>
    </row>
    <row r="70" customFormat="false" ht="15" hidden="false" customHeight="false" outlineLevel="0" collapsed="false">
      <c r="A70" s="28"/>
      <c r="B70" s="28"/>
      <c r="C70" s="17"/>
      <c r="D70" s="17"/>
      <c r="E70" s="28"/>
      <c r="F70" s="20" t="str">
        <f aca="false">IF(N(E70)=0,"",IF(ISNUMBER(C70),C70,IF(ISNUMBER(D70),D70/1.19,""))*E70)</f>
        <v/>
      </c>
      <c r="G70" s="33" t="str">
        <f aca="false">IF(N(E70)&gt;0,1/E70,"")</f>
        <v/>
      </c>
      <c r="H70" s="28"/>
      <c r="J70" s="28"/>
      <c r="K70" s="17"/>
    </row>
    <row r="71" customFormat="false" ht="15" hidden="false" customHeight="false" outlineLevel="0" collapsed="false">
      <c r="A71" s="28"/>
      <c r="B71" s="28"/>
      <c r="C71" s="17"/>
      <c r="D71" s="17"/>
      <c r="E71" s="28"/>
      <c r="F71" s="20" t="str">
        <f aca="false">IF(N(E71)=0,"",IF(ISNUMBER(C71),C71,IF(ISNUMBER(D71),D71/1.19,""))*E71)</f>
        <v/>
      </c>
      <c r="G71" s="33" t="str">
        <f aca="false">IF(N(E71)&gt;0,1/E71,"")</f>
        <v/>
      </c>
      <c r="H71" s="28"/>
      <c r="J71" s="28"/>
      <c r="K71" s="17"/>
    </row>
    <row r="72" customFormat="false" ht="15" hidden="false" customHeight="false" outlineLevel="0" collapsed="false">
      <c r="A72" s="28"/>
      <c r="B72" s="28"/>
      <c r="C72" s="17"/>
      <c r="D72" s="17"/>
      <c r="E72" s="28"/>
      <c r="F72" s="20" t="str">
        <f aca="false">IF(N(E72)=0,"",IF(ISNUMBER(C72),C72,IF(ISNUMBER(D72),D72/1.19,""))*E72)</f>
        <v/>
      </c>
      <c r="G72" s="33" t="str">
        <f aca="false">IF(N(E72)&gt;0,1/E72,"")</f>
        <v/>
      </c>
      <c r="H72" s="28"/>
      <c r="J72" s="28"/>
      <c r="K72" s="17"/>
    </row>
    <row r="73" customFormat="false" ht="15" hidden="false" customHeight="false" outlineLevel="0" collapsed="false">
      <c r="A73" s="28"/>
      <c r="B73" s="28"/>
      <c r="C73" s="17"/>
      <c r="D73" s="17"/>
      <c r="E73" s="28"/>
      <c r="F73" s="20" t="str">
        <f aca="false">IF(N(E73)=0,"",IF(ISNUMBER(C73),C73,IF(ISNUMBER(D73),D73/1.19,""))*E73)</f>
        <v/>
      </c>
      <c r="G73" s="33" t="str">
        <f aca="false">IF(N(E73)&gt;0,1/E73,"")</f>
        <v/>
      </c>
      <c r="H73" s="28"/>
      <c r="J73" s="28"/>
      <c r="K73" s="17"/>
    </row>
    <row r="74" customFormat="false" ht="15" hidden="false" customHeight="false" outlineLevel="0" collapsed="false">
      <c r="A74" s="28"/>
      <c r="B74" s="28"/>
      <c r="C74" s="17"/>
      <c r="D74" s="17"/>
      <c r="E74" s="28"/>
      <c r="F74" s="20" t="str">
        <f aca="false">IF(N(E74)=0,"",IF(ISNUMBER(C74),C74,IF(ISNUMBER(D74),D74/1.19,""))*E74)</f>
        <v/>
      </c>
      <c r="G74" s="33" t="str">
        <f aca="false">IF(N(E74)&gt;0,1/E74,"")</f>
        <v/>
      </c>
      <c r="H74" s="28"/>
      <c r="J74" s="28"/>
      <c r="K74" s="17"/>
    </row>
    <row r="75" customFormat="false" ht="15" hidden="false" customHeight="false" outlineLevel="0" collapsed="false">
      <c r="A75" s="28"/>
      <c r="B75" s="28"/>
      <c r="C75" s="17"/>
      <c r="D75" s="17"/>
      <c r="E75" s="28"/>
      <c r="F75" s="20" t="str">
        <f aca="false">IF(N(E75)=0,"",IF(ISNUMBER(C75),C75,IF(ISNUMBER(D75),D75/1.19,""))*E75)</f>
        <v/>
      </c>
      <c r="G75" s="33" t="str">
        <f aca="false">IF(N(E75)&gt;0,1/E75,"")</f>
        <v/>
      </c>
      <c r="H75" s="28"/>
      <c r="J75" s="28"/>
      <c r="K75" s="17"/>
    </row>
    <row r="76" customFormat="false" ht="15" hidden="false" customHeight="false" outlineLevel="0" collapsed="false">
      <c r="A76" s="28"/>
      <c r="B76" s="28"/>
      <c r="C76" s="17"/>
      <c r="D76" s="17"/>
      <c r="E76" s="28"/>
      <c r="F76" s="20" t="str">
        <f aca="false">IF(N(E76)=0,"",IF(ISNUMBER(C76),C76,IF(ISNUMBER(D76),D76/1.19,""))*E76)</f>
        <v/>
      </c>
      <c r="G76" s="33" t="str">
        <f aca="false">IF(N(E76)&gt;0,1/E76,"")</f>
        <v/>
      </c>
      <c r="H76" s="28"/>
      <c r="J76" s="28"/>
      <c r="K76" s="17"/>
    </row>
    <row r="77" customFormat="false" ht="15" hidden="false" customHeight="false" outlineLevel="0" collapsed="false">
      <c r="A77" s="28"/>
      <c r="B77" s="28"/>
      <c r="C77" s="17"/>
      <c r="D77" s="17"/>
      <c r="E77" s="28"/>
      <c r="F77" s="20" t="str">
        <f aca="false">IF(N(E77)=0,"",IF(ISNUMBER(C77),C77,IF(ISNUMBER(D77),D77/1.19,""))*E77)</f>
        <v/>
      </c>
      <c r="G77" s="33" t="str">
        <f aca="false">IF(N(E77)&gt;0,1/E77,"")</f>
        <v/>
      </c>
      <c r="H77" s="28"/>
      <c r="J77" s="28"/>
      <c r="K77" s="17"/>
    </row>
    <row r="78" customFormat="false" ht="15" hidden="false" customHeight="false" outlineLevel="0" collapsed="false">
      <c r="A78" s="28"/>
      <c r="B78" s="28"/>
      <c r="C78" s="17"/>
      <c r="D78" s="17"/>
      <c r="E78" s="28"/>
      <c r="F78" s="20" t="str">
        <f aca="false">IF(N(E78)=0,"",IF(ISNUMBER(C78),C78,IF(ISNUMBER(D78),D78/1.19,""))*E78)</f>
        <v/>
      </c>
      <c r="G78" s="33" t="str">
        <f aca="false">IF(N(E78)&gt;0,1/E78,"")</f>
        <v/>
      </c>
      <c r="H78" s="28"/>
      <c r="J78" s="28"/>
      <c r="K78" s="17"/>
    </row>
    <row r="79" customFormat="false" ht="15" hidden="false" customHeight="false" outlineLevel="0" collapsed="false">
      <c r="A79" s="28"/>
      <c r="B79" s="28"/>
      <c r="C79" s="17"/>
      <c r="D79" s="17"/>
      <c r="E79" s="28"/>
      <c r="F79" s="20" t="str">
        <f aca="false">IF(N(E79)=0,"",IF(ISNUMBER(C79),C79,IF(ISNUMBER(D79),D79/1.19,""))*E79)</f>
        <v/>
      </c>
      <c r="G79" s="33" t="str">
        <f aca="false">IF(N(E79)&gt;0,1/E79,"")</f>
        <v/>
      </c>
      <c r="H79" s="28"/>
      <c r="J79" s="28"/>
      <c r="K79" s="17"/>
    </row>
    <row r="80" customFormat="false" ht="15" hidden="false" customHeight="false" outlineLevel="0" collapsed="false">
      <c r="A80" s="28"/>
      <c r="B80" s="28"/>
      <c r="C80" s="17"/>
      <c r="D80" s="17"/>
      <c r="E80" s="28"/>
      <c r="F80" s="20" t="str">
        <f aca="false">IF(N(E80)=0,"",IF(ISNUMBER(C80),C80,IF(ISNUMBER(D80),D80/1.19,""))*E80)</f>
        <v/>
      </c>
      <c r="G80" s="33" t="str">
        <f aca="false">IF(N(E80)&gt;0,1/E80,"")</f>
        <v/>
      </c>
      <c r="H80" s="28"/>
      <c r="J80" s="28"/>
      <c r="K80" s="17"/>
    </row>
    <row r="81" customFormat="false" ht="15" hidden="false" customHeight="false" outlineLevel="0" collapsed="false">
      <c r="A81" s="28"/>
      <c r="B81" s="28"/>
      <c r="C81" s="17"/>
      <c r="D81" s="17"/>
      <c r="E81" s="28"/>
      <c r="F81" s="20" t="str">
        <f aca="false">IF(N(E81)=0,"",IF(ISNUMBER(C81),C81,IF(ISNUMBER(D81),D81/1.19,""))*E81)</f>
        <v/>
      </c>
      <c r="G81" s="33" t="str">
        <f aca="false">IF(N(E81)&gt;0,1/E81,"")</f>
        <v/>
      </c>
      <c r="H81" s="28"/>
      <c r="J81" s="28"/>
      <c r="K81" s="17"/>
    </row>
    <row r="82" customFormat="false" ht="15" hidden="false" customHeight="false" outlineLevel="0" collapsed="false">
      <c r="A82" s="28"/>
      <c r="B82" s="28"/>
      <c r="C82" s="17"/>
      <c r="D82" s="17"/>
      <c r="E82" s="28"/>
      <c r="F82" s="20" t="str">
        <f aca="false">IF(N(E82)=0,"",IF(ISNUMBER(C82),C82,IF(ISNUMBER(D82),D82/1.19,""))*E82)</f>
        <v/>
      </c>
      <c r="G82" s="33" t="str">
        <f aca="false">IF(N(E82)&gt;0,1/E82,"")</f>
        <v/>
      </c>
      <c r="H82" s="28"/>
      <c r="J82" s="28"/>
      <c r="K82" s="17"/>
    </row>
    <row r="83" customFormat="false" ht="15" hidden="false" customHeight="false" outlineLevel="0" collapsed="false">
      <c r="A83" s="28"/>
      <c r="B83" s="28"/>
      <c r="C83" s="17"/>
      <c r="D83" s="17"/>
      <c r="E83" s="28"/>
      <c r="F83" s="20" t="str">
        <f aca="false">IF(N(E83)=0,"",IF(ISNUMBER(C83),C83,IF(ISNUMBER(D83),D83/1.19,""))*E83)</f>
        <v/>
      </c>
      <c r="G83" s="33" t="str">
        <f aca="false">IF(N(E83)&gt;0,1/E83,"")</f>
        <v/>
      </c>
      <c r="H83" s="28"/>
      <c r="J83" s="28"/>
      <c r="K83" s="17"/>
    </row>
    <row r="84" customFormat="false" ht="15" hidden="false" customHeight="false" outlineLevel="0" collapsed="false">
      <c r="A84" s="28"/>
      <c r="B84" s="28"/>
      <c r="C84" s="17"/>
      <c r="D84" s="17"/>
      <c r="E84" s="28"/>
      <c r="F84" s="20" t="str">
        <f aca="false">IF(N(E84)=0,"",IF(ISNUMBER(C84),C84,IF(ISNUMBER(D84),D84/1.19,""))*E84)</f>
        <v/>
      </c>
      <c r="G84" s="33" t="str">
        <f aca="false">IF(N(E84)&gt;0,1/E84,"")</f>
        <v/>
      </c>
      <c r="H84" s="28"/>
      <c r="J84" s="28"/>
      <c r="K84" s="17"/>
    </row>
    <row r="85" customFormat="false" ht="15" hidden="false" customHeight="false" outlineLevel="0" collapsed="false">
      <c r="A85" s="28"/>
      <c r="B85" s="28"/>
      <c r="C85" s="17"/>
      <c r="D85" s="17"/>
      <c r="E85" s="28"/>
      <c r="F85" s="20" t="str">
        <f aca="false">IF(N(E85)=0,"",IF(ISNUMBER(C85),C85,IF(ISNUMBER(D85),D85/1.19,""))*E85)</f>
        <v/>
      </c>
      <c r="G85" s="33" t="str">
        <f aca="false">IF(N(E85)&gt;0,1/E85,"")</f>
        <v/>
      </c>
      <c r="H85" s="28"/>
    </row>
    <row r="86" customFormat="false" ht="15" hidden="false" customHeight="false" outlineLevel="0" collapsed="false">
      <c r="A86" s="28"/>
      <c r="B86" s="28"/>
      <c r="C86" s="17"/>
      <c r="D86" s="17"/>
      <c r="E86" s="28"/>
      <c r="F86" s="20" t="str">
        <f aca="false">IF(N(E86)=0,"",IF(ISNUMBER(C86),C86,IF(ISNUMBER(D86),D86/1.19,""))*E86)</f>
        <v/>
      </c>
      <c r="G86" s="33" t="str">
        <f aca="false">IF(N(E86)&gt;0,1/E86,"")</f>
        <v/>
      </c>
      <c r="H86" s="28"/>
    </row>
    <row r="87" customFormat="false" ht="15" hidden="false" customHeight="false" outlineLevel="0" collapsed="false">
      <c r="A87" s="28"/>
      <c r="B87" s="28"/>
      <c r="C87" s="17"/>
      <c r="D87" s="17"/>
      <c r="E87" s="28"/>
      <c r="F87" s="20" t="str">
        <f aca="false">IF(N(E87)=0,"",IF(ISNUMBER(C87),C87,IF(ISNUMBER(D87),D87/1.19,""))*E87)</f>
        <v/>
      </c>
      <c r="G87" s="33" t="str">
        <f aca="false">IF(N(E87)&gt;0,1/E87,"")</f>
        <v/>
      </c>
      <c r="H87" s="28"/>
    </row>
    <row r="88" customFormat="false" ht="15" hidden="false" customHeight="false" outlineLevel="0" collapsed="false">
      <c r="A88" s="28"/>
      <c r="B88" s="28"/>
      <c r="C88" s="17"/>
      <c r="D88" s="17"/>
      <c r="E88" s="28"/>
      <c r="F88" s="20" t="str">
        <f aca="false">IF(N(E88)=0,"",IF(ISNUMBER(C88),C88,IF(ISNUMBER(D88),D88/1.19,""))*E88)</f>
        <v/>
      </c>
      <c r="G88" s="33" t="str">
        <f aca="false">IF(N(E88)&gt;0,1/E88,"")</f>
        <v/>
      </c>
      <c r="H88" s="28"/>
    </row>
    <row r="89" customFormat="false" ht="15" hidden="false" customHeight="false" outlineLevel="0" collapsed="false">
      <c r="A89" s="28"/>
      <c r="B89" s="28"/>
      <c r="C89" s="17"/>
      <c r="D89" s="17"/>
      <c r="E89" s="28"/>
      <c r="F89" s="20" t="str">
        <f aca="false">IF(N(E89)=0,"",IF(ISNUMBER(C89),C89,IF(ISNUMBER(D89),D89/1.19,""))*E89)</f>
        <v/>
      </c>
      <c r="G89" s="33" t="str">
        <f aca="false">IF(N(E89)&gt;0,1/E89,"")</f>
        <v/>
      </c>
      <c r="H89" s="28"/>
    </row>
    <row r="90" customFormat="false" ht="15" hidden="false" customHeight="false" outlineLevel="0" collapsed="false">
      <c r="A90" s="28"/>
      <c r="B90" s="28"/>
      <c r="C90" s="17"/>
      <c r="D90" s="17"/>
      <c r="E90" s="28"/>
      <c r="F90" s="20" t="str">
        <f aca="false">IF(N(E90)=0,"",IF(ISNUMBER(C90),C90,IF(ISNUMBER(D90),D90/1.19,""))*E90)</f>
        <v/>
      </c>
      <c r="G90" s="33" t="str">
        <f aca="false">IF(N(E90)&gt;0,1/E90,"")</f>
        <v/>
      </c>
      <c r="H90" s="28"/>
    </row>
    <row r="91" customFormat="false" ht="15" hidden="false" customHeight="false" outlineLevel="0" collapsed="false">
      <c r="A91" s="28"/>
      <c r="B91" s="28"/>
      <c r="C91" s="17"/>
      <c r="D91" s="17"/>
      <c r="E91" s="28"/>
      <c r="F91" s="20" t="str">
        <f aca="false">IF(N(E91)=0,"",IF(ISNUMBER(C91),C91,IF(ISNUMBER(D91),D91/1.19,""))*E91)</f>
        <v/>
      </c>
      <c r="G91" s="33" t="str">
        <f aca="false">IF(N(E91)&gt;0,1/E91,"")</f>
        <v/>
      </c>
      <c r="H91" s="28"/>
    </row>
    <row r="92" customFormat="false" ht="15" hidden="false" customHeight="false" outlineLevel="0" collapsed="false">
      <c r="A92" s="28"/>
      <c r="B92" s="28"/>
      <c r="C92" s="17"/>
      <c r="D92" s="17"/>
      <c r="E92" s="28"/>
      <c r="F92" s="20" t="str">
        <f aca="false">IF(N(E92)=0,"",IF(ISNUMBER(C92),C92,IF(ISNUMBER(D92),D92/1.19,""))*E92)</f>
        <v/>
      </c>
      <c r="G92" s="33" t="str">
        <f aca="false">IF(N(E92)&gt;0,1/E92,"")</f>
        <v/>
      </c>
      <c r="H92" s="28"/>
    </row>
    <row r="93" customFormat="false" ht="15" hidden="false" customHeight="false" outlineLevel="0" collapsed="false">
      <c r="A93" s="28"/>
      <c r="B93" s="28"/>
      <c r="C93" s="17"/>
      <c r="D93" s="17"/>
      <c r="E93" s="28"/>
      <c r="F93" s="20" t="str">
        <f aca="false">IF(N(E93)=0,"",IF(ISNUMBER(C93),C93,IF(ISNUMBER(D93),D93/1.19,""))*E93)</f>
        <v/>
      </c>
      <c r="G93" s="33" t="str">
        <f aca="false">IF(N(E93)&gt;0,1/E93,"")</f>
        <v/>
      </c>
      <c r="H93" s="28"/>
    </row>
    <row r="94" customFormat="false" ht="15" hidden="false" customHeight="false" outlineLevel="0" collapsed="false">
      <c r="A94" s="28"/>
      <c r="B94" s="28"/>
      <c r="C94" s="17"/>
      <c r="D94" s="17"/>
      <c r="E94" s="28"/>
      <c r="F94" s="20" t="str">
        <f aca="false">IF(N(E94)=0,"",IF(ISNUMBER(C94),C94,IF(ISNUMBER(D94),D94/1.19,""))*E94)</f>
        <v/>
      </c>
      <c r="G94" s="33" t="str">
        <f aca="false">IF(N(E94)&gt;0,1/E94,"")</f>
        <v/>
      </c>
      <c r="H94" s="28"/>
    </row>
    <row r="95" customFormat="false" ht="15" hidden="false" customHeight="false" outlineLevel="0" collapsed="false">
      <c r="A95" s="28"/>
      <c r="B95" s="28"/>
      <c r="C95" s="17"/>
      <c r="D95" s="17"/>
      <c r="E95" s="28"/>
      <c r="F95" s="20" t="str">
        <f aca="false">IF(N(E95)=0,"",IF(ISNUMBER(C95),C95,IF(ISNUMBER(D95),D95/1.19,""))*E95)</f>
        <v/>
      </c>
      <c r="G95" s="33" t="str">
        <f aca="false">IF(N(E95)&gt;0,1/E95,"")</f>
        <v/>
      </c>
      <c r="H95" s="28"/>
    </row>
    <row r="96" customFormat="false" ht="15" hidden="false" customHeight="false" outlineLevel="0" collapsed="false">
      <c r="A96" s="28"/>
      <c r="B96" s="28"/>
      <c r="C96" s="17"/>
      <c r="D96" s="17"/>
      <c r="E96" s="28"/>
      <c r="F96" s="20" t="str">
        <f aca="false">IF(N(E96)=0,"",IF(ISNUMBER(C96),C96,IF(ISNUMBER(D96),D96/1.19,""))*E96)</f>
        <v/>
      </c>
      <c r="G96" s="33" t="str">
        <f aca="false">IF(N(E96)&gt;0,1/E96,"")</f>
        <v/>
      </c>
      <c r="H96" s="28"/>
    </row>
    <row r="97" customFormat="false" ht="15" hidden="false" customHeight="false" outlineLevel="0" collapsed="false">
      <c r="A97" s="28"/>
      <c r="B97" s="28"/>
      <c r="C97" s="17"/>
      <c r="D97" s="17"/>
      <c r="E97" s="28"/>
      <c r="F97" s="20" t="str">
        <f aca="false">IF(N(E97)=0,"",IF(ISNUMBER(C97),C97,IF(ISNUMBER(D97),D97/1.19,""))*E97)</f>
        <v/>
      </c>
      <c r="G97" s="33" t="str">
        <f aca="false">IF(N(E97)&gt;0,1/E97,"")</f>
        <v/>
      </c>
      <c r="H97" s="28"/>
    </row>
    <row r="98" customFormat="false" ht="15" hidden="false" customHeight="false" outlineLevel="0" collapsed="false">
      <c r="A98" s="28"/>
      <c r="B98" s="28"/>
      <c r="C98" s="17"/>
      <c r="D98" s="17"/>
      <c r="E98" s="28"/>
      <c r="F98" s="20" t="str">
        <f aca="false">IF(N(E98)=0,"",IF(ISNUMBER(C98),C98,IF(ISNUMBER(D98),D98/1.19,""))*E98)</f>
        <v/>
      </c>
      <c r="G98" s="33" t="str">
        <f aca="false">IF(N(E98)&gt;0,1/E98,"")</f>
        <v/>
      </c>
      <c r="H98" s="28"/>
    </row>
    <row r="99" customFormat="false" ht="15" hidden="false" customHeight="false" outlineLevel="0" collapsed="false">
      <c r="A99" s="28"/>
      <c r="B99" s="28"/>
      <c r="C99" s="17"/>
      <c r="D99" s="17"/>
      <c r="E99" s="28"/>
      <c r="F99" s="20" t="str">
        <f aca="false">IF(N(E99)=0,"",IF(ISNUMBER(C99),C99,IF(ISNUMBER(D99),D99/1.19,""))*E99)</f>
        <v/>
      </c>
      <c r="G99" s="33" t="str">
        <f aca="false">IF(N(E99)&gt;0,1/E99,"")</f>
        <v/>
      </c>
      <c r="H99" s="28"/>
    </row>
    <row r="100" customFormat="false" ht="15" hidden="false" customHeight="false" outlineLevel="0" collapsed="false">
      <c r="A100" s="28"/>
      <c r="B100" s="28"/>
      <c r="C100" s="17"/>
      <c r="D100" s="17"/>
      <c r="E100" s="28"/>
      <c r="F100" s="20" t="str">
        <f aca="false">IF(N(E100)=0,"",IF(ISNUMBER(C100),C100,IF(ISNUMBER(D100),D100/1.19,""))*E100)</f>
        <v/>
      </c>
      <c r="G100" s="33" t="str">
        <f aca="false">IF(N(E100)&gt;0,1/E100,"")</f>
        <v/>
      </c>
      <c r="H100" s="28"/>
    </row>
    <row r="101" customFormat="false" ht="15" hidden="false" customHeight="false" outlineLevel="0" collapsed="false">
      <c r="A101" s="28"/>
      <c r="B101" s="28"/>
      <c r="C101" s="17"/>
      <c r="D101" s="17"/>
      <c r="E101" s="28"/>
      <c r="F101" s="20" t="str">
        <f aca="false">IF(N(E101)=0,"",IF(ISNUMBER(C101),C101,IF(ISNUMBER(D101),D101/1.19,""))*E101)</f>
        <v/>
      </c>
      <c r="G101" s="33" t="str">
        <f aca="false">IF(N(E101)&gt;0,1/E101,"")</f>
        <v/>
      </c>
      <c r="H101" s="28"/>
    </row>
    <row r="102" customFormat="false" ht="15" hidden="false" customHeight="false" outlineLevel="0" collapsed="false">
      <c r="A102" s="28"/>
      <c r="B102" s="28"/>
      <c r="C102" s="17"/>
      <c r="D102" s="17"/>
      <c r="E102" s="28"/>
      <c r="F102" s="20" t="str">
        <f aca="false">IF(N(E102)=0,"",IF(ISNUMBER(C102),C102,IF(ISNUMBER(D102),D102/1.19,""))*E102)</f>
        <v/>
      </c>
      <c r="G102" s="33" t="str">
        <f aca="false">IF(N(E102)&gt;0,1/E102,"")</f>
        <v/>
      </c>
      <c r="H102" s="28"/>
    </row>
    <row r="103" customFormat="false" ht="15" hidden="false" customHeight="false" outlineLevel="0" collapsed="false">
      <c r="A103" s="28"/>
      <c r="B103" s="28"/>
      <c r="C103" s="17"/>
      <c r="D103" s="17"/>
      <c r="E103" s="28"/>
      <c r="F103" s="20" t="str">
        <f aca="false">IF(N(E103)=0,"",IF(ISNUMBER(C103),C103,IF(ISNUMBER(D103),D103/1.19,""))*E103)</f>
        <v/>
      </c>
      <c r="G103" s="33" t="str">
        <f aca="false">IF(N(E103)&gt;0,1/E103,"")</f>
        <v/>
      </c>
      <c r="H103" s="28"/>
    </row>
    <row r="104" customFormat="false" ht="15" hidden="false" customHeight="false" outlineLevel="0" collapsed="false">
      <c r="A104" s="28"/>
      <c r="B104" s="28"/>
      <c r="C104" s="17"/>
      <c r="D104" s="17"/>
      <c r="E104" s="28"/>
      <c r="F104" s="20" t="str">
        <f aca="false">IF(N(E104)=0,"",IF(ISNUMBER(C104),C104,IF(ISNUMBER(D104),D104/1.19,""))*E104)</f>
        <v/>
      </c>
      <c r="G104" s="33" t="str">
        <f aca="false">IF(N(E104)&gt;0,1/E104,"")</f>
        <v/>
      </c>
      <c r="H104" s="28"/>
    </row>
    <row r="105" customFormat="false" ht="15" hidden="false" customHeight="false" outlineLevel="0" collapsed="false">
      <c r="A105" s="28"/>
      <c r="B105" s="28"/>
      <c r="C105" s="17"/>
      <c r="D105" s="17"/>
      <c r="E105" s="28"/>
      <c r="F105" s="20" t="str">
        <f aca="false">IF(N(E105)=0,"",IF(ISNUMBER(C105),C105,IF(ISNUMBER(D105),D105/1.19,""))*E105)</f>
        <v/>
      </c>
      <c r="G105" s="33" t="str">
        <f aca="false">IF(N(E105)&gt;0,1/E105,"")</f>
        <v/>
      </c>
      <c r="H105" s="28"/>
    </row>
    <row r="106" customFormat="false" ht="15" hidden="false" customHeight="false" outlineLevel="0" collapsed="false">
      <c r="A106" s="28"/>
      <c r="B106" s="28"/>
      <c r="C106" s="17"/>
      <c r="D106" s="17"/>
      <c r="E106" s="28"/>
      <c r="F106" s="20" t="str">
        <f aca="false">IF(N(E106)=0,"",IF(ISNUMBER(C106),C106,IF(ISNUMBER(D106),D106/1.19,""))*E106)</f>
        <v/>
      </c>
      <c r="G106" s="33" t="str">
        <f aca="false">IF(N(E106)&gt;0,1/E106,"")</f>
        <v/>
      </c>
      <c r="H106" s="28"/>
    </row>
    <row r="107" customFormat="false" ht="15" hidden="false" customHeight="false" outlineLevel="0" collapsed="false">
      <c r="A107" s="28"/>
      <c r="B107" s="28"/>
      <c r="C107" s="17"/>
      <c r="D107" s="17"/>
      <c r="E107" s="28"/>
      <c r="F107" s="20" t="str">
        <f aca="false">IF(N(E107)=0,"",IF(ISNUMBER(C107),C107,IF(ISNUMBER(D107),D107/1.19,""))*E107)</f>
        <v/>
      </c>
      <c r="G107" s="33" t="str">
        <f aca="false">IF(N(E107)&gt;0,1/E107,"")</f>
        <v/>
      </c>
      <c r="H107" s="28"/>
    </row>
    <row r="108" customFormat="false" ht="15" hidden="false" customHeight="false" outlineLevel="0" collapsed="false">
      <c r="A108" s="28"/>
      <c r="B108" s="28"/>
      <c r="C108" s="17"/>
      <c r="D108" s="17"/>
      <c r="E108" s="28"/>
      <c r="F108" s="20" t="str">
        <f aca="false">IF(N(E108)=0,"",IF(ISNUMBER(C108),C108,IF(ISNUMBER(D108),D108/1.19,""))*E108)</f>
        <v/>
      </c>
      <c r="G108" s="33" t="str">
        <f aca="false">IF(N(E108)&gt;0,1/E108,"")</f>
        <v/>
      </c>
      <c r="H108" s="28"/>
    </row>
    <row r="109" customFormat="false" ht="15" hidden="false" customHeight="false" outlineLevel="0" collapsed="false">
      <c r="A109" s="28"/>
      <c r="B109" s="28"/>
      <c r="C109" s="17"/>
      <c r="D109" s="17"/>
      <c r="E109" s="28"/>
      <c r="F109" s="20" t="str">
        <f aca="false">IF(N(E109)=0,"",IF(ISNUMBER(C109),C109,IF(ISNUMBER(D109),D109/1.19,""))*E109)</f>
        <v/>
      </c>
      <c r="G109" s="33" t="str">
        <f aca="false">IF(N(E109)&gt;0,1/E109,"")</f>
        <v/>
      </c>
      <c r="H109" s="28"/>
    </row>
    <row r="110" customFormat="false" ht="15" hidden="false" customHeight="false" outlineLevel="0" collapsed="false">
      <c r="A110" s="28"/>
      <c r="B110" s="28"/>
      <c r="C110" s="17"/>
      <c r="D110" s="17"/>
      <c r="E110" s="28"/>
      <c r="F110" s="20" t="str">
        <f aca="false">IF(N(E110)=0,"",IF(ISNUMBER(C110),C110,IF(ISNUMBER(D110),D110/1.19,""))*E110)</f>
        <v/>
      </c>
      <c r="G110" s="33" t="str">
        <f aca="false">IF(N(E110)&gt;0,1/E110,"")</f>
        <v/>
      </c>
      <c r="H110" s="28"/>
    </row>
    <row r="111" customFormat="false" ht="15" hidden="false" customHeight="false" outlineLevel="0" collapsed="false">
      <c r="A111" s="28"/>
      <c r="B111" s="28"/>
      <c r="C111" s="17"/>
      <c r="D111" s="17"/>
      <c r="E111" s="28"/>
      <c r="F111" s="20" t="str">
        <f aca="false">IF(N(E111)=0,"",IF(ISNUMBER(C111),C111,IF(ISNUMBER(D111),D111/1.19,""))*E111)</f>
        <v/>
      </c>
      <c r="G111" s="33" t="str">
        <f aca="false">IF(N(E111)&gt;0,1/E111,"")</f>
        <v/>
      </c>
      <c r="H111" s="28"/>
    </row>
    <row r="112" customFormat="false" ht="15" hidden="false" customHeight="false" outlineLevel="0" collapsed="false">
      <c r="A112" s="28"/>
      <c r="B112" s="28"/>
      <c r="C112" s="17"/>
      <c r="D112" s="17"/>
      <c r="E112" s="28"/>
      <c r="F112" s="20" t="str">
        <f aca="false">IF(N(E112)=0,"",IF(ISNUMBER(C112),C112,IF(ISNUMBER(D112),D112/1.19,""))*E112)</f>
        <v/>
      </c>
      <c r="G112" s="33" t="str">
        <f aca="false">IF(N(E112)&gt;0,1/E112,"")</f>
        <v/>
      </c>
      <c r="H112" s="28"/>
    </row>
    <row r="113" customFormat="false" ht="15" hidden="false" customHeight="false" outlineLevel="0" collapsed="false">
      <c r="A113" s="28"/>
      <c r="B113" s="28"/>
      <c r="C113" s="17"/>
      <c r="D113" s="17"/>
      <c r="E113" s="28"/>
      <c r="F113" s="20" t="str">
        <f aca="false">IF(N(E113)=0,"",IF(ISNUMBER(C113),C113,IF(ISNUMBER(D113),D113/1.19,""))*E113)</f>
        <v/>
      </c>
      <c r="G113" s="33" t="str">
        <f aca="false">IF(N(E113)&gt;0,1/E113,"")</f>
        <v/>
      </c>
      <c r="H113" s="28"/>
    </row>
    <row r="114" customFormat="false" ht="15" hidden="false" customHeight="false" outlineLevel="0" collapsed="false">
      <c r="A114" s="28"/>
      <c r="B114" s="28"/>
      <c r="C114" s="17"/>
      <c r="D114" s="17"/>
      <c r="E114" s="28"/>
      <c r="F114" s="20" t="str">
        <f aca="false">IF(N(E114)=0,"",IF(ISNUMBER(C114),C114,IF(ISNUMBER(D114),D114/1.19,""))*E114)</f>
        <v/>
      </c>
      <c r="G114" s="33" t="str">
        <f aca="false">IF(N(E114)&gt;0,1/E114,"")</f>
        <v/>
      </c>
      <c r="H114" s="28"/>
    </row>
    <row r="115" customFormat="false" ht="15" hidden="false" customHeight="false" outlineLevel="0" collapsed="false">
      <c r="A115" s="28"/>
      <c r="B115" s="28"/>
      <c r="C115" s="17"/>
      <c r="D115" s="17"/>
      <c r="E115" s="28"/>
      <c r="F115" s="20" t="str">
        <f aca="false">IF(N(E115)=0,"",IF(ISNUMBER(C115),C115,IF(ISNUMBER(D115),D115/1.19,""))*E115)</f>
        <v/>
      </c>
      <c r="G115" s="33" t="str">
        <f aca="false">IF(N(E115)&gt;0,1/E115,"")</f>
        <v/>
      </c>
      <c r="H115" s="28"/>
    </row>
    <row r="116" customFormat="false" ht="15" hidden="false" customHeight="false" outlineLevel="0" collapsed="false">
      <c r="A116" s="28"/>
      <c r="B116" s="28"/>
      <c r="C116" s="17"/>
      <c r="D116" s="17"/>
      <c r="E116" s="28"/>
      <c r="F116" s="20" t="str">
        <f aca="false">IF(N(E116)=0,"",IF(ISNUMBER(C116),C116,IF(ISNUMBER(D116),D116/1.19,""))*E116)</f>
        <v/>
      </c>
      <c r="G116" s="33" t="str">
        <f aca="false">IF(N(E116)&gt;0,1/E116,"")</f>
        <v/>
      </c>
      <c r="H116" s="28"/>
    </row>
    <row r="117" customFormat="false" ht="15" hidden="false" customHeight="false" outlineLevel="0" collapsed="false">
      <c r="A117" s="28"/>
      <c r="B117" s="28"/>
      <c r="C117" s="17"/>
      <c r="D117" s="17"/>
      <c r="E117" s="28"/>
      <c r="F117" s="20" t="str">
        <f aca="false">IF(N(E117)=0,"",IF(ISNUMBER(C117),C117,IF(ISNUMBER(D117),D117/1.19,""))*E117)</f>
        <v/>
      </c>
      <c r="G117" s="33" t="str">
        <f aca="false">IF(N(E117)&gt;0,1/E117,"")</f>
        <v/>
      </c>
      <c r="H117" s="28"/>
    </row>
    <row r="118" customFormat="false" ht="15" hidden="false" customHeight="false" outlineLevel="0" collapsed="false">
      <c r="A118" s="28"/>
      <c r="B118" s="28"/>
      <c r="C118" s="17"/>
      <c r="D118" s="17"/>
      <c r="E118" s="28"/>
      <c r="F118" s="20" t="str">
        <f aca="false">IF(N(E118)=0,"",IF(ISNUMBER(C118),C118,IF(ISNUMBER(D118),D118/1.19,""))*E118)</f>
        <v/>
      </c>
      <c r="G118" s="33" t="str">
        <f aca="false">IF(N(E118)&gt;0,1/E118,"")</f>
        <v/>
      </c>
      <c r="H118" s="28"/>
    </row>
    <row r="119" customFormat="false" ht="15" hidden="false" customHeight="false" outlineLevel="0" collapsed="false">
      <c r="A119" s="28"/>
      <c r="B119" s="28"/>
      <c r="C119" s="17"/>
      <c r="D119" s="17"/>
      <c r="E119" s="28"/>
      <c r="F119" s="20" t="str">
        <f aca="false">IF(N(E119)=0,"",IF(ISNUMBER(C119),C119,IF(ISNUMBER(D119),D119/1.19,""))*E119)</f>
        <v/>
      </c>
      <c r="G119" s="33" t="str">
        <f aca="false">IF(N(E119)&gt;0,1/E119,"")</f>
        <v/>
      </c>
      <c r="H119" s="28"/>
    </row>
    <row r="120" customFormat="false" ht="15" hidden="false" customHeight="false" outlineLevel="0" collapsed="false">
      <c r="A120" s="28"/>
      <c r="B120" s="28"/>
      <c r="C120" s="17"/>
      <c r="D120" s="17"/>
      <c r="E120" s="28"/>
      <c r="F120" s="20" t="str">
        <f aca="false">IF(N(E120)=0,"",IF(ISNUMBER(C120),C120,IF(ISNUMBER(D120),D120/1.19,""))*E120)</f>
        <v/>
      </c>
      <c r="G120" s="33" t="str">
        <f aca="false">IF(N(E120)&gt;0,1/E120,"")</f>
        <v/>
      </c>
      <c r="H120" s="28"/>
    </row>
    <row r="121" customFormat="false" ht="15" hidden="false" customHeight="false" outlineLevel="0" collapsed="false">
      <c r="A121" s="28"/>
      <c r="B121" s="28"/>
      <c r="C121" s="17"/>
      <c r="D121" s="17"/>
      <c r="E121" s="28"/>
      <c r="F121" s="20" t="str">
        <f aca="false">IF(N(E121)=0,"",IF(ISNUMBER(C121),C121,IF(ISNUMBER(D121),D121/1.19,""))*E121)</f>
        <v/>
      </c>
      <c r="G121" s="33" t="str">
        <f aca="false">IF(N(E121)&gt;0,1/E121,"")</f>
        <v/>
      </c>
      <c r="H121" s="28"/>
    </row>
    <row r="122" customFormat="false" ht="15" hidden="false" customHeight="false" outlineLevel="0" collapsed="false">
      <c r="A122" s="28"/>
      <c r="B122" s="28"/>
      <c r="C122" s="17"/>
      <c r="D122" s="17"/>
      <c r="E122" s="28"/>
      <c r="F122" s="20" t="str">
        <f aca="false">IF(N(E122)=0,"",IF(ISNUMBER(C122),C122,IF(ISNUMBER(D122),D122/1.19,""))*E122)</f>
        <v/>
      </c>
      <c r="G122" s="33" t="str">
        <f aca="false">IF(N(E122)&gt;0,1/E122,"")</f>
        <v/>
      </c>
      <c r="H122" s="28"/>
    </row>
    <row r="123" customFormat="false" ht="15" hidden="false" customHeight="false" outlineLevel="0" collapsed="false">
      <c r="A123" s="28"/>
      <c r="B123" s="28"/>
      <c r="C123" s="17"/>
      <c r="D123" s="17"/>
      <c r="E123" s="28"/>
      <c r="F123" s="20" t="str">
        <f aca="false">IF(N(E123)=0,"",IF(ISNUMBER(C123),C123,IF(ISNUMBER(D123),D123/1.19,""))*E123)</f>
        <v/>
      </c>
      <c r="G123" s="33" t="str">
        <f aca="false">IF(N(E123)&gt;0,1/E123,"")</f>
        <v/>
      </c>
      <c r="H123" s="28"/>
    </row>
    <row r="124" customFormat="false" ht="15" hidden="false" customHeight="false" outlineLevel="0" collapsed="false">
      <c r="A124" s="28"/>
      <c r="B124" s="28"/>
      <c r="C124" s="17"/>
      <c r="D124" s="17"/>
      <c r="E124" s="28"/>
      <c r="F124" s="20" t="str">
        <f aca="false">IF(N(E124)=0,"",IF(ISNUMBER(C124),C124,IF(ISNUMBER(D124),D124/1.19,""))*E124)</f>
        <v/>
      </c>
      <c r="G124" s="33" t="str">
        <f aca="false">IF(N(E124)&gt;0,1/E124,"")</f>
        <v/>
      </c>
      <c r="H124" s="28"/>
    </row>
  </sheetData>
  <dataValidations count="1">
    <dataValidation allowBlank="true" errorStyle="stop" operator="between" showDropDown="false" showErrorMessage="false" showInputMessage="false" sqref="B5:B124" type="list">
      <formula1>"Nacional,Pro,Importada"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2026-10-13T11:50:11Z</dcterms:created>
  <dc:creator>openpyxl</dc:creator>
  <dc:description/>
  <dc:language>en-US</dc:language>
  <cp:lastModifiedBy/>
  <dcterms:modified xsi:type="dcterms:W3CDTF">2026-10-13T11:50:11Z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