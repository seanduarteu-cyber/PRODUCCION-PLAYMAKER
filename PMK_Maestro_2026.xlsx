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Maestro" sheetId="1" state="visible" r:id="rId3"/>
    <sheet name="Dashboard" sheetId="2" state="visible" r:id="rId4"/>
    <sheet name="Datos" sheetId="3" state="visible" r:id="rId5"/>
    <sheet name="Supuestos" sheetId="4" state="visible" r:id="rId6"/>
    <sheet name="Resumen_Motivos" sheetId="5" state="visible" r:id="rId7"/>
    <sheet name="Resumen_Mensua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<sst xmlns="http://schemas.openxmlformats.org/spreadsheetml/2006/main" count="2193" uniqueCount="802">
  <si>
    <t xml:space="preserve">PLAYMAKER — DATOS MAESTRO MENSUAL</t>
  </si>
  <si>
    <t xml:space="preserve">Ingresa aquí los indicadores de cada mes</t>
  </si>
  <si>
    <t xml:space="preserve">Azul = editable   |   Verde = calculado auto</t>
  </si>
  <si>
    <t xml:space="preserve">  1. PRODUCCIÓN — Control de Ploteo (ingresar mensualmente)</t>
  </si>
  <si>
    <t xml:space="preserve">Mes</t>
  </si>
  <si>
    <t xml:space="preserve">Mts Producción</t>
  </si>
  <si>
    <t xml:space="preserve">Mts Reproceso</t>
  </si>
  <si>
    <t xml:space="preserve">Mts Moldes/Muestra</t>
  </si>
  <si>
    <t xml:space="preserve">Mts Total</t>
  </si>
  <si>
    <t xml:space="preserve">% Reproc.
(auto)</t>
  </si>
  <si>
    <t xml:space="preserve">Base
(P+R)</t>
  </si>
  <si>
    <t xml:space="preserve">Meta %
Reproc.</t>
  </si>
  <si>
    <t xml:space="preserve">Mts solo
reimpresión</t>
  </si>
  <si>
    <t xml:space="preserve">Costo reproceso
(CLP)</t>
  </si>
  <si>
    <t xml:space="preserve">Mayo 2026</t>
  </si>
  <si>
    <t xml:space="preserve">Junio 2026</t>
  </si>
  <si>
    <t xml:space="preserve">Julio 2026</t>
  </si>
  <si>
    <t xml:space="preserve">Agosto 2026</t>
  </si>
  <si>
    <t xml:space="preserve">Septiembre 2026</t>
  </si>
  <si>
    <t xml:space="preserve">Octubre 2026</t>
  </si>
  <si>
    <t xml:space="preserve">Noviembre 2026</t>
  </si>
  <si>
    <t xml:space="preserve">Diciembre 2026</t>
  </si>
  <si>
    <t xml:space="preserve">TOTAL / PROMEDIO</t>
  </si>
  <si>
    <t xml:space="preserve">  2. DEFECTOS — Control WhatsApp PENDIENTES PMK (auto desde hoja Resumen_Mensual)</t>
  </si>
  <si>
    <t xml:space="preserve">Eventos
Defecto</t>
  </si>
  <si>
    <t xml:space="preserve">Prendas
Defect.</t>
  </si>
  <si>
    <t xml:space="preserve">Proyectos
únicos</t>
  </si>
  <si>
    <t xml:space="preserve">Costo
(por etapa)</t>
  </si>
  <si>
    <t xml:space="preserve">Motivo
Principal</t>
  </si>
  <si>
    <t xml:space="preserve">Eventos
Mot.Princ.</t>
  </si>
  <si>
    <t xml:space="preserve">% sobre
total ev.</t>
  </si>
  <si>
    <t xml:space="preserve">Mesa / Rollo</t>
  </si>
  <si>
    <t xml:space="preserve">Sublimación</t>
  </si>
  <si>
    <t xml:space="preserve">TOTAL / ACUMULADO</t>
  </si>
  <si>
    <t xml:space="preserve">  3. VENTAS MENSUALES Y KPIs FINANCIEROS (ingresar mensualmente)</t>
  </si>
  <si>
    <t xml:space="preserve">Venta Neta
(CLP)</t>
  </si>
  <si>
    <t xml:space="preserve">Costo
Reproceso</t>
  </si>
  <si>
    <t xml:space="preserve">% Pérdida
/Venta</t>
  </si>
  <si>
    <t xml:space="preserve">Costo si todo
fuera completo</t>
  </si>
  <si>
    <t xml:space="preserve">Costo
Total Reproc.</t>
  </si>
  <si>
    <t xml:space="preserve">% Costo
Total/Venta</t>
  </si>
  <si>
    <t xml:space="preserve">Meta %
Pérdida</t>
  </si>
  <si>
    <t xml:space="preserve">TOTAL PERÍODO</t>
  </si>
  <si>
    <t xml:space="preserve">  GUÍA DE USO MENSUAL</t>
  </si>
  <si>
    <t xml:space="preserve">SECCIÓN 1 — Ploteo</t>
  </si>
  <si>
    <t xml:space="preserve">Ingresa Mts Producción, Mts Reproceso, Mts Moldes/Muestra y Mts solo reimpresión (bloque "Costo de reproceso por etapa" del Dashboard del Control de Ploteo). El % y el costo se calculan solos.</t>
  </si>
  <si>
    <t xml:space="preserve">SECCIÓN 2 — Defectos</t>
  </si>
  <si>
    <t xml:space="preserve">Se actualiza sola desde el chat WA procesado. Solo confirma el Motivo Principal y sus eventos.</t>
  </si>
  <si>
    <t xml:space="preserve">SECCIÓN 3 — Ventas</t>
  </si>
  <si>
    <t xml:space="preserve">Ingresa la venta neta mensual (CLP). El % pérdida/venta y el costo total se calculan solos.</t>
  </si>
  <si>
    <t xml:space="preserve">COLORES</t>
  </si>
  <si>
    <t xml:space="preserve">Azul+amarillo = campo editable. Verde = calculado automático. NO editar celdas verdes.</t>
  </si>
  <si>
    <t xml:space="preserve">PROCESO MENSUAL</t>
  </si>
  <si>
    <t xml:space="preserve">1. Abre este Excel → 2. Ingresa datos del mes nuevo → 3. Sube el chat WA + este Excel a Claude → 4. Recibe la PPT actualizada.</t>
  </si>
  <si>
    <t xml:space="preserve">  KPIs DEL MES MÁS RECIENTE (último mes con datos)</t>
  </si>
  <si>
    <t xml:space="preserve">KPI</t>
  </si>
  <si>
    <t xml:space="preserve">VALOR</t>
  </si>
  <si>
    <t xml:space="preserve">META</t>
  </si>
  <si>
    <t xml:space="preserve">ESTADO</t>
  </si>
  <si>
    <t xml:space="preserve">FUENTE</t>
  </si>
  <si>
    <t xml:space="preserve">% Reproceso (último mes)</t>
  </si>
  <si>
    <t xml:space="preserve">≤8%</t>
  </si>
  <si>
    <t xml:space="preserve">Verde si &lt;8%, Naranja si 8-10%, Rojo si &gt;10%</t>
  </si>
  <si>
    <t xml:space="preserve">Datos_Maestro Sec.1</t>
  </si>
  <si>
    <t xml:space="preserve">Eventos defecto (acumulado)</t>
  </si>
  <si>
    <t xml:space="preserve">≤100/mes</t>
  </si>
  <si>
    <t xml:space="preserve">Tendencia a la baja</t>
  </si>
  <si>
    <t xml:space="preserve">Resumen_Mensual</t>
  </si>
  <si>
    <t xml:space="preserve">Costo estimado (acumulado)</t>
  </si>
  <si>
    <t xml:space="preserve">&lt;$500.000/mes</t>
  </si>
  <si>
    <t xml:space="preserve">CLP estimado</t>
  </si>
  <si>
    <t xml:space="preserve">% Pérdida sobre venta</t>
  </si>
  <si>
    <t xml:space="preserve">≤3%</t>
  </si>
  <si>
    <t xml:space="preserve">Verde si &lt;3%</t>
  </si>
  <si>
    <t xml:space="preserve">Datos_Maestro Sec.3</t>
  </si>
  <si>
    <t xml:space="preserve">Metros reproceso (acumulado)</t>
  </si>
  <si>
    <t xml:space="preserve">≤100m/mes</t>
  </si>
  <si>
    <t xml:space="preserve">Meta dic. 2026</t>
  </si>
  <si>
    <t xml:space="preserve">PLAYMAKER — Control de Defectos de Producción</t>
  </si>
  <si>
    <t xml:space="preserve">Dashboard resumen mensual</t>
  </si>
  <si>
    <t xml:space="preserve">Playmaker © 2026</t>
  </si>
  <si>
    <t xml:space="preserve">TOTAL EVENTOS</t>
  </si>
  <si>
    <t xml:space="preserve">PRENDAS AFECTADAS</t>
  </si>
  <si>
    <t xml:space="preserve">COSTO REPROCESO</t>
  </si>
  <si>
    <t xml:space="preserve">eventos registrados</t>
  </si>
  <si>
    <t xml:space="preserve">prendas</t>
  </si>
  <si>
    <t xml:space="preserve">  Resumen por Motivo de Defecto</t>
  </si>
  <si>
    <t xml:space="preserve">Motivo</t>
  </si>
  <si>
    <t xml:space="preserve">Eventos</t>
  </si>
  <si>
    <t xml:space="preserve">Prendas</t>
  </si>
  <si>
    <t xml:space="preserve">Costo aprox. (prendas)</t>
  </si>
  <si>
    <t xml:space="preserve">% Eventos</t>
  </si>
  <si>
    <t xml:space="preserve">TOTAL</t>
  </si>
  <si>
    <t xml:space="preserve">"100%"</t>
  </si>
  <si>
    <t xml:space="preserve">  Evolución Mensual</t>
  </si>
  <si>
    <t xml:space="preserve">Costo Est. (CLP)</t>
  </si>
  <si>
    <t xml:space="preserve">Proyectos únicos</t>
  </si>
  <si>
    <t xml:space="preserve">⚠  Nota: Los costos de reproceso se configuran en la hoja 'Supuestos'. Ingresa el costo CLP por prenda según motivo para activar los totales.</t>
  </si>
  <si>
    <t xml:space="preserve">   Los campos en azul en la hoja 'Datos' (columna G) y los amarillos en 'Supuestos' son editables. Todo se recalcula automáticamente.</t>
  </si>
  <si>
    <t xml:space="preserve">  Evolución Mensual — Gráfico</t>
  </si>
  <si>
    <t xml:space="preserve">Fecha</t>
  </si>
  <si>
    <t xml:space="preserve">Proyecto</t>
  </si>
  <si>
    <t xml:space="preserve">Referencia</t>
  </si>
  <si>
    <t xml:space="preserve">Detalle Prendas</t>
  </si>
  <si>
    <t xml:space="preserve">Prendas
Defectuosas</t>
  </si>
  <si>
    <t xml:space="preserve">Costo Estimado
(CLP)</t>
  </si>
  <si>
    <t xml:space="preserve">Reportado por</t>
  </si>
  <si>
    <t xml:space="preserve">Etapa detectada</t>
  </si>
  <si>
    <t xml:space="preserve">19/05/26</t>
  </si>
  <si>
    <t xml:space="preserve">CSI "4 Equipos"</t>
  </si>
  <si>
    <t xml:space="preserve">575</t>
  </si>
  <si>
    <t xml:space="preserve">Espalda talla L arquero. Sin número en espalda.</t>
  </si>
  <si>
    <t xml:space="preserve">Mesa / Ploteo</t>
  </si>
  <si>
    <t xml:space="preserve">Yuli M.</t>
  </si>
  <si>
    <t xml:space="preserve">Después de sublimar</t>
  </si>
  <si>
    <t xml:space="preserve">20/05/26</t>
  </si>
  <si>
    <t xml:space="preserve">Sportwear FC</t>
  </si>
  <si>
    <t xml:space="preserve">668</t>
  </si>
  <si>
    <t xml:space="preserve">Camiseta XL corta N°1+9 (Cesar King) / Short XL N°1+9</t>
  </si>
  <si>
    <t xml:space="preserve">Cambio ficha</t>
  </si>
  <si>
    <t xml:space="preserve">Cristina R.</t>
  </si>
  <si>
    <t xml:space="preserve">Los Compadres</t>
  </si>
  <si>
    <t xml:space="preserve">220</t>
  </si>
  <si>
    <t xml:space="preserve">2 completas talla L #80 ambas</t>
  </si>
  <si>
    <t xml:space="preserve">Faltó impresión</t>
  </si>
  <si>
    <t xml:space="preserve">Sebas PMK</t>
  </si>
  <si>
    <t xml:space="preserve">Antes de sublimar</t>
  </si>
  <si>
    <t xml:space="preserve">22/05/26</t>
  </si>
  <si>
    <t xml:space="preserve">Short TL — 1 trasero izq / 1 frente derecho</t>
  </si>
  <si>
    <t xml:space="preserve">CSI 4 Equipos</t>
  </si>
  <si>
    <t xml:space="preserve">Short TS completo N°8 (4to equipo, talla L)</t>
  </si>
  <si>
    <t xml:space="preserve">25/05/26</t>
  </si>
  <si>
    <t xml:space="preserve">Stade Preventa 5</t>
  </si>
  <si>
    <t xml:space="preserve">1333</t>
  </si>
  <si>
    <t xml:space="preserve">1 completa talla L</t>
  </si>
  <si>
    <t xml:space="preserve">No venía en rollo</t>
  </si>
  <si>
    <t xml:space="preserve">Evolution Training</t>
  </si>
  <si>
    <t xml:space="preserve">322</t>
  </si>
  <si>
    <t xml:space="preserve">2 completas talla XL/F</t>
  </si>
  <si>
    <t xml:space="preserve">Colegio La Cruz Docentes</t>
  </si>
  <si>
    <t xml:space="preserve">496</t>
  </si>
  <si>
    <t xml:space="preserve">1 DEL L PMK</t>
  </si>
  <si>
    <t xml:space="preserve">Pieza para dos patas y 4 bolsillos (ambas tallas)</t>
  </si>
  <si>
    <t xml:space="preserve">26/05/26</t>
  </si>
  <si>
    <t xml:space="preserve">Colegio San Francisco FEM</t>
  </si>
  <si>
    <t xml:space="preserve">591</t>
  </si>
  <si>
    <t xml:space="preserve">Paño burdeo para cuellos V</t>
  </si>
  <si>
    <t xml:space="preserve">Corte</t>
  </si>
  <si>
    <t xml:space="preserve">Colegio La Cruz Local</t>
  </si>
  <si>
    <t xml:space="preserve">Frente L (M. Training)</t>
  </si>
  <si>
    <t xml:space="preserve">Confección</t>
  </si>
  <si>
    <t xml:space="preserve">1 DEL L PMK — no salió en pendientes</t>
  </si>
  <si>
    <t xml:space="preserve">Concha Suprema</t>
  </si>
  <si>
    <t xml:space="preserve">850</t>
  </si>
  <si>
    <t xml:space="preserve">1 par de mangas masculinas</t>
  </si>
  <si>
    <t xml:space="preserve">27/05/26</t>
  </si>
  <si>
    <t xml:space="preserve">Vosterh Voley</t>
  </si>
  <si>
    <t xml:space="preserve">767</t>
  </si>
  <si>
    <t xml:space="preserve">TM XL Rugby Fem: 12 costados/6 frentes/2 espaldas/2 pares mangas. TXL 3XL: 3 camisetas completas</t>
  </si>
  <si>
    <t xml:space="preserve">Mesa / Sublimación</t>
  </si>
  <si>
    <t xml:space="preserve">Preventa Stade</t>
  </si>
  <si>
    <t xml:space="preserve">Polerones infantiles faltaron impresión. Cuellos XXL con otro azul</t>
  </si>
  <si>
    <t xml:space="preserve">Mesa / Diseño</t>
  </si>
  <si>
    <t xml:space="preserve">28/05/26</t>
  </si>
  <si>
    <t xml:space="preserve">Gerencia Sulfuros</t>
  </si>
  <si>
    <t xml:space="preserve">—</t>
  </si>
  <si>
    <t xml:space="preserve">4 pares de mangas (quedaron en rollo)</t>
  </si>
  <si>
    <t xml:space="preserve">TEI (corta vientos)</t>
  </si>
  <si>
    <t xml:space="preserve">Bebederos tallas adultas, solo venían femeninos</t>
  </si>
  <si>
    <t xml:space="preserve">Colegio Gerónimo</t>
  </si>
  <si>
    <t xml:space="preserve">1092</t>
  </si>
  <si>
    <t xml:space="preserve">Par de mangas S</t>
  </si>
  <si>
    <t xml:space="preserve">Pendiente sub.</t>
  </si>
  <si>
    <t xml:space="preserve">TM completa N°3. TL manga larga completa</t>
  </si>
  <si>
    <t xml:space="preserve">Confección / Mesa</t>
  </si>
  <si>
    <t xml:space="preserve">Colegio La Cruz</t>
  </si>
  <si>
    <t xml:space="preserve">Pantalón pitillo 1-M / 1-L</t>
  </si>
  <si>
    <t xml:space="preserve">29/05/26</t>
  </si>
  <si>
    <t xml:space="preserve">Old Green</t>
  </si>
  <si>
    <t xml:space="preserve">514</t>
  </si>
  <si>
    <t xml:space="preserve">1 espalda XL #104 (número muy grande)</t>
  </si>
  <si>
    <t xml:space="preserve">Diseño</t>
  </si>
  <si>
    <t xml:space="preserve">2 pares de costados XL</t>
  </si>
  <si>
    <t xml:space="preserve">TEI Docentes</t>
  </si>
  <si>
    <t xml:space="preserve">764</t>
  </si>
  <si>
    <t xml:space="preserve">M FEM: 1 lateral/1 manga izq. L: 1 manga izq (rugby)</t>
  </si>
  <si>
    <t xml:space="preserve">01/06/26</t>
  </si>
  <si>
    <t xml:space="preserve">Old Eagle</t>
  </si>
  <si>
    <t xml:space="preserve">S/R</t>
  </si>
  <si>
    <t xml:space="preserve">Camisetas hockey: completa 16 N°14 / S: N°36,N°77 / L: N°2</t>
  </si>
  <si>
    <t xml:space="preserve">Old Green Infantil</t>
  </si>
  <si>
    <t xml:space="preserve">1 DEL T-8 / par costados T-8 / par costados T-10</t>
  </si>
  <si>
    <t xml:space="preserve">01-06-26</t>
  </si>
  <si>
    <t xml:space="preserve">OLD EAGLE</t>
  </si>
  <si>
    <t xml:space="preserve">Camisetas hockey: completa T16 N°14 / completas S: N°36,N°77 / completa L: N°2</t>
  </si>
  <si>
    <t xml:space="preserve">Cristina</t>
  </si>
  <si>
    <t xml:space="preserve">29-05-26</t>
  </si>
  <si>
    <t xml:space="preserve">OLD GREEN INFANTIL</t>
  </si>
  <si>
    <t xml:space="preserve">1 Del T8 / par costados T8 / par costados T10</t>
  </si>
  <si>
    <t xml:space="preserve">Sebas</t>
  </si>
  <si>
    <t xml:space="preserve">02-06-26</t>
  </si>
  <si>
    <t xml:space="preserve">Corre con Felipe</t>
  </si>
  <si>
    <t xml:space="preserve">1228</t>
  </si>
  <si>
    <t xml:space="preserve">2 Esp L / 2 Esp XL / 1 Esp S / 2 Esp M (7 espaldas)</t>
  </si>
  <si>
    <t xml:space="preserve">Mesa / Papel</t>
  </si>
  <si>
    <t xml:space="preserve">Kinball</t>
  </si>
  <si>
    <t xml:space="preserve">637</t>
  </si>
  <si>
    <t xml:space="preserve">2 pares mangas M / 4 delanteros XL / 1 par mangas XL / 1 espalda M #22 / 1 espalda XL #5</t>
  </si>
  <si>
    <t xml:space="preserve">04-06-26</t>
  </si>
  <si>
    <t xml:space="preserve">TEI PREVENTA</t>
  </si>
  <si>
    <t xml:space="preserve">1313</t>
  </si>
  <si>
    <t xml:space="preserve">Paño 60cm Londres para costados de basket</t>
  </si>
  <si>
    <t xml:space="preserve">Yuli</t>
  </si>
  <si>
    <t xml:space="preserve">FUNDACION CLUBES</t>
  </si>
  <si>
    <t xml:space="preserve">1214</t>
  </si>
  <si>
    <t xml:space="preserve">Talla XXL completa (#20 #21) / Frente talla L (#15)</t>
  </si>
  <si>
    <t xml:space="preserve">Mesa (talla incorrecta)</t>
  </si>
  <si>
    <t xml:space="preserve">03-06-26</t>
  </si>
  <si>
    <t xml:space="preserve">OLD GREEN</t>
  </si>
  <si>
    <t xml:space="preserve">1 frente S / 1 espalda N°24 y manga izq talla M / varias piezas adulto</t>
  </si>
  <si>
    <t xml:space="preserve">1 frente talla 8 / 2 laterales talla 8 / 1 lateral talla 10 (infantil)</t>
  </si>
  <si>
    <t xml:space="preserve">TOROS DE QUILLOTA</t>
  </si>
  <si>
    <t xml:space="preserve">458/459</t>
  </si>
  <si>
    <t xml:space="preserve">Todos los cuellos en todas las tallas</t>
  </si>
  <si>
    <t xml:space="preserve">Mesa (texto girado en cuello)</t>
  </si>
  <si>
    <t xml:space="preserve">LOS COMPADRES</t>
  </si>
  <si>
    <t xml:space="preserve">Paño para cuello y puño 2 camisetas — pendiente taller</t>
  </si>
  <si>
    <t xml:space="preserve">FARANDULEROS</t>
  </si>
  <si>
    <t xml:space="preserve">1162</t>
  </si>
  <si>
    <t xml:space="preserve">Paño cuello 3.5cm — 14 camisetas no venía en mesa</t>
  </si>
  <si>
    <t xml:space="preserve">COLEGIO LA CRUZ</t>
  </si>
  <si>
    <t xml:space="preserve">Delantero pitillo TM mal sublimado</t>
  </si>
  <si>
    <t xml:space="preserve">05-06-26</t>
  </si>
  <si>
    <t xml:space="preserve">VIKINGOS</t>
  </si>
  <si>
    <t xml:space="preserve">1193</t>
  </si>
  <si>
    <t xml:space="preserve">Mangas largas (todas las tallas)</t>
  </si>
  <si>
    <t xml:space="preserve">Mesa / Diseño (molde incorrecto)</t>
  </si>
  <si>
    <t xml:space="preserve">CORP. EDUC. SAN AGUSTIN MELIPILLA</t>
  </si>
  <si>
    <t xml:space="preserve">952</t>
  </si>
  <si>
    <t xml:space="preserve">Paño completo sin modo espejo</t>
  </si>
  <si>
    <t xml:space="preserve">871</t>
  </si>
  <si>
    <t xml:space="preserve">Frente XXL #21</t>
  </si>
  <si>
    <t xml:space="preserve">08-06-26</t>
  </si>
  <si>
    <t xml:space="preserve">458</t>
  </si>
  <si>
    <t xml:space="preserve">1 Espalda L #19 / 2 Espaldas M #11,16 / 1 Espalda XXL #17</t>
  </si>
  <si>
    <t xml:space="preserve">549</t>
  </si>
  <si>
    <t xml:space="preserve">1 Delantero L / 1 Espalda L #4 / 2 Espaldas M / 1 Espalda XXL #5</t>
  </si>
  <si>
    <t xml:space="preserve">Puño morado para 5 camisetas</t>
  </si>
  <si>
    <t xml:space="preserve">TEI DOCENTES</t>
  </si>
  <si>
    <t xml:space="preserve">Cortaviento: par bebedero TL</t>
  </si>
  <si>
    <t xml:space="preserve">09-06-26</t>
  </si>
  <si>
    <t xml:space="preserve">BARRABASES</t>
  </si>
  <si>
    <t xml:space="preserve">1279</t>
  </si>
  <si>
    <t xml:space="preserve">Camisetas L: 2 frentes / 1 manga sponsor RH</t>
  </si>
  <si>
    <t xml:space="preserve">KINBALL TEMUCO</t>
  </si>
  <si>
    <t xml:space="preserve">Paño para puño — faltó para 9 camisetas</t>
  </si>
  <si>
    <t xml:space="preserve">XXL: 1 delantero+1 costado / XXLfem: 2 delanteros+2 pares mangas / XLfem,Lfem,Sfem: 1 del c/u</t>
  </si>
  <si>
    <t xml:space="preserve">XXL 1 espalda #15</t>
  </si>
  <si>
    <t xml:space="preserve">Bebedero y puños — piezas diferentes al molde</t>
  </si>
  <si>
    <t xml:space="preserve">Cortaviento frente L: 1 frente PMK</t>
  </si>
  <si>
    <t xml:space="preserve">10-06-26</t>
  </si>
  <si>
    <t xml:space="preserve">Club Dep. Francisco Zepeda</t>
  </si>
  <si>
    <t xml:space="preserve">808</t>
  </si>
  <si>
    <t xml:space="preserve">Completa arquero talla L</t>
  </si>
  <si>
    <t xml:space="preserve">Shullo</t>
  </si>
  <si>
    <t xml:space="preserve">897</t>
  </si>
  <si>
    <t xml:space="preserve">1 Delantero talla M</t>
  </si>
  <si>
    <t xml:space="preserve">XXL/Masc: 1 delantero / XXLfem: 2 delanteros+2 pares mangas</t>
  </si>
  <si>
    <t xml:space="preserve">12-06-26</t>
  </si>
  <si>
    <t xml:space="preserve">Camiseta hockey completa talla 16</t>
  </si>
  <si>
    <t xml:space="preserve">HIMALAYA</t>
  </si>
  <si>
    <t xml:space="preserve">1278</t>
  </si>
  <si>
    <t xml:space="preserve">Camiseta salida — pieza con falla</t>
  </si>
  <si>
    <t xml:space="preserve">WVG UCHILE / SHULLO</t>
  </si>
  <si>
    <t xml:space="preserve">344/897</t>
  </si>
  <si>
    <t xml:space="preserve">Camiseta fútbol — faltó puño en mesa</t>
  </si>
  <si>
    <t xml:space="preserve">XPERTO</t>
  </si>
  <si>
    <t xml:space="preserve">1495</t>
  </si>
  <si>
    <t xml:space="preserve">Prendas con problema de sublimación</t>
  </si>
  <si>
    <t xml:space="preserve">15-06-26</t>
  </si>
  <si>
    <t xml:space="preserve">Prendas pendientes confección</t>
  </si>
  <si>
    <t xml:space="preserve">KINBALL</t>
  </si>
  <si>
    <t xml:space="preserve">Camiseta fútbol — faltó puño en mesa / frente no venía de taller</t>
  </si>
  <si>
    <t xml:space="preserve">16-06-26</t>
  </si>
  <si>
    <t xml:space="preserve">CD SANTA ROSA DE LLAY LLAY</t>
  </si>
  <si>
    <t xml:space="preserve">936</t>
  </si>
  <si>
    <t xml:space="preserve">Camiseta fútbol — no venía de taller</t>
  </si>
  <si>
    <t xml:space="preserve">Camiseta rugby lycra — no iba para confección</t>
  </si>
  <si>
    <t xml:space="preserve">COLEGIO TERRAMAR</t>
  </si>
  <si>
    <t xml:space="preserve">1398</t>
  </si>
  <si>
    <t xml:space="preserve">Puño/cuello — cortado como cuello 3.5cm en vez de 5cm</t>
  </si>
  <si>
    <t xml:space="preserve">18-06-26</t>
  </si>
  <si>
    <t xml:space="preserve">CAROZZI - GOLAZO</t>
  </si>
  <si>
    <t xml:space="preserve">1217</t>
  </si>
  <si>
    <t xml:space="preserve">Todos los frentes y espaldas — plotter sucio</t>
  </si>
  <si>
    <t xml:space="preserve">CATRICO F.C.</t>
  </si>
  <si>
    <t xml:space="preserve">1330</t>
  </si>
  <si>
    <t xml:space="preserve">Delanteros T-10, T-16 — plotter sucio</t>
  </si>
  <si>
    <t xml:space="preserve">BIAUT</t>
  </si>
  <si>
    <t xml:space="preserve">1 manga XXL — plotter sucio</t>
  </si>
  <si>
    <t xml:space="preserve">FUNDACIÓN CLUBES</t>
  </si>
  <si>
    <t xml:space="preserve">Delantero talla 16 arquero — tela con puntitos</t>
  </si>
  <si>
    <t xml:space="preserve">MAIPUZZI</t>
  </si>
  <si>
    <t xml:space="preserve">1543</t>
  </si>
  <si>
    <t xml:space="preserve">1 manga M/F — se pegó en el papel</t>
  </si>
  <si>
    <t xml:space="preserve">PV 8 BOSTON</t>
  </si>
  <si>
    <t xml:space="preserve">1687</t>
  </si>
  <si>
    <t xml:space="preserve">Prendas mal sublimadas</t>
  </si>
  <si>
    <t xml:space="preserve">Mesa incorrecta</t>
  </si>
  <si>
    <t xml:space="preserve">22-06-26</t>
  </si>
  <si>
    <t xml:space="preserve">ACTIVISTAS</t>
  </si>
  <si>
    <t xml:space="preserve">Short reversible — mal sublimado</t>
  </si>
  <si>
    <t xml:space="preserve">23-06-26</t>
  </si>
  <si>
    <t xml:space="preserve">BRESLER GOLAZO</t>
  </si>
  <si>
    <t xml:space="preserve">Prendas no salieron de sublimación</t>
  </si>
  <si>
    <t xml:space="preserve">24-06-26</t>
  </si>
  <si>
    <t xml:space="preserve">NOMADES</t>
  </si>
  <si>
    <t xml:space="preserve">Prenda mal cortada o impresión con otro molde</t>
  </si>
  <si>
    <t xml:space="preserve">FUNDACIÓN FUTBOL MÁS - POLERON</t>
  </si>
  <si>
    <t xml:space="preserve">Polerones — mala sublimación</t>
  </si>
  <si>
    <t xml:space="preserve">FUNDACIÓN FUTBOL MÁS - SHORT</t>
  </si>
  <si>
    <t xml:space="preserve">Shorts — se quedaron en el rollo por estática</t>
  </si>
  <si>
    <t xml:space="preserve">FUNDACIÓN FUTBOL MÁS - DT</t>
  </si>
  <si>
    <t xml:space="preserve">Prendas DT — mala sublimación</t>
  </si>
  <si>
    <t xml:space="preserve">25-06-26</t>
  </si>
  <si>
    <t xml:space="preserve">PUC</t>
  </si>
  <si>
    <t xml:space="preserve">Prendas — mala sublimación</t>
  </si>
  <si>
    <t xml:space="preserve">CD MIRAFLORES DE PAPUDO</t>
  </si>
  <si>
    <t xml:space="preserve">1664</t>
  </si>
  <si>
    <t xml:space="preserve">Prendas — se pasó la impresión</t>
  </si>
  <si>
    <t xml:space="preserve">Prendas — impresión con pintitas (tinta)</t>
  </si>
  <si>
    <t xml:space="preserve">30-06-26</t>
  </si>
  <si>
    <t xml:space="preserve">Prendas — problema planchado confección</t>
  </si>
  <si>
    <t xml:space="preserve">01-07-26</t>
  </si>
  <si>
    <t xml:space="preserve">S/I</t>
  </si>
  <si>
    <t xml:space="preserve">1532/1379</t>
  </si>
  <si>
    <t xml:space="preserve">Prendas — taller cortó mal</t>
  </si>
  <si>
    <t xml:space="preserve">192</t>
  </si>
  <si>
    <t xml:space="preserve">Camisetas blancas — mancha de plotter</t>
  </si>
  <si>
    <t xml:space="preserve">1511</t>
  </si>
  <si>
    <t xml:space="preserve">Short arquero naranja — mancha de plotter</t>
  </si>
  <si>
    <t xml:space="preserve">Poleras negras — problema con el negro (resuelto)</t>
  </si>
  <si>
    <t xml:space="preserve">Prendas — error de mesa</t>
  </si>
  <si>
    <t xml:space="preserve">Prendas — estrías en sublimación</t>
  </si>
  <si>
    <t xml:space="preserve">EVOLUTION TRAINNING</t>
  </si>
  <si>
    <t xml:space="preserve">Prendas — papel entró mal</t>
  </si>
  <si>
    <t xml:space="preserve">03-07-26</t>
  </si>
  <si>
    <t xml:space="preserve">CLUB MANQUEHUE</t>
  </si>
  <si>
    <t xml:space="preserve">Reimpresión DTF — costo total área producción</t>
  </si>
  <si>
    <t xml:space="preserve">Reimpresión DTF</t>
  </si>
  <si>
    <t xml:space="preserve">1 Delantero XXL Rojo #18 / 1 Manga Con diseño roja M</t>
  </si>
  <si>
    <t xml:space="preserve">Mesa</t>
  </si>
  <si>
    <t xml:space="preserve">1 Delantero M rojo #1</t>
  </si>
  <si>
    <t xml:space="preserve">1 Del M/F — papel había entrado mal</t>
  </si>
  <si>
    <t xml:space="preserve">357 BRAND</t>
  </si>
  <si>
    <t xml:space="preserve">1379/1572</t>
  </si>
  <si>
    <t xml:space="preserve">Cuellos todas las tallas — error de confección por falta de muestra</t>
  </si>
  <si>
    <t xml:space="preserve">CONDORES AMPUTADOS</t>
  </si>
  <si>
    <t xml:space="preserve">1425</t>
  </si>
  <si>
    <t xml:space="preserve">Short arquero Dis1 — paño amarillo XL</t>
  </si>
  <si>
    <t xml:space="preserve">CORRE CON FELIPE ARANDA</t>
  </si>
  <si>
    <t xml:space="preserve">1416</t>
  </si>
  <si>
    <t xml:space="preserve">Camisetas sin mangas: 1 talla S / 2 talla Sfem</t>
  </si>
  <si>
    <t xml:space="preserve">ATLETICO BARRANCAS</t>
  </si>
  <si>
    <t xml:space="preserve">1732</t>
  </si>
  <si>
    <t xml:space="preserve">Delanteros masc: 1 frente M / 2 frentes L / 1 frente XL — cortados como cuello V</t>
  </si>
  <si>
    <t xml:space="preserve">NOMADES RC</t>
  </si>
  <si>
    <t xml:space="preserve">1123</t>
  </si>
  <si>
    <t xml:space="preserve">2 cuellos XXL — no venían en mesa</t>
  </si>
  <si>
    <t xml:space="preserve">COLEGIO ADVENTISTA VILLARRICA VOLEY</t>
  </si>
  <si>
    <t xml:space="preserve">1490</t>
  </si>
  <si>
    <t xml:space="preserve">Par de mangas largas masc — se imprimió como femenina</t>
  </si>
  <si>
    <t xml:space="preserve">ACADEMIA FUT TRAINING</t>
  </si>
  <si>
    <t xml:space="preserve">Mangas largas arquero — no estaba el corte</t>
  </si>
  <si>
    <t xml:space="preserve">CD ALIANZA CORONEL</t>
  </si>
  <si>
    <t xml:space="preserve">1480</t>
  </si>
  <si>
    <t xml:space="preserve">Cuello para 6 camisetas — mala sublimación</t>
  </si>
  <si>
    <t xml:space="preserve">PUC VOLEY</t>
  </si>
  <si>
    <t xml:space="preserve">1272</t>
  </si>
  <si>
    <t xml:space="preserve">Azules: 2 Del L / Blancas: 6 Del L / Rojas: 3 Del L — pintitas en impresión</t>
  </si>
  <si>
    <t xml:space="preserve">06-07-26</t>
  </si>
  <si>
    <t xml:space="preserve">FUND. FUT MAS</t>
  </si>
  <si>
    <t xml:space="preserve">748</t>
  </si>
  <si>
    <t xml:space="preserve">Camiseta salida — 1 frente L rojo</t>
  </si>
  <si>
    <t xml:space="preserve">DIEGO PORTALES</t>
  </si>
  <si>
    <t xml:space="preserve">1 manga M (bandera) — problema con el papel</t>
  </si>
  <si>
    <t xml:space="preserve">STADE FRANCAIS PREVENTA</t>
  </si>
  <si>
    <t xml:space="preserve">1754</t>
  </si>
  <si>
    <t xml:space="preserve">Camiseta blanca L — 1 manga</t>
  </si>
  <si>
    <t xml:space="preserve">UNIVERSIDAD DE LA FRONTERA</t>
  </si>
  <si>
    <t xml:space="preserve">630</t>
  </si>
  <si>
    <t xml:space="preserve">1 delantero talla M — sublimación</t>
  </si>
  <si>
    <t xml:space="preserve">STADE PREVENTA UNICA CONMEMORATIVA</t>
  </si>
  <si>
    <t xml:space="preserve">1887</t>
  </si>
  <si>
    <t xml:space="preserve">26 espaldas — error de mesa</t>
  </si>
  <si>
    <t xml:space="preserve">07-07-26</t>
  </si>
  <si>
    <t xml:space="preserve">ADVENTISTA VILLARRICA VOLEY</t>
  </si>
  <si>
    <t xml:space="preserve">Paño cuellos — faltó cuello 5cm para todas las camisetas</t>
  </si>
  <si>
    <t xml:space="preserve">COLEGIO ADVENTISTA VILLARRICA BASKET</t>
  </si>
  <si>
    <t xml:space="preserve">Camisetas basket — cortadas en molde antiguo</t>
  </si>
  <si>
    <t xml:space="preserve">SANTA ANA DE MELIPILLA</t>
  </si>
  <si>
    <t xml:space="preserve">1494</t>
  </si>
  <si>
    <t xml:space="preserve">Camiseta completa TL N°10 guindao — ficha ingresada como fem era masc</t>
  </si>
  <si>
    <t xml:space="preserve">08-07-26</t>
  </si>
  <si>
    <t xml:space="preserve">KINERUNNERS</t>
  </si>
  <si>
    <t xml:space="preserve">842</t>
  </si>
  <si>
    <t xml:space="preserve">Del M fem / Del L / Manga M sin sponsor — pendientes taller mal sublimados</t>
  </si>
  <si>
    <t xml:space="preserve">Espalda N°2 talla L — pendiente de taller</t>
  </si>
  <si>
    <t xml:space="preserve">STADE PREVENTA</t>
  </si>
  <si>
    <t xml:space="preserve">Camiseta rosada L — 1 manga derecha</t>
  </si>
  <si>
    <t xml:space="preserve">ENAP DISEÑO NUEVO</t>
  </si>
  <si>
    <t xml:space="preserve">Poleras celestes — mitad de los cuellos en dos tallas</t>
  </si>
  <si>
    <t xml:space="preserve">Shorts celestes: 3 Del XL con escudo / 2 traseros derechos XL / 1 Del L #6</t>
  </si>
  <si>
    <t xml:space="preserve">Espaldas de todas las camisetas — error de mesa</t>
  </si>
  <si>
    <t xml:space="preserve">09-07-26</t>
  </si>
  <si>
    <t xml:space="preserve">42 camisetas (azules/blancas/rojas) — colores no igualados</t>
  </si>
  <si>
    <t xml:space="preserve">DEPORTIVO CONE</t>
  </si>
  <si>
    <t xml:space="preserve">1242</t>
  </si>
  <si>
    <t xml:space="preserve">16 frentes — manchas de ploteo</t>
  </si>
  <si>
    <t xml:space="preserve">Paño puño rojos para 40 camisetas rosadas — faltó en mesa</t>
  </si>
  <si>
    <t xml:space="preserve">Transemel</t>
  </si>
  <si>
    <t xml:space="preserve">1 Del y Esp TM #6 — mal sublimado</t>
  </si>
  <si>
    <t xml:space="preserve">ADVENTISTA BK</t>
  </si>
  <si>
    <t xml:space="preserve">3 pares de costados L — mal sublimado</t>
  </si>
  <si>
    <t xml:space="preserve">10-07-26</t>
  </si>
  <si>
    <t xml:space="preserve">ORIENTE HOCKEY</t>
  </si>
  <si>
    <t xml:space="preserve">935</t>
  </si>
  <si>
    <t xml:space="preserve">M — 1 manga izq (lado del escudo) — pendiente sublimación</t>
  </si>
  <si>
    <t xml:space="preserve">13-07-26</t>
  </si>
  <si>
    <t xml:space="preserve">DUNALASTAIR</t>
  </si>
  <si>
    <t xml:space="preserve">1812</t>
  </si>
  <si>
    <t xml:space="preserve">M — 1 manga celeste — manchita negra de tinta</t>
  </si>
  <si>
    <t xml:space="preserve">OLD BOYS</t>
  </si>
  <si>
    <t xml:space="preserve">1940</t>
  </si>
  <si>
    <t xml:space="preserve">16 frentes todas las tallas — humedad en papel sublimación</t>
  </si>
  <si>
    <t xml:space="preserve">14-07-26</t>
  </si>
  <si>
    <t xml:space="preserve">PV BOSTON</t>
  </si>
  <si>
    <t xml:space="preserve">1 Delantero L — mal sublimación</t>
  </si>
  <si>
    <t xml:space="preserve">15-07-26</t>
  </si>
  <si>
    <t xml:space="preserve">ENAP</t>
  </si>
  <si>
    <t xml:space="preserve">1430</t>
  </si>
  <si>
    <t xml:space="preserve">Tapacuello — no venía el paño en mesa</t>
  </si>
  <si>
    <t xml:space="preserve">20-07-26</t>
  </si>
  <si>
    <t xml:space="preserve">Frente celeste XL — mancha</t>
  </si>
  <si>
    <t xml:space="preserve">21-07-26</t>
  </si>
  <si>
    <t xml:space="preserve">RUPANI AZUL</t>
  </si>
  <si>
    <t xml:space="preserve">1 Delantero L — arruga en el papel</t>
  </si>
  <si>
    <t xml:space="preserve">RUPANI ROJO</t>
  </si>
  <si>
    <t xml:space="preserve">1 Trasero derecho TM rojo — mal sublimado</t>
  </si>
  <si>
    <t xml:space="preserve">6 camisetas running manga corta / 3 camisetas manga larga — manchas plotter</t>
  </si>
  <si>
    <t xml:space="preserve">1373</t>
  </si>
  <si>
    <t xml:space="preserve">8 camisetas reversibles TM / 20 shorts reversibles — corte/molde incorrecto</t>
  </si>
  <si>
    <t xml:space="preserve">03-08-26</t>
  </si>
  <si>
    <t xml:space="preserve">2 Completas L/f amarillas + 1 L/f negra + 1 XL/f negra + 1 XXXL/f negra</t>
  </si>
  <si>
    <t xml:space="preserve">04-08-26</t>
  </si>
  <si>
    <t xml:space="preserve">U CENTRAL STGO</t>
  </si>
  <si>
    <t xml:space="preserve">441</t>
  </si>
  <si>
    <t xml:space="preserve">Paño para 10 camisetas — faltó impresión</t>
  </si>
  <si>
    <t xml:space="preserve">NAUTILUS</t>
  </si>
  <si>
    <t xml:space="preserve">1561</t>
  </si>
  <si>
    <t xml:space="preserve">Cuellos lycra 2 camisetas — faltó en el taller</t>
  </si>
  <si>
    <t xml:space="preserve">CAROZZI</t>
  </si>
  <si>
    <t xml:space="preserve">1764</t>
  </si>
  <si>
    <t xml:space="preserve">1 manga T14 — mal sublimado con estría</t>
  </si>
  <si>
    <t xml:space="preserve">05-08-26</t>
  </si>
  <si>
    <t xml:space="preserve">2 pares costados superior TS — pendiente de taller</t>
  </si>
  <si>
    <t xml:space="preserve">OLD ANGLONIANS</t>
  </si>
  <si>
    <t xml:space="preserve">1307</t>
  </si>
  <si>
    <t xml:space="preserve">Talla 12 y 14 completas — problema con el color en la tela</t>
  </si>
  <si>
    <t xml:space="preserve">Mangas rojas talla XS — imprimieron para el mismo lado</t>
  </si>
  <si>
    <t xml:space="preserve">COLEGIO CORAZON DE JESUS</t>
  </si>
  <si>
    <t xml:space="preserve">2173</t>
  </si>
  <si>
    <t xml:space="preserve">Paños puño short — cortado con otra medida</t>
  </si>
  <si>
    <t xml:space="preserve">STADE FRANCAIS</t>
  </si>
  <si>
    <t xml:space="preserve">Paños puño para 2 camisetas rojo/azul marino — no venía</t>
  </si>
  <si>
    <t xml:space="preserve">AKVA</t>
  </si>
  <si>
    <t xml:space="preserve">1946</t>
  </si>
  <si>
    <t xml:space="preserve">2 delanteros S/f — mal sublimado</t>
  </si>
  <si>
    <t xml:space="preserve">06-08-26</t>
  </si>
  <si>
    <t xml:space="preserve">11 mangas izquierdas — no se dieron vuelta en la mesa</t>
  </si>
  <si>
    <t xml:space="preserve">BOSQUE LAFKEN</t>
  </si>
  <si>
    <t xml:space="preserve">1171</t>
  </si>
  <si>
    <t xml:space="preserve">M — 1 delantero + 1 manga derecha — pendiente de taller</t>
  </si>
  <si>
    <t xml:space="preserve">07-08-26</t>
  </si>
  <si>
    <t xml:space="preserve">LOS CARRERA</t>
  </si>
  <si>
    <t xml:space="preserve">1 manga — mal sublimado</t>
  </si>
  <si>
    <t xml:space="preserve">2077</t>
  </si>
  <si>
    <t xml:space="preserve">Par de costados talla 12 — pendiente de taller</t>
  </si>
  <si>
    <t xml:space="preserve">10-08-26</t>
  </si>
  <si>
    <t xml:space="preserve">PROVINCIAL OSORNO</t>
  </si>
  <si>
    <t xml:space="preserve">15</t>
  </si>
  <si>
    <t xml:space="preserve">23 frentes — error de mesa (sponsor)</t>
  </si>
  <si>
    <t xml:space="preserve">THE ENGLISH INSTITUTE BASKET</t>
  </si>
  <si>
    <t xml:space="preserve">1716</t>
  </si>
  <si>
    <t xml:space="preserve">Paño puño para 5 short — faltó en la mesa</t>
  </si>
  <si>
    <t xml:space="preserve">11-08-26</t>
  </si>
  <si>
    <t xml:space="preserve">14: 1 espalda N°22 / 16: 2 espaldas N°7 y 23 — error de mesa</t>
  </si>
  <si>
    <t xml:space="preserve">VOSTERH</t>
  </si>
  <si>
    <t xml:space="preserve">1466</t>
  </si>
  <si>
    <t xml:space="preserve">2 pares de mangas talla 16 — error de color en la mesa</t>
  </si>
  <si>
    <t xml:space="preserve">AKVA POLERONES</t>
  </si>
  <si>
    <t xml:space="preserve">3 pares mangas S + 1 par M + 1 manga derecha M — mal sublimado</t>
  </si>
  <si>
    <t xml:space="preserve">CLUB RAMA NATACION EL BOSQUE</t>
  </si>
  <si>
    <t xml:space="preserve">2201</t>
  </si>
  <si>
    <t xml:space="preserve">T10 — 1 frente — error de confección</t>
  </si>
  <si>
    <t xml:space="preserve">12-08-26</t>
  </si>
  <si>
    <t xml:space="preserve">SPORTWEAR</t>
  </si>
  <si>
    <t xml:space="preserve">2378</t>
  </si>
  <si>
    <t xml:space="preserve">TL — espalda N°18 — mal sublimada</t>
  </si>
  <si>
    <t xml:space="preserve">14-08-26</t>
  </si>
  <si>
    <t xml:space="preserve">LOMOS DE VILLARRICA</t>
  </si>
  <si>
    <t xml:space="preserve">1728</t>
  </si>
  <si>
    <t xml:space="preserve">Paño para puños — color incorrecto en la mesa</t>
  </si>
  <si>
    <t xml:space="preserve">T12 — delantero short N°7 — pendiente de taller</t>
  </si>
  <si>
    <t xml:space="preserve">Carozzi las rojas</t>
  </si>
  <si>
    <t xml:space="preserve">Espalda talla L — mal sublimado</t>
  </si>
  <si>
    <t xml:space="preserve">Sean</t>
  </si>
  <si>
    <t xml:space="preserve">17-08-26</t>
  </si>
  <si>
    <t xml:space="preserve">CAROZZI BOCHA</t>
  </si>
  <si>
    <t xml:space="preserve">2149</t>
  </si>
  <si>
    <t xml:space="preserve">L — 1 manga — mal sublimado</t>
  </si>
  <si>
    <t xml:space="preserve">XS — 1 manga azul + costado tela rugby XS + costado/cuello lycra XS — pendiente de taller</t>
  </si>
  <si>
    <t xml:space="preserve">CAROZZI COLEGIO</t>
  </si>
  <si>
    <t xml:space="preserve">2257</t>
  </si>
  <si>
    <t xml:space="preserve">S FEM — 1 frente — mal sublimado</t>
  </si>
  <si>
    <t xml:space="preserve">XL — 1 manga jugador — pendiente de taller</t>
  </si>
  <si>
    <t xml:space="preserve">COLEGIO PIONEROS SANTIAGO</t>
  </si>
  <si>
    <t xml:space="preserve">2377</t>
  </si>
  <si>
    <t xml:space="preserve">Traseros short talla 16 — error en la mesa</t>
  </si>
  <si>
    <t xml:space="preserve">S FEM — 1 frente — salió diseño arquero</t>
  </si>
  <si>
    <t xml:space="preserve">19-08-26</t>
  </si>
  <si>
    <t xml:space="preserve">S FEM — camiseta fútbol arquero completa — error de confección</t>
  </si>
  <si>
    <t xml:space="preserve">U CENTRAL PROFESORES</t>
  </si>
  <si>
    <t xml:space="preserve">469</t>
  </si>
  <si>
    <t xml:space="preserve">TM — 1 manga y puño — pendiente de taller</t>
  </si>
  <si>
    <t xml:space="preserve">ICB</t>
  </si>
  <si>
    <t xml:space="preserve">1 delantero arquero verde — mal sublimado</t>
  </si>
  <si>
    <t xml:space="preserve">T14 short N°10 JUG + TS short N°22 JUG — pendiente sublimación faltó corte</t>
  </si>
  <si>
    <t xml:space="preserve">20-08-26</t>
  </si>
  <si>
    <t xml:space="preserve">LOS CARRERA LOS ANGELES</t>
  </si>
  <si>
    <t xml:space="preserve">2204</t>
  </si>
  <si>
    <t xml:space="preserve">XL — 1 manga larga verde — mal sublimado</t>
  </si>
  <si>
    <t xml:space="preserve">CLUB TAIIU</t>
  </si>
  <si>
    <t xml:space="preserve">2239</t>
  </si>
  <si>
    <t xml:space="preserve">Espalda XL #12 — piquete en la impresión</t>
  </si>
  <si>
    <t xml:space="preserve">INNRA SPA</t>
  </si>
  <si>
    <t xml:space="preserve">6 frentes de número talla M — PMK duplicado en la mesa</t>
  </si>
  <si>
    <t xml:space="preserve">1 par de traseros de short talla L — manchitas en la impresión</t>
  </si>
  <si>
    <t xml:space="preserve">ICB FS</t>
  </si>
  <si>
    <t xml:space="preserve">1231</t>
  </si>
  <si>
    <t xml:space="preserve">36 shorts de jugadores — error de mesa</t>
  </si>
  <si>
    <t xml:space="preserve">21-08-26</t>
  </si>
  <si>
    <t xml:space="preserve">TEI BASKET</t>
  </si>
  <si>
    <t xml:space="preserve">S — 1 short completo — no salió de sublimación</t>
  </si>
  <si>
    <t xml:space="preserve">LAS PANCHAS</t>
  </si>
  <si>
    <t xml:space="preserve">Completas XL/f y masculina con mangas — banding</t>
  </si>
  <si>
    <t xml:space="preserve">24-08-26</t>
  </si>
  <si>
    <t xml:space="preserve">7 tiras cuello camisetas jugador + 1 tira puño celeste — error confección</t>
  </si>
  <si>
    <t xml:space="preserve">25-08-26</t>
  </si>
  <si>
    <t xml:space="preserve">1 frente T12 — pendiente de confección</t>
  </si>
  <si>
    <t xml:space="preserve">SEBASTIAN UGARTE</t>
  </si>
  <si>
    <t xml:space="preserve">1937</t>
  </si>
  <si>
    <t xml:space="preserve">Paño para cuellos y puños — pendiente sub. por falta de tela</t>
  </si>
  <si>
    <t xml:space="preserve">LB RUNN</t>
  </si>
  <si>
    <t xml:space="preserve">1 completa talla M con mangas — faltó impresión</t>
  </si>
  <si>
    <t xml:space="preserve">CM INVERSIONES</t>
  </si>
  <si>
    <t xml:space="preserve">2373</t>
  </si>
  <si>
    <t xml:space="preserve">Cuellos todas las tallas (12 cuellos) — cortadas en molde antiguo</t>
  </si>
  <si>
    <t xml:space="preserve">SOKOL</t>
  </si>
  <si>
    <t xml:space="preserve">5 completas infantiles (T8×1, T10×1, T12×3) — faltó corte</t>
  </si>
  <si>
    <t xml:space="preserve">26-08-26</t>
  </si>
  <si>
    <t xml:space="preserve">TL — 1 frente + 1 manga — mancha de sublimación</t>
  </si>
  <si>
    <t xml:space="preserve">1 cuello 3XL cortaviento — error de molde</t>
  </si>
  <si>
    <t xml:space="preserve">TXL completa N°22 Gallardo — no venía en la sublimación</t>
  </si>
  <si>
    <t xml:space="preserve">27-08-26</t>
  </si>
  <si>
    <t xml:space="preserve">PAULISTAS</t>
  </si>
  <si>
    <t xml:space="preserve">209</t>
  </si>
  <si>
    <t xml:space="preserve">Arquero negra XXL espalda N°1 + Jugador DIS.ANT. XXL espalda N°8 — error de ficha</t>
  </si>
  <si>
    <t xml:space="preserve">Diseño / Ficha</t>
  </si>
  <si>
    <t xml:space="preserve">PIONEROS</t>
  </si>
  <si>
    <t xml:space="preserve">2237</t>
  </si>
  <si>
    <t xml:space="preserve">T16 camiseta jugador N°70 + T8 manga jugador — error de ficha + pendiente taller</t>
  </si>
  <si>
    <t xml:space="preserve">28-08-26</t>
  </si>
  <si>
    <t xml:space="preserve">COLEGIO INGLÉS CATÓLICO</t>
  </si>
  <si>
    <t xml:space="preserve">1 manga derecha T14 + 1 manga derecha T12 + 1 del y esp T14 #16 — mal sublimado</t>
  </si>
  <si>
    <t xml:space="preserve">TTM SHORT</t>
  </si>
  <si>
    <t xml:space="preserve">1 del izquierdo T-S — mal sublimado</t>
  </si>
  <si>
    <t xml:space="preserve">31-08-26</t>
  </si>
  <si>
    <t xml:space="preserve">Paño tapacuellos — faltó en la mesa, sólo alcanzó para cuellos</t>
  </si>
  <si>
    <t xml:space="preserve">COL. ING. LA SERENA VOLEY</t>
  </si>
  <si>
    <t xml:space="preserve">Par de mangas T10 niña — mal sublimado</t>
  </si>
  <si>
    <t xml:space="preserve">AKTHOMPSON</t>
  </si>
  <si>
    <t xml:space="preserve">1585</t>
  </si>
  <si>
    <t xml:space="preserve">3XL — short de arquero N°69 — error de confección</t>
  </si>
  <si>
    <t xml:space="preserve">01-09-26</t>
  </si>
  <si>
    <t xml:space="preserve">CLUB DEPORTIVO ENAP</t>
  </si>
  <si>
    <t xml:space="preserve">2254</t>
  </si>
  <si>
    <t xml:space="preserve">Paño para 12 cuellos y tapacuellos — el taller los cortó mal</t>
  </si>
  <si>
    <t xml:space="preserve">GEOLOGÍA</t>
  </si>
  <si>
    <t xml:space="preserve">1686</t>
  </si>
  <si>
    <t xml:space="preserve">Paño para 70 cuellos y puños — error de diseño</t>
  </si>
  <si>
    <t xml:space="preserve">CLUB DEPORTIVO REX PV7</t>
  </si>
  <si>
    <t xml:space="preserve">2299</t>
  </si>
  <si>
    <t xml:space="preserve">Camiseta T16 N°23 V. Navarrete — error de ficha</t>
  </si>
  <si>
    <t xml:space="preserve">KAIZEN</t>
  </si>
  <si>
    <t xml:space="preserve">2282</t>
  </si>
  <si>
    <t xml:space="preserve">L — cuello camisero camiseta de salida — error de molde</t>
  </si>
  <si>
    <t xml:space="preserve">1 bolso — no salió</t>
  </si>
  <si>
    <t xml:space="preserve">02-09-26</t>
  </si>
  <si>
    <t xml:space="preserve">Short pedido completo (~14 m según Control de Ploteo) — error de confección</t>
  </si>
  <si>
    <t xml:space="preserve">CAUPOLICÁN DEL MONTE</t>
  </si>
  <si>
    <t xml:space="preserve">2294</t>
  </si>
  <si>
    <t xml:space="preserve">Repetir 10 espaldas L, XL, 2XL — sin stock de tela mesh</t>
  </si>
  <si>
    <t xml:space="preserve">ATENAS</t>
  </si>
  <si>
    <t xml:space="preserve">2405</t>
  </si>
  <si>
    <t xml:space="preserve">Camiseta XL — manchas de sublimación</t>
  </si>
  <si>
    <t xml:space="preserve">03-09-26</t>
  </si>
  <si>
    <t xml:space="preserve">TTM</t>
  </si>
  <si>
    <t xml:space="preserve">2547</t>
  </si>
  <si>
    <t xml:space="preserve">S short jug. delantero lado PMK + XXL short arquero trasero izq. — pendiente taller / manchas de sublimación</t>
  </si>
  <si>
    <t xml:space="preserve">ZAVALA</t>
  </si>
  <si>
    <t xml:space="preserve">2255</t>
  </si>
  <si>
    <t xml:space="preserve">XXL FEM — short N°33 — tela con falla</t>
  </si>
  <si>
    <t xml:space="preserve">L — 1 manga — pintitas de sublimación en delantero y espalda</t>
  </si>
  <si>
    <t xml:space="preserve">04-09-26</t>
  </si>
  <si>
    <t xml:space="preserve">CAUPOLICÁN</t>
  </si>
  <si>
    <t xml:space="preserve">Cuellos (sólo pieza externa) — diseño</t>
  </si>
  <si>
    <t xml:space="preserve">MARISTAS</t>
  </si>
  <si>
    <t xml:space="preserve">2429</t>
  </si>
  <si>
    <t xml:space="preserve">S — 1 delantero — error de mesa</t>
  </si>
  <si>
    <t xml:space="preserve">07-09-26</t>
  </si>
  <si>
    <t xml:space="preserve">BASKET MEDICINA USS</t>
  </si>
  <si>
    <t xml:space="preserve">2728</t>
  </si>
  <si>
    <t xml:space="preserve">L — frente muestra — error de sublimación y corte</t>
  </si>
  <si>
    <t xml:space="preserve">Costados T14 y XS camiseta hockey — salieron sin los cm extra</t>
  </si>
  <si>
    <t xml:space="preserve">08-09-26</t>
  </si>
  <si>
    <t xml:space="preserve">CIA MINERA CERRO BAYO</t>
  </si>
  <si>
    <t xml:space="preserve">2233</t>
  </si>
  <si>
    <t xml:space="preserve">Paño cuello arquero — error de mesa</t>
  </si>
  <si>
    <t xml:space="preserve">AFTER SOCCER</t>
  </si>
  <si>
    <t xml:space="preserve">Camisas talla 8 a 14 (~5,3 m según Control de Ploteo) — venían con banding</t>
  </si>
  <si>
    <t xml:space="preserve">2369</t>
  </si>
  <si>
    <t xml:space="preserve">T10 — short de basket completo — rotura de fibra</t>
  </si>
  <si>
    <t xml:space="preserve">VOSTER POLERAS</t>
  </si>
  <si>
    <t xml:space="preserve">1 manga izquierda talla L — mal sublimada</t>
  </si>
  <si>
    <t xml:space="preserve">10-09-26</t>
  </si>
  <si>
    <t xml:space="preserve">MUESTRA ATLÉTICO ESTOCOLMO</t>
  </si>
  <si>
    <t xml:space="preserve">No se consideró la costura en el amarillo (agrandar 1 cm) — diseño</t>
  </si>
  <si>
    <t xml:space="preserve">Cuello completo XL — error de confección</t>
  </si>
  <si>
    <t xml:space="preserve">ABC DEPORTES BASKET</t>
  </si>
  <si>
    <t xml:space="preserve">2667</t>
  </si>
  <si>
    <t xml:space="preserve">10 espaldas talla XL — error en la mesa</t>
  </si>
  <si>
    <t xml:space="preserve">Paño puños — no salió en la mesa</t>
  </si>
  <si>
    <t xml:space="preserve">14-09-26</t>
  </si>
  <si>
    <t xml:space="preserve">T10 — short de basket completo — error de confección</t>
  </si>
  <si>
    <t xml:space="preserve">Puño camiseta — no venía en la mesa</t>
  </si>
  <si>
    <t xml:space="preserve">CIA MINERA CERRO BAYO ARQUEROS</t>
  </si>
  <si>
    <t xml:space="preserve">XL — short arquero gris N°1 — error de mesa (venía 00 en vez de 1)</t>
  </si>
  <si>
    <t xml:space="preserve">15-09-26</t>
  </si>
  <si>
    <t xml:space="preserve">CARISMA Y COMPROMISO</t>
  </si>
  <si>
    <t xml:space="preserve">2367</t>
  </si>
  <si>
    <t xml:space="preserve">Paño puño y tapacuello 5 camisetas — mal cálculo de mesa</t>
  </si>
  <si>
    <t xml:space="preserve">AFTERSOCCER</t>
  </si>
  <si>
    <t xml:space="preserve">2588</t>
  </si>
  <si>
    <t xml:space="preserve">Paño tapacuello 12 camisetas — se cortó todo en medida cuello/puño</t>
  </si>
  <si>
    <t xml:space="preserve">CAMINITO</t>
  </si>
  <si>
    <t xml:space="preserve">2477</t>
  </si>
  <si>
    <t xml:space="preserve">Paño tapacuello 12 camisetas — no venía en la mesa</t>
  </si>
  <si>
    <t xml:space="preserve">16-09-26</t>
  </si>
  <si>
    <t xml:space="preserve">ESTUDIANTES FC</t>
  </si>
  <si>
    <t xml:space="preserve">L — camiseta manga corta completa N°11 — error de sublimación</t>
  </si>
  <si>
    <t xml:space="preserve">MACKAY SCHOOL</t>
  </si>
  <si>
    <t xml:space="preserve">2482</t>
  </si>
  <si>
    <t xml:space="preserve">Pata de 31 camisetas — error de molde</t>
  </si>
  <si>
    <t xml:space="preserve">21-09-26</t>
  </si>
  <si>
    <t xml:space="preserve">RUGBY MAULE SHORT</t>
  </si>
  <si>
    <t xml:space="preserve">2 pares de costados talla XL (M18) — faltó corte</t>
  </si>
  <si>
    <t xml:space="preserve">RUGBY MAULE</t>
  </si>
  <si>
    <t xml:space="preserve">1 manga izquierda talla L (M18) — mal sublimada</t>
  </si>
  <si>
    <t xml:space="preserve">INS. HUMANIDADES</t>
  </si>
  <si>
    <t xml:space="preserve">1 manga talla L — mal sublimada</t>
  </si>
  <si>
    <t xml:space="preserve">2865</t>
  </si>
  <si>
    <t xml:space="preserve">Pedido completo (58 camisetas) — diseño de arquero como jugador y viceversa</t>
  </si>
  <si>
    <t xml:space="preserve">Gonza</t>
  </si>
  <si>
    <t xml:space="preserve">23-09-26</t>
  </si>
  <si>
    <t xml:space="preserve">RUGBY MAULE (IRLANDA)</t>
  </si>
  <si>
    <t xml:space="preserve">2554</t>
  </si>
  <si>
    <t xml:space="preserve">Paño 1,3 m para patas (50 camisetas) — error de corte</t>
  </si>
  <si>
    <t xml:space="preserve">ARRISERVI</t>
  </si>
  <si>
    <t xml:space="preserve">2795</t>
  </si>
  <si>
    <t xml:space="preserve">M — camiseta N°6 completa — pendiente de confección</t>
  </si>
  <si>
    <t xml:space="preserve">24-09-26</t>
  </si>
  <si>
    <t xml:space="preserve">BOSTON PARTIDO</t>
  </si>
  <si>
    <t xml:space="preserve">2 poleras completas T-M (#1, #18) + 1 completa T-L (#19) — faltó corte</t>
  </si>
  <si>
    <t xml:space="preserve">I. HUMANIDADES MASC INTERMEDIA</t>
  </si>
  <si>
    <t xml:space="preserve">2581</t>
  </si>
  <si>
    <t xml:space="preserve">M — 1 trasero derecho short — pendiente de taller</t>
  </si>
  <si>
    <t xml:space="preserve">25-09-26</t>
  </si>
  <si>
    <t xml:space="preserve">BOSTON</t>
  </si>
  <si>
    <t xml:space="preserve">2950</t>
  </si>
  <si>
    <t xml:space="preserve">L — costadillo derecho — error de confección</t>
  </si>
  <si>
    <t xml:space="preserve">28-09-26</t>
  </si>
  <si>
    <t xml:space="preserve">JUVENTUD PEINE SHORT</t>
  </si>
  <si>
    <t xml:space="preserve">Talla M: 1 delantero con escudo + 2 traseros der. + 1 trasero izq. — mal sublimado</t>
  </si>
  <si>
    <t xml:space="preserve">FINTUAL SERIE A</t>
  </si>
  <si>
    <t xml:space="preserve">2682</t>
  </si>
  <si>
    <t xml:space="preserve">L — 4 delanteros — error de confección</t>
  </si>
  <si>
    <t xml:space="preserve">PS FACTORY - CHOCO LA MICRO</t>
  </si>
  <si>
    <t xml:space="preserve">1 completa XXL — faltó impresión</t>
  </si>
  <si>
    <t xml:space="preserve">1 manga M — mal sublimada</t>
  </si>
  <si>
    <t xml:space="preserve">PACIFIC LOGISTIC</t>
  </si>
  <si>
    <t xml:space="preserve">2840</t>
  </si>
  <si>
    <t xml:space="preserve">L — par de mangas cortas — faltó corte</t>
  </si>
  <si>
    <t xml:space="preserve">29-09-26</t>
  </si>
  <si>
    <t xml:space="preserve">ÁGUILAS RC</t>
  </si>
  <si>
    <t xml:space="preserve">2412</t>
  </si>
  <si>
    <t xml:space="preserve">4 cuellos + S 1 costado — pendientes de taller</t>
  </si>
  <si>
    <t xml:space="preserve">FINTUAL</t>
  </si>
  <si>
    <t xml:space="preserve">Tiro al Arco: repetir todas las mangas (error de mesa) + M cuellos; C Level: 2 patas (pend. sublimación) — cantidad mínima, por confirmar</t>
  </si>
  <si>
    <t xml:space="preserve">FINTUAL IGP</t>
  </si>
  <si>
    <t xml:space="preserve">2 patas azul rey — pendiente de sublimación</t>
  </si>
  <si>
    <t xml:space="preserve">I. HUMANIDADES SUP</t>
  </si>
  <si>
    <t xml:space="preserve">M — 1 manga roja — pendiente de sublimación</t>
  </si>
  <si>
    <t xml:space="preserve">ZONA ATLÉTIC</t>
  </si>
  <si>
    <t xml:space="preserve">Par de mangas XL y L — faltó corte</t>
  </si>
  <si>
    <t xml:space="preserve">FINTUAL C LEVEL</t>
  </si>
  <si>
    <t xml:space="preserve">M — 1 manga — pendiente de taller</t>
  </si>
  <si>
    <t xml:space="preserve">  Supuestos de Costo — Reproceso por Metro Lineal</t>
  </si>
  <si>
    <t xml:space="preserve">  Base de cálculo</t>
  </si>
  <si>
    <t xml:space="preserve">Costo por metro lineal (CLP)</t>
  </si>
  <si>
    <t xml:space="preserve">1 metro lineal sublimado = $6.000 CLP</t>
  </si>
  <si>
    <t xml:space="preserve">Piezas por metro lineal</t>
  </si>
  <si>
    <t xml:space="preserve">Espalda + frente + manga izq + manga der</t>
  </si>
  <si>
    <t xml:space="preserve">Costo por pieza (CLP)</t>
  </si>
  <si>
    <t xml:space="preserve">Calculado automáticamente</t>
  </si>
  <si>
    <t xml:space="preserve">  Equivalencia por tipo de pieza / prenda</t>
  </si>
  <si>
    <t xml:space="preserve">Tipo de pieza / prenda</t>
  </si>
  <si>
    <t xml:space="preserve">Piezas equiv.</t>
  </si>
  <si>
    <t xml:space="preserve">Costo unitario (CLP)</t>
  </si>
  <si>
    <t xml:space="preserve">Descripción</t>
  </si>
  <si>
    <t xml:space="preserve">Espalda (1 pieza)</t>
  </si>
  <si>
    <t xml:space="preserve">En 1m caben 2 espaldas</t>
  </si>
  <si>
    <t xml:space="preserve">Frente camiseta (1 pieza)</t>
  </si>
  <si>
    <t xml:space="preserve">En 1m caben 2 frentes</t>
  </si>
  <si>
    <t xml:space="preserve">Manga (1 pieza)</t>
  </si>
  <si>
    <t xml:space="preserve">En 1m caben 8 mangas</t>
  </si>
  <si>
    <t xml:space="preserve">Cuello / puño (1 pieza)</t>
  </si>
  <si>
    <t xml:space="preserve">En 1m caben 20 cuellos</t>
  </si>
  <si>
    <t xml:space="preserve">Frente short (1 pieza)</t>
  </si>
  <si>
    <t xml:space="preserve">En 1m caben 2 frentes de short</t>
  </si>
  <si>
    <t xml:space="preserve">Trasero short (1 pieza)</t>
  </si>
  <si>
    <t xml:space="preserve">En 1m caben 2 traseros de short</t>
  </si>
  <si>
    <t xml:space="preserve">Pierna pantalón (1 pieza)</t>
  </si>
  <si>
    <t xml:space="preserve">1 pierna ocupa 1 metro completo</t>
  </si>
  <si>
    <t xml:space="preserve">Prenda completa (F+E+2M+C)</t>
  </si>
  <si>
    <t xml:space="preserve">0.5+0.5+0.125×2+0.05×? — aprox 1.125m</t>
  </si>
  <si>
    <t xml:space="preserve">Short completo (F+T)</t>
  </si>
  <si>
    <t xml:space="preserve">0.5m frente + 0.5m trasero</t>
  </si>
  <si>
    <t xml:space="preserve">Par de mangas</t>
  </si>
  <si>
    <t xml:space="preserve">2 × 0.125m</t>
  </si>
  <si>
    <t xml:space="preserve">Par de costados / laterales</t>
  </si>
  <si>
    <t xml:space="preserve">Similar a par de mangas</t>
  </si>
  <si>
    <t xml:space="preserve">Pantalón completo (2 piernas)</t>
  </si>
  <si>
    <t xml:space="preserve">2 piernas × 1m</t>
  </si>
  <si>
    <t xml:space="preserve">⚠  Solo edita B4 (costo/metro) y B5 (piezas/metro). El resto se recalcula automáticamente.</t>
  </si>
  <si>
    <t xml:space="preserve">  Costo por Motivo (para cálculo automático col H en Datos)</t>
  </si>
  <si>
    <t xml:space="preserve">Base de cálculo</t>
  </si>
  <si>
    <t xml:space="preserve">Nota</t>
  </si>
  <si>
    <t xml:space="preserve">Prenda completa promedio</t>
  </si>
  <si>
    <t xml:space="preserve">Ajustable</t>
  </si>
  <si>
    <t xml:space="preserve">Prenda completa</t>
  </si>
  <si>
    <t xml:space="preserve">~10 cuellos promedio</t>
  </si>
  <si>
    <t xml:space="preserve">Sublimación (negro en papel)</t>
  </si>
  <si>
    <t xml:space="preserve">Pieza suelta promedio</t>
  </si>
  <si>
    <t xml:space="preserve">Mal sublimado</t>
  </si>
  <si>
    <t xml:space="preserve">manchitas en la sublimación</t>
  </si>
  <si>
    <t xml:space="preserve">Pendiente de taller</t>
  </si>
  <si>
    <t xml:space="preserve">No venían en impresión</t>
  </si>
  <si>
    <t xml:space="preserve">Error de corte</t>
  </si>
  <si>
    <t xml:space="preserve">Error de ficha</t>
  </si>
  <si>
    <t xml:space="preserve">Costo fijo ingresado manual</t>
  </si>
  <si>
    <t xml:space="preserve">Fijo</t>
  </si>
  <si>
    <t xml:space="preserve">Otro</t>
  </si>
  <si>
    <t xml:space="preserve">  Costo de reproceso según etapa de detección</t>
  </si>
  <si>
    <t xml:space="preserve">Componente</t>
  </si>
  <si>
    <t xml:space="preserve">% / CLP por metro</t>
  </si>
  <si>
    <t xml:space="preserve">% tela</t>
  </si>
  <si>
    <t xml:space="preserve">Tela que se pierde si la pieza ya se sublimó</t>
  </si>
  <si>
    <t xml:space="preserve">% armado de mesa + ploteo</t>
  </si>
  <si>
    <t xml:space="preserve">Papel, tinta y tiempo de mesa/plotter</t>
  </si>
  <si>
    <t xml:space="preserve">% sublimación</t>
  </si>
  <si>
    <t xml:space="preserve">Tiempo de calandra</t>
  </si>
  <si>
    <t xml:space="preserve">Costo/m ANTES de sublimar</t>
  </si>
  <si>
    <t xml:space="preserve">Se frenó antes de sublimar: sólo se reimprime</t>
  </si>
  <si>
    <t xml:space="preserve">Costo/m DESPUÉS de sublimar</t>
  </si>
  <si>
    <t xml:space="preserve">Reproceso completo: tela + mesa/ploteo + sublimación</t>
  </si>
  <si>
    <t xml:space="preserve">⚠ Si no hay claridad de la etapa, se asume DESPUÉS de sublimar (reproceso completo). Corte no valorizado.</t>
  </si>
  <si>
    <t xml:space="preserve">Costo Est.</t>
  </si>
  <si>
    <t xml:space="preserve">Mesa / Rollo / Papel</t>
  </si>
  <si>
    <t xml:space="preserve">Otro / Cambio ficha</t>
  </si>
  <si>
    <t xml:space="preserve">Venta Mensual (CLP)</t>
  </si>
  <si>
    <t xml:space="preserve">% Pérdida / Venta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</si>
</sst>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0.0%"/>
    <numFmt numFmtId="167" formatCode="0%"/>
    <numFmt numFmtId="168" formatCode="\$#,##0"/>
    <numFmt numFmtId="169" formatCode="#,##0"/>
    <numFmt numFmtId="170" formatCode="General"/>
    <numFmt numFmtId="171" formatCode="0.000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D6C23"/>
      <name val="Arial"/>
      <family val="0"/>
      <charset val="1"/>
    </font>
    <font>
      <sz val="10"/>
      <color rgb="FF9A9A9A"/>
      <name val="Arial"/>
      <family val="0"/>
      <charset val="1"/>
    </font>
    <font>
      <b val="true"/>
      <sz val="11"/>
      <color rgb="FFED6C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B7F4A"/>
      <name val="Arial"/>
      <family val="0"/>
      <charset val="1"/>
    </font>
    <font>
      <b val="true"/>
      <sz val="10"/>
      <color rgb="FF1B7F4A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9"/>
      <color rgb="FFED6C23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ED6C23"/>
      <name val="Arial"/>
      <family val="0"/>
      <charset val="1"/>
    </font>
    <font>
      <i val="true"/>
      <sz val="9"/>
      <color rgb="FF9A9A9A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0"/>
      <color rgb="FFA0A0A0"/>
      <name val="Arial"/>
      <family val="0"/>
      <charset val="1"/>
    </font>
    <font>
      <sz val="9"/>
      <color rgb="FF606060"/>
      <name val="Arial"/>
      <family val="0"/>
      <charset val="1"/>
    </font>
    <font>
      <sz val="9"/>
      <color rgb="FF6B6B6B"/>
      <name val="Arial"/>
      <family val="0"/>
      <charset val="1"/>
    </font>
    <font>
      <b val="true"/>
      <sz val="22"/>
      <color rgb="FF1A1A1A"/>
      <name val="Arial"/>
      <family val="0"/>
      <charset val="1"/>
    </font>
    <font>
      <b val="true"/>
      <sz val="22"/>
      <color rgb="FF2C5F8A"/>
      <name val="Arial"/>
      <family val="0"/>
      <charset val="1"/>
    </font>
    <font>
      <b val="true"/>
      <sz val="22"/>
      <color rgb="FF1B7F4A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9"/>
      <color rgb="FF7D4E00"/>
      <name val="Arial"/>
      <family val="0"/>
      <charset val="1"/>
    </font>
    <font>
      <sz val="10"/>
      <color rgb="FF000000"/>
      <name val="Calibri"/>
      <family val="2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B7F4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1B7F4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1A1A1A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1A1A1A"/>
      </patternFill>
    </fill>
    <fill>
      <patternFill patternType="solid">
        <fgColor rgb="FF1A1A1A"/>
        <bgColor rgb="FF2D2D2D"/>
      </patternFill>
    </fill>
    <fill>
      <patternFill patternType="solid">
        <fgColor rgb="FFFFFFFF"/>
        <bgColor rgb="FFF8F8F8"/>
      </patternFill>
    </fill>
    <fill>
      <patternFill patternType="solid">
        <fgColor rgb="FFFFF3CD"/>
        <bgColor rgb="FFF2F2F2"/>
      </patternFill>
    </fill>
    <fill>
      <patternFill patternType="solid">
        <fgColor rgb="FFF2F2F2"/>
        <bgColor rgb="FFF5F5F5"/>
      </patternFill>
    </fill>
    <fill>
      <patternFill patternType="solid">
        <fgColor rgb="FFE8E8E8"/>
        <bgColor rgb="FFE3EEF7"/>
      </patternFill>
    </fill>
    <fill>
      <patternFill patternType="solid">
        <fgColor rgb="FFE3EEF7"/>
        <bgColor rgb="FFE8E8E8"/>
      </patternFill>
    </fill>
    <fill>
      <patternFill patternType="solid">
        <fgColor rgb="FFD6EEE1"/>
        <bgColor rgb="FFE3EEF7"/>
      </patternFill>
    </fill>
    <fill>
      <patternFill patternType="solid">
        <fgColor rgb="FF2D2D2D"/>
        <bgColor rgb="FF1A1A1A"/>
      </patternFill>
    </fill>
    <fill>
      <patternFill patternType="solid">
        <fgColor rgb="FFF5F5F5"/>
        <bgColor rgb="FFF2F2F2"/>
      </patternFill>
    </fill>
    <fill>
      <patternFill patternType="solid">
        <fgColor rgb="FFF8F8F8"/>
        <bgColor rgb="FFF5F5F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2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1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1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2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2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2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2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1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1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1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1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2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2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2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7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8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2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2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11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2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2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3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5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4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5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32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1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2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11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5" fillId="11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32" fillId="11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14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2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6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6" fillId="11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6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7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1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11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38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32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1" fontId="32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11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1" fillId="1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11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40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9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4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1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42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42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2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32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32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3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32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32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3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4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F4A"/>
      <rgbColor rgb="FFB3B3B3"/>
      <rgbColor rgb="FF606060"/>
      <rgbColor rgb="FFA0A0A0"/>
      <rgbColor rgb="FFC0392B"/>
      <rgbColor rgb="FFFFF3CD"/>
      <rgbColor rgb="FFE3EEF7"/>
      <rgbColor rgb="FF660066"/>
      <rgbColor rgb="FFFF8080"/>
      <rgbColor rgb="FF2C5F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EE1"/>
      <rgbColor rgb="FFF5F5F5"/>
      <rgbColor rgb="FFF8F8F8"/>
      <rgbColor rgb="FFFF99CC"/>
      <rgbColor rgb="FFCC99FF"/>
      <rgbColor rgb="FFE8E8E8"/>
      <rgbColor rgb="FF3366FF"/>
      <rgbColor rgb="FF33CCCC"/>
      <rgbColor rgb="FF99CC00"/>
      <rgbColor rgb="FFFFCC00"/>
      <rgbColor rgb="FFE67E22"/>
      <rgbColor rgb="FFED6C23"/>
      <rgbColor rgb="FF6B6B6B"/>
      <rgbColor rgb="FF9A9A9A"/>
      <rgbColor rgb="FF003366"/>
      <rgbColor rgb="FF339966"/>
      <rgbColor rgb="FF003300"/>
      <rgbColor rgb="FF1A1A1A"/>
      <rgbColor rgb="FF7D4E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Resumen_Mensual!B1</c:f>
              <c:strCache>
                <c:ptCount val="1"/>
                <c:pt idx="0">
                  <c:v>Eventos</c:v>
                </c:pt>
              </c:strCache>
            </c:strRef>
          </c:tx>
          <c:spPr>
            <a:solidFill>
              <a:srgbClr val="1a1a1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Resumen_Mensual!$A$2:$A$6</c:f>
              <c:strCache>
                <c:ptCount val="5"/>
                <c:pt idx="0">
                  <c:v>Mayo 2026</c:v>
                </c:pt>
                <c:pt idx="1">
                  <c:v>Junio 2026</c:v>
                </c:pt>
                <c:pt idx="2">
                  <c:v>Julio 2026</c:v>
                </c:pt>
                <c:pt idx="3">
                  <c:v>Agosto 2026</c:v>
                </c:pt>
                <c:pt idx="4">
                  <c:v>Septiembre 2026</c:v>
                </c:pt>
              </c:strCache>
            </c:strRef>
          </c:cat>
          <c:val>
            <c:numRef>
              <c:f>Resumen_Mensual!$B$2:$B$6</c:f>
              <c:numCache>
                <c:formatCode>#,##0</c:formatCode>
                <c:ptCount val="5"/>
                <c:pt idx="0">
                  <c:v>25</c:v>
                </c:pt>
                <c:pt idx="1">
                  <c:v>55</c:v>
                </c:pt>
                <c:pt idx="2">
                  <c:v>48</c:v>
                </c:pt>
                <c:pt idx="3">
                  <c:v>57</c:v>
                </c:pt>
                <c:pt idx="4">
                  <c:v>51</c:v>
                </c:pt>
              </c:numCache>
            </c:numRef>
          </c:val>
        </c:ser>
        <c:ser>
          <c:idx val="1"/>
          <c:order val="1"/>
          <c:tx>
            <c:strRef>
              <c:f>Resumen_Mensual!C1</c:f>
              <c:strCache>
                <c:ptCount val="1"/>
                <c:pt idx="0">
                  <c:v>Prendas</c:v>
                </c:pt>
              </c:strCache>
            </c:strRef>
          </c:tx>
          <c:spPr>
            <a:solidFill>
              <a:srgbClr val="e67e2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Resumen_Mensual!$A$2:$A$6</c:f>
              <c:strCache>
                <c:ptCount val="5"/>
                <c:pt idx="0">
                  <c:v>Mayo 2026</c:v>
                </c:pt>
                <c:pt idx="1">
                  <c:v>Junio 2026</c:v>
                </c:pt>
                <c:pt idx="2">
                  <c:v>Julio 2026</c:v>
                </c:pt>
                <c:pt idx="3">
                  <c:v>Agosto 2026</c:v>
                </c:pt>
                <c:pt idx="4">
                  <c:v>Septiembre 2026</c:v>
                </c:pt>
              </c:strCache>
            </c:strRef>
          </c:cat>
          <c:val>
            <c:numRef>
              <c:f>Resumen_Mensual!$C$2:$C$6</c:f>
              <c:numCache>
                <c:formatCode>#,##0</c:formatCode>
                <c:ptCount val="5"/>
                <c:pt idx="0">
                  <c:v>50</c:v>
                </c:pt>
                <c:pt idx="1">
                  <c:v>157</c:v>
                </c:pt>
                <c:pt idx="2">
                  <c:v>286</c:v>
                </c:pt>
                <c:pt idx="3">
                  <c:v>198</c:v>
                </c:pt>
                <c:pt idx="4">
                  <c:v>354</c:v>
                </c:pt>
              </c:numCache>
            </c:numRef>
          </c:val>
        </c:ser>
        <c:gapWidth val="150"/>
        <c:overlap val="0"/>
        <c:axId val="37465222"/>
        <c:axId val="47056534"/>
      </c:barChart>
      <c:catAx>
        <c:axId val="374652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56534"/>
        <c:crosses val="autoZero"/>
        <c:auto val="1"/>
        <c:lblAlgn val="ctr"/>
        <c:lblOffset val="100"/>
        <c:noMultiLvlLbl val="0"/>
      </c:catAx>
      <c:valAx>
        <c:axId val="470565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652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Resumen_Mensual!D1</c:f>
              <c:strCache>
                <c:ptCount val="1"/>
                <c:pt idx="0">
                  <c:v>Costo Est.</c:v>
                </c:pt>
              </c:strCache>
            </c:strRef>
          </c:tx>
          <c:spPr>
            <a:solidFill>
              <a:srgbClr val="1b7f4a"/>
            </a:solidFill>
            <a:ln w="24840">
              <a:solidFill>
                <a:srgbClr val="1b7f4a"/>
              </a:solidFill>
              <a:round/>
            </a:ln>
          </c:spPr>
          <c:marker>
            <c:symbol val="circle"/>
            <c:size val="6"/>
            <c:spPr>
              <a:solidFill>
                <a:srgbClr val="1b7f4a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Resumen_Mensual!$A$2:$A$6</c:f>
              <c:strCache>
                <c:ptCount val="5"/>
                <c:pt idx="0">
                  <c:v>Mayo 2026</c:v>
                </c:pt>
                <c:pt idx="1">
                  <c:v>Junio 2026</c:v>
                </c:pt>
                <c:pt idx="2">
                  <c:v>Julio 2026</c:v>
                </c:pt>
                <c:pt idx="3">
                  <c:v>Agosto 2026</c:v>
                </c:pt>
                <c:pt idx="4">
                  <c:v>Septiembre 2026</c:v>
                </c:pt>
              </c:strCache>
            </c:strRef>
          </c:cat>
          <c:val>
            <c:numRef>
              <c:f>Resumen_Mensual!$D$2:$D$6</c:f>
              <c:numCache>
                <c:formatCode>\$#,##0</c:formatCode>
                <c:ptCount val="5"/>
                <c:pt idx="0">
                  <c:v>309150</c:v>
                </c:pt>
                <c:pt idx="1">
                  <c:v>1288500</c:v>
                </c:pt>
                <c:pt idx="2">
                  <c:v>1723950</c:v>
                </c:pt>
                <c:pt idx="3">
                  <c:v>1231200</c:v>
                </c:pt>
                <c:pt idx="4">
                  <c:v>2304450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4134013"/>
        <c:axId val="2858785"/>
      </c:lineChart>
      <c:catAx>
        <c:axId val="241340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8785"/>
        <c:crosses val="autoZero"/>
        <c:auto val="1"/>
        <c:lblAlgn val="ctr"/>
        <c:lblOffset val="100"/>
        <c:noMultiLvlLbl val="0"/>
      </c:catAx>
      <c:valAx>
        <c:axId val="28587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340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39</xdr:row>
      <xdr:rowOff>0</xdr:rowOff>
    </xdr:from>
    <xdr:to>
      <xdr:col>6</xdr:col>
      <xdr:colOff>102600</xdr:colOff>
      <xdr:row>55</xdr:row>
      <xdr:rowOff>188280</xdr:rowOff>
    </xdr:to>
    <xdr:graphicFrame>
      <xdr:nvGraphicFramePr>
        <xdr:cNvPr id="0" name="Chart 1"/>
        <xdr:cNvGraphicFramePr/>
      </xdr:nvGraphicFramePr>
      <xdr:xfrm>
        <a:off x="88920" y="8258040"/>
        <a:ext cx="6325560" cy="32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39</xdr:row>
      <xdr:rowOff>0</xdr:rowOff>
    </xdr:from>
    <xdr:to>
      <xdr:col>12</xdr:col>
      <xdr:colOff>32040</xdr:colOff>
      <xdr:row>55</xdr:row>
      <xdr:rowOff>188280</xdr:rowOff>
    </xdr:to>
    <xdr:graphicFrame>
      <xdr:nvGraphicFramePr>
        <xdr:cNvPr id="1" name="Chart 2"/>
        <xdr:cNvGraphicFramePr/>
      </xdr:nvGraphicFramePr>
      <xdr:xfrm>
        <a:off x="6311880" y="8258040"/>
        <a:ext cx="6343920" cy="32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12" min="3" style="1" width="14"/>
    <col collapsed="false" customWidth="true" hidden="false" outlineLevel="0" max="13" min="13" style="1" width="2"/>
  </cols>
  <sheetData>
    <row r="1" customFormat="false" ht="7.5" hidden="false" customHeight="true" outlineLevel="0" collapsed="false"/>
    <row r="2" customFormat="false" ht="36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2"/>
    </row>
    <row r="3" customFormat="false" ht="19.5" hidden="false" customHeight="true" outlineLevel="0" collapsed="false">
      <c r="A3" s="2"/>
      <c r="B3" s="4" t="s">
        <v>1</v>
      </c>
      <c r="C3" s="4"/>
      <c r="D3" s="4"/>
      <c r="E3" s="4"/>
      <c r="F3" s="4"/>
      <c r="G3" s="4"/>
      <c r="H3" s="4"/>
      <c r="I3" s="5" t="s">
        <v>2</v>
      </c>
      <c r="J3" s="5"/>
      <c r="K3" s="5"/>
      <c r="L3" s="5"/>
      <c r="M3" s="2"/>
    </row>
    <row r="4" customFormat="false" ht="9.75" hidden="false" customHeight="true" outlineLevel="0" collapsed="false"/>
    <row r="5" customFormat="false" ht="7.5" hidden="false" customHeight="true" outlineLevel="0" collapsed="false"/>
    <row r="6" customFormat="false" ht="21.75" hidden="false" customHeight="true" outlineLevel="0" collapsed="false">
      <c r="B6" s="6" t="s">
        <v>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27.75" hidden="false" customHeight="true" outlineLevel="0" collapsed="false"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  <c r="I7" s="7" t="s">
        <v>11</v>
      </c>
      <c r="J7" s="7" t="s">
        <v>12</v>
      </c>
      <c r="K7" s="7" t="s">
        <v>13</v>
      </c>
    </row>
    <row r="8" customFormat="false" ht="18.75" hidden="false" customHeight="true" outlineLevel="0" collapsed="false">
      <c r="B8" s="8" t="s">
        <v>14</v>
      </c>
      <c r="C8" s="9" t="n">
        <v>1889.9</v>
      </c>
      <c r="D8" s="9" t="n">
        <v>133</v>
      </c>
      <c r="E8" s="10" t="n">
        <v>76.55</v>
      </c>
      <c r="F8" s="11" t="n">
        <f aca="false">IFERROR(C8+D8+E8,"—")</f>
        <v>2099.45</v>
      </c>
      <c r="G8" s="12" t="n">
        <f aca="false">IFERROR(D8/(C8+D8),"—")</f>
        <v>0.0657471946215829</v>
      </c>
      <c r="H8" s="11" t="n">
        <f aca="false">IFERROR(C8+D8,"—")</f>
        <v>2022.9</v>
      </c>
      <c r="I8" s="13" t="n">
        <v>0.08</v>
      </c>
      <c r="J8" s="9" t="n">
        <v>11.95</v>
      </c>
      <c r="K8" s="14" t="n">
        <f aca="false">IF(D8="",0,J8*Supuestos!$B$63+(D8-J8)*Supuestos!$B$64)</f>
        <v>754980</v>
      </c>
    </row>
    <row r="9" customFormat="false" ht="18.75" hidden="false" customHeight="true" outlineLevel="0" collapsed="false">
      <c r="B9" s="15" t="s">
        <v>15</v>
      </c>
      <c r="C9" s="9" t="n">
        <v>1863.85</v>
      </c>
      <c r="D9" s="9" t="n">
        <v>148.95</v>
      </c>
      <c r="E9" s="10" t="n">
        <v>180.2</v>
      </c>
      <c r="F9" s="16" t="n">
        <f aca="false">IFERROR(C9+D9+E9,"—")</f>
        <v>2193</v>
      </c>
      <c r="G9" s="17" t="n">
        <f aca="false">IFERROR(D9/(C9+D9),"—")</f>
        <v>0.0740013910969793</v>
      </c>
      <c r="H9" s="16" t="n">
        <f aca="false">IFERROR(C9+D9,"—")</f>
        <v>2012.8</v>
      </c>
      <c r="I9" s="13" t="n">
        <v>0.07</v>
      </c>
      <c r="J9" s="9" t="n">
        <v>9.05</v>
      </c>
      <c r="K9" s="14" t="n">
        <f aca="false">IF(D9="",0,J9*Supuestos!$B$63+(D9-J9)*Supuestos!$B$64)</f>
        <v>861120</v>
      </c>
    </row>
    <row r="10" customFormat="false" ht="18.75" hidden="false" customHeight="true" outlineLevel="0" collapsed="false">
      <c r="B10" s="8" t="s">
        <v>16</v>
      </c>
      <c r="C10" s="9" t="n">
        <v>1901</v>
      </c>
      <c r="D10" s="9" t="n">
        <v>245</v>
      </c>
      <c r="E10" s="10" t="n">
        <v>14</v>
      </c>
      <c r="F10" s="11" t="n">
        <f aca="false">IFERROR(C10+D10+E10,"—")</f>
        <v>2160</v>
      </c>
      <c r="G10" s="12" t="n">
        <f aca="false">IFERROR(D10/(C10+D10),"—")</f>
        <v>0.114165890027959</v>
      </c>
      <c r="H10" s="11" t="n">
        <f aca="false">IFERROR(C10+D10,"—")</f>
        <v>2146</v>
      </c>
      <c r="I10" s="13" t="n">
        <v>0.06</v>
      </c>
      <c r="J10" s="9" t="n">
        <v>13.23</v>
      </c>
      <c r="K10" s="14" t="n">
        <f aca="false">IF(D10="",0,J10*Supuestos!$B$63+(D10-J10)*Supuestos!$B$64)</f>
        <v>1422372</v>
      </c>
    </row>
    <row r="11" customFormat="false" ht="18.75" hidden="false" customHeight="true" outlineLevel="0" collapsed="false">
      <c r="B11" s="15" t="s">
        <v>17</v>
      </c>
      <c r="C11" s="9" t="n">
        <v>1722.03</v>
      </c>
      <c r="D11" s="9" t="n">
        <v>278.87</v>
      </c>
      <c r="E11" s="10" t="n">
        <v>143.1</v>
      </c>
      <c r="F11" s="16" t="n">
        <f aca="false">IFERROR(C11+D11+E11,"—")</f>
        <v>2144</v>
      </c>
      <c r="G11" s="17" t="n">
        <f aca="false">IFERROR(D11/(C11+D11),"—")</f>
        <v>0.139372282472887</v>
      </c>
      <c r="H11" s="16" t="n">
        <f aca="false">IFERROR(C11+D11,"—")</f>
        <v>2000.9</v>
      </c>
      <c r="I11" s="13" t="n">
        <v>0.05</v>
      </c>
      <c r="J11" s="9" t="n">
        <v>10.24</v>
      </c>
      <c r="K11" s="14" t="n">
        <f aca="false">IF(D11="",0,J11*Supuestos!$B$63+(D11-J11)*Supuestos!$B$64)</f>
        <v>1636356</v>
      </c>
    </row>
    <row r="12" customFormat="false" ht="18.75" hidden="false" customHeight="true" outlineLevel="0" collapsed="false">
      <c r="B12" s="8" t="s">
        <v>18</v>
      </c>
      <c r="C12" s="9" t="n">
        <v>2097.76</v>
      </c>
      <c r="D12" s="9" t="n">
        <v>127.13</v>
      </c>
      <c r="E12" s="10" t="n">
        <v>154.28</v>
      </c>
      <c r="F12" s="11" t="n">
        <f aca="false">IFERROR(C12+D12+E12,"—")</f>
        <v>2379.17</v>
      </c>
      <c r="G12" s="12" t="n">
        <f aca="false">IFERROR(D12/(C12+D12),"—")</f>
        <v>0.0571399035457933</v>
      </c>
      <c r="H12" s="11" t="n">
        <f aca="false">IFERROR(C12+D12,"—")</f>
        <v>2224.89</v>
      </c>
      <c r="I12" s="13" t="n">
        <v>0.05</v>
      </c>
      <c r="J12" s="9" t="n">
        <v>5.91</v>
      </c>
      <c r="K12" s="14" t="n">
        <f aca="false">IF(D12="",0,J12*Supuestos!$B$63+(D12-J12)*Supuestos!$B$64)</f>
        <v>741504</v>
      </c>
    </row>
    <row r="13" customFormat="false" ht="18.75" hidden="false" customHeight="true" outlineLevel="0" collapsed="false">
      <c r="B13" s="15" t="s">
        <v>19</v>
      </c>
      <c r="C13" s="18"/>
      <c r="D13" s="18"/>
      <c r="E13" s="18"/>
      <c r="F13" s="16" t="n">
        <f aca="false">IFERROR(C13+D13+E13,"—")</f>
        <v>0</v>
      </c>
      <c r="G13" s="17" t="str">
        <f aca="false">IFERROR(D13/(C13+D13),"—")</f>
        <v>—</v>
      </c>
      <c r="H13" s="16" t="n">
        <f aca="false">IFERROR(C13+D13,"—")</f>
        <v>0</v>
      </c>
      <c r="I13" s="13" t="n">
        <v>0.05</v>
      </c>
      <c r="J13" s="19"/>
      <c r="K13" s="14" t="n">
        <f aca="false">IF(D13="",0,J13*Supuestos!$B$63+(D13-J13)*Supuestos!$B$64)</f>
        <v>0</v>
      </c>
    </row>
    <row r="14" customFormat="false" ht="18.75" hidden="false" customHeight="true" outlineLevel="0" collapsed="false">
      <c r="B14" s="8" t="s">
        <v>20</v>
      </c>
      <c r="C14" s="19"/>
      <c r="D14" s="19"/>
      <c r="E14" s="19"/>
      <c r="F14" s="11" t="n">
        <f aca="false">IFERROR(C14+D14+E14,"—")</f>
        <v>0</v>
      </c>
      <c r="G14" s="12" t="str">
        <f aca="false">IFERROR(D14/(C14+D14),"—")</f>
        <v>—</v>
      </c>
      <c r="H14" s="11" t="n">
        <f aca="false">IFERROR(C14+D14,"—")</f>
        <v>0</v>
      </c>
      <c r="I14" s="13" t="n">
        <v>0.05</v>
      </c>
      <c r="J14" s="19"/>
      <c r="K14" s="14" t="n">
        <f aca="false">IF(D14="",0,J14*Supuestos!$B$63+(D14-J14)*Supuestos!$B$64)</f>
        <v>0</v>
      </c>
    </row>
    <row r="15" customFormat="false" ht="18.75" hidden="false" customHeight="true" outlineLevel="0" collapsed="false">
      <c r="B15" s="15" t="s">
        <v>21</v>
      </c>
      <c r="C15" s="18"/>
      <c r="D15" s="18"/>
      <c r="E15" s="18"/>
      <c r="F15" s="16" t="n">
        <f aca="false">IFERROR(C15+D15+E15,"—")</f>
        <v>0</v>
      </c>
      <c r="G15" s="17" t="str">
        <f aca="false">IFERROR(D15/(C15+D15),"—")</f>
        <v>—</v>
      </c>
      <c r="H15" s="16" t="n">
        <f aca="false">IFERROR(C15+D15,"—")</f>
        <v>0</v>
      </c>
      <c r="I15" s="13" t="n">
        <v>0.05</v>
      </c>
      <c r="J15" s="19"/>
      <c r="K15" s="14" t="n">
        <f aca="false">IF(D15="",0,J15*Supuestos!$B$63+(D15-J15)*Supuestos!$B$64)</f>
        <v>0</v>
      </c>
    </row>
    <row r="16" customFormat="false" ht="19.5" hidden="false" customHeight="true" outlineLevel="0" collapsed="false">
      <c r="B16" s="20" t="s">
        <v>22</v>
      </c>
      <c r="C16" s="21" t="n">
        <f aca="false">IFERROR(SUM(C8:C15),"—")</f>
        <v>9474.54</v>
      </c>
      <c r="D16" s="21" t="n">
        <f aca="false">IFERROR(SUM(D8:D15),"—")</f>
        <v>932.95</v>
      </c>
      <c r="E16" s="21" t="n">
        <f aca="false">IFERROR(SUM(E8:E15),"—")</f>
        <v>568.13</v>
      </c>
      <c r="F16" s="21" t="n">
        <f aca="false">IFERROR(SUM(F8:F15),"—")</f>
        <v>10975.62</v>
      </c>
      <c r="G16" s="22" t="n">
        <f aca="false">IFERROR(D16/(C16+D16),"—")</f>
        <v>0.0896421711671114</v>
      </c>
      <c r="H16" s="21" t="n">
        <f aca="false">IFERROR(C16+D16,"—")</f>
        <v>10407.49</v>
      </c>
      <c r="J16" s="21" t="n">
        <f aca="false">IFERROR(SUM(J8:J15),"—")</f>
        <v>50.38</v>
      </c>
      <c r="K16" s="23" t="n">
        <f aca="false">IFERROR(SUM(K8:K15),"—")</f>
        <v>5416332</v>
      </c>
    </row>
    <row r="17" customFormat="false" ht="9.75" hidden="false" customHeight="true" outlineLevel="0" collapsed="false"/>
    <row r="18" customFormat="false" ht="21.75" hidden="false" customHeight="true" outlineLevel="0" collapsed="false">
      <c r="B18" s="6" t="s">
        <v>23</v>
      </c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27.75" hidden="false" customHeight="true" outlineLevel="0" collapsed="false">
      <c r="B19" s="7" t="s">
        <v>4</v>
      </c>
      <c r="C19" s="7" t="s">
        <v>24</v>
      </c>
      <c r="D19" s="7" t="s">
        <v>25</v>
      </c>
      <c r="E19" s="7" t="s">
        <v>26</v>
      </c>
      <c r="F19" s="7" t="s">
        <v>27</v>
      </c>
      <c r="G19" s="7" t="s">
        <v>28</v>
      </c>
      <c r="H19" s="7" t="s">
        <v>29</v>
      </c>
      <c r="I19" s="7" t="s">
        <v>30</v>
      </c>
    </row>
    <row r="20" customFormat="false" ht="18.75" hidden="false" customHeight="true" outlineLevel="0" collapsed="false">
      <c r="B20" s="8" t="s">
        <v>14</v>
      </c>
      <c r="C20" s="24" t="n">
        <f aca="false">IFERROR(Resumen_Mensual!B2,"—")</f>
        <v>25</v>
      </c>
      <c r="D20" s="24" t="n">
        <f aca="false">IFERROR(Resumen_Mensual!C2,"—")</f>
        <v>50</v>
      </c>
      <c r="E20" s="24" t="n">
        <f aca="false">IFERROR(Resumen_Mensual!E2,"—")</f>
        <v>0</v>
      </c>
      <c r="F20" s="14" t="n">
        <f aca="false">IFERROR(K8,"—")</f>
        <v>754980</v>
      </c>
      <c r="G20" s="25" t="s">
        <v>31</v>
      </c>
      <c r="H20" s="26" t="n">
        <v>52</v>
      </c>
      <c r="I20" s="27" t="n">
        <f aca="false">IFERROR(H20/C20,"—")</f>
        <v>2.08</v>
      </c>
    </row>
    <row r="21" customFormat="false" ht="18.75" hidden="false" customHeight="true" outlineLevel="0" collapsed="false">
      <c r="B21" s="15" t="s">
        <v>15</v>
      </c>
      <c r="C21" s="28" t="n">
        <f aca="false">IFERROR(Resumen_Mensual!B3,"—")</f>
        <v>55</v>
      </c>
      <c r="D21" s="28" t="n">
        <f aca="false">IFERROR(Resumen_Mensual!C3,"—")</f>
        <v>157</v>
      </c>
      <c r="E21" s="28" t="n">
        <f aca="false">IFERROR(Resumen_Mensual!E3,"—")</f>
        <v>0</v>
      </c>
      <c r="F21" s="14" t="n">
        <f aca="false">IFERROR(K9,"—")</f>
        <v>861120</v>
      </c>
      <c r="G21" s="25" t="s">
        <v>31</v>
      </c>
      <c r="H21" s="26" t="n">
        <v>52</v>
      </c>
      <c r="I21" s="29" t="n">
        <f aca="false">IFERROR(H21/C21,"—")</f>
        <v>0.945454545454545</v>
      </c>
    </row>
    <row r="22" customFormat="false" ht="18.75" hidden="false" customHeight="true" outlineLevel="0" collapsed="false">
      <c r="B22" s="8" t="s">
        <v>16</v>
      </c>
      <c r="C22" s="24" t="n">
        <f aca="false">IFERROR(Resumen_Mensual!B4,"—")</f>
        <v>48</v>
      </c>
      <c r="D22" s="24" t="n">
        <f aca="false">IFERROR(Resumen_Mensual!C4,"—")</f>
        <v>286</v>
      </c>
      <c r="E22" s="24" t="n">
        <f aca="false">IFERROR(Resumen_Mensual!E4,"—")</f>
        <v>0</v>
      </c>
      <c r="F22" s="14" t="n">
        <f aca="false">IFERROR(K10,"—")</f>
        <v>1422372</v>
      </c>
      <c r="G22" s="25" t="s">
        <v>31</v>
      </c>
      <c r="H22" s="26" t="n">
        <v>52</v>
      </c>
      <c r="I22" s="27" t="n">
        <f aca="false">IFERROR(H22/C22,"—")</f>
        <v>1.08333333333333</v>
      </c>
    </row>
    <row r="23" customFormat="false" ht="18.75" hidden="false" customHeight="true" outlineLevel="0" collapsed="false">
      <c r="B23" s="15" t="s">
        <v>17</v>
      </c>
      <c r="C23" s="28" t="n">
        <f aca="false">IFERROR(Resumen_Mensual!B5,"—")</f>
        <v>57</v>
      </c>
      <c r="D23" s="28" t="n">
        <f aca="false">IFERROR(Resumen_Mensual!C5,"—")</f>
        <v>198</v>
      </c>
      <c r="E23" s="28" t="n">
        <f aca="false">IFERROR(Resumen_Mensual!E5,"—")</f>
        <v>0</v>
      </c>
      <c r="F23" s="14" t="n">
        <f aca="false">IFERROR(K11,"—")</f>
        <v>1636356</v>
      </c>
      <c r="G23" s="25" t="s">
        <v>31</v>
      </c>
      <c r="H23" s="26" t="n">
        <v>52</v>
      </c>
      <c r="I23" s="29" t="n">
        <f aca="false">IFERROR(H23/C23,"—")</f>
        <v>0.912280701754386</v>
      </c>
    </row>
    <row r="24" customFormat="false" ht="18.75" hidden="false" customHeight="true" outlineLevel="0" collapsed="false">
      <c r="B24" s="8" t="s">
        <v>18</v>
      </c>
      <c r="C24" s="24" t="n">
        <f aca="false">IFERROR(Resumen_Mensual!B6,"—")</f>
        <v>51</v>
      </c>
      <c r="D24" s="24" t="n">
        <f aca="false">IFERROR(Resumen_Mensual!C6,"—")</f>
        <v>354</v>
      </c>
      <c r="E24" s="24" t="n">
        <f aca="false">IFERROR(Resumen_Mensual!E6,"—")</f>
        <v>0</v>
      </c>
      <c r="F24" s="14" t="n">
        <f aca="false">IFERROR(K12,"—")</f>
        <v>741504</v>
      </c>
      <c r="G24" s="25" t="s">
        <v>32</v>
      </c>
      <c r="H24" s="26" t="n">
        <v>12</v>
      </c>
      <c r="I24" s="27" t="n">
        <f aca="false">IFERROR(H24/C24,"—")</f>
        <v>0.235294117647059</v>
      </c>
    </row>
    <row r="25" customFormat="false" ht="18.75" hidden="false" customHeight="true" outlineLevel="0" collapsed="false">
      <c r="B25" s="15" t="s">
        <v>19</v>
      </c>
      <c r="C25" s="28" t="n">
        <f aca="false">IFERROR(Resumen_Mensual!B7,"—")</f>
        <v>0</v>
      </c>
      <c r="D25" s="28" t="n">
        <f aca="false">IFERROR(Resumen_Mensual!C7,"—")</f>
        <v>0</v>
      </c>
      <c r="E25" s="28" t="n">
        <f aca="false">IFERROR(Resumen_Mensual!E7,"—")</f>
        <v>0</v>
      </c>
      <c r="F25" s="14" t="n">
        <f aca="false">IFERROR(K13,"—")</f>
        <v>0</v>
      </c>
      <c r="G25" s="30"/>
      <c r="H25" s="31"/>
      <c r="I25" s="29" t="str">
        <f aca="false">IFERROR(H25/C25,"—")</f>
        <v>—</v>
      </c>
    </row>
    <row r="26" customFormat="false" ht="18.75" hidden="false" customHeight="true" outlineLevel="0" collapsed="false">
      <c r="B26" s="8" t="s">
        <v>20</v>
      </c>
      <c r="C26" s="24" t="n">
        <f aca="false">IFERROR(Resumen_Mensual!B8,"—")</f>
        <v>0</v>
      </c>
      <c r="D26" s="24" t="n">
        <f aca="false">IFERROR(Resumen_Mensual!C8,"—")</f>
        <v>0</v>
      </c>
      <c r="E26" s="24" t="n">
        <f aca="false">IFERROR(Resumen_Mensual!E8,"—")</f>
        <v>0</v>
      </c>
      <c r="F26" s="14" t="n">
        <f aca="false">IFERROR(K14,"—")</f>
        <v>0</v>
      </c>
      <c r="G26" s="32"/>
      <c r="H26" s="33"/>
      <c r="I26" s="27" t="str">
        <f aca="false">IFERROR(H26/C26,"—")</f>
        <v>—</v>
      </c>
    </row>
    <row r="27" customFormat="false" ht="18.75" hidden="false" customHeight="true" outlineLevel="0" collapsed="false">
      <c r="B27" s="15" t="s">
        <v>21</v>
      </c>
      <c r="C27" s="28" t="n">
        <f aca="false">IFERROR(Resumen_Mensual!B9,"—")</f>
        <v>0</v>
      </c>
      <c r="D27" s="28" t="n">
        <f aca="false">IFERROR(Resumen_Mensual!C9,"—")</f>
        <v>0</v>
      </c>
      <c r="E27" s="28" t="n">
        <f aca="false">IFERROR(Resumen_Mensual!E9,"—")</f>
        <v>0</v>
      </c>
      <c r="F27" s="14" t="n">
        <f aca="false">IFERROR(K15,"—")</f>
        <v>0</v>
      </c>
      <c r="G27" s="30"/>
      <c r="H27" s="31"/>
      <c r="I27" s="29" t="str">
        <f aca="false">IFERROR(H27/C27,"—")</f>
        <v>—</v>
      </c>
    </row>
    <row r="28" customFormat="false" ht="19.5" hidden="false" customHeight="true" outlineLevel="0" collapsed="false">
      <c r="B28" s="20" t="s">
        <v>33</v>
      </c>
      <c r="C28" s="34" t="n">
        <f aca="false">IFERROR(SUM(C20:C27),"—")</f>
        <v>236</v>
      </c>
      <c r="D28" s="34" t="n">
        <f aca="false">IFERROR(SUM(D20:D27),"—")</f>
        <v>1045</v>
      </c>
      <c r="F28" s="23" t="n">
        <f aca="false">IFERROR(SUM(F20:F27),"—")</f>
        <v>5416332</v>
      </c>
    </row>
    <row r="29" customFormat="false" ht="9.75" hidden="false" customHeight="true" outlineLevel="0" collapsed="false"/>
    <row r="30" customFormat="false" ht="21.75" hidden="false" customHeight="true" outlineLevel="0" collapsed="false">
      <c r="B30" s="6" t="s">
        <v>34</v>
      </c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27.75" hidden="false" customHeight="true" outlineLevel="0" collapsed="false">
      <c r="B31" s="7" t="s">
        <v>4</v>
      </c>
      <c r="C31" s="7" t="s">
        <v>35</v>
      </c>
      <c r="D31" s="7" t="s">
        <v>36</v>
      </c>
      <c r="E31" s="7" t="s">
        <v>37</v>
      </c>
      <c r="F31" s="7" t="s">
        <v>38</v>
      </c>
      <c r="G31" s="7" t="s">
        <v>39</v>
      </c>
      <c r="H31" s="7" t="s">
        <v>40</v>
      </c>
      <c r="I31" s="7" t="s">
        <v>41</v>
      </c>
    </row>
    <row r="32" customFormat="false" ht="18.75" hidden="false" customHeight="true" outlineLevel="0" collapsed="false">
      <c r="B32" s="8" t="s">
        <v>14</v>
      </c>
      <c r="C32" s="35" t="n">
        <v>0</v>
      </c>
      <c r="D32" s="14" t="n">
        <f aca="false">IFERROR(K8,0)</f>
        <v>754980</v>
      </c>
      <c r="E32" s="36" t="str">
        <f aca="false">IFERROR(D32/C32,"—")</f>
        <v>—</v>
      </c>
      <c r="F32" s="14" t="n">
        <f aca="false">IFERROR(D8*Supuestos!$B$64,0)</f>
        <v>798000</v>
      </c>
      <c r="G32" s="37" t="n">
        <f aca="false">IFERROR(D32,0)</f>
        <v>754980</v>
      </c>
      <c r="H32" s="38" t="str">
        <f aca="false">IFERROR(G32/C32,"—")</f>
        <v>—</v>
      </c>
      <c r="I32" s="13" t="n">
        <v>0.03</v>
      </c>
    </row>
    <row r="33" customFormat="false" ht="18.75" hidden="false" customHeight="true" outlineLevel="0" collapsed="false">
      <c r="B33" s="15" t="s">
        <v>15</v>
      </c>
      <c r="C33" s="35" t="n">
        <v>0</v>
      </c>
      <c r="D33" s="14" t="n">
        <f aca="false">IFERROR(K9,0)</f>
        <v>861120</v>
      </c>
      <c r="E33" s="39" t="str">
        <f aca="false">IFERROR(D33/C33,"—")</f>
        <v>—</v>
      </c>
      <c r="F33" s="14" t="n">
        <f aca="false">IFERROR(D9*Supuestos!$B$64,0)</f>
        <v>893700</v>
      </c>
      <c r="G33" s="37" t="n">
        <f aca="false">IFERROR(D33,0)</f>
        <v>861120</v>
      </c>
      <c r="H33" s="40" t="str">
        <f aca="false">IFERROR(G33/C33,"—")</f>
        <v>—</v>
      </c>
      <c r="I33" s="13" t="n">
        <v>0.03</v>
      </c>
    </row>
    <row r="34" customFormat="false" ht="18.75" hidden="false" customHeight="true" outlineLevel="0" collapsed="false">
      <c r="B34" s="8" t="s">
        <v>16</v>
      </c>
      <c r="C34" s="35" t="n">
        <v>0</v>
      </c>
      <c r="D34" s="14" t="n">
        <f aca="false">IFERROR(K10,0)</f>
        <v>1422372</v>
      </c>
      <c r="E34" s="36" t="str">
        <f aca="false">IFERROR(D34/C34,"—")</f>
        <v>—</v>
      </c>
      <c r="F34" s="14" t="n">
        <f aca="false">IFERROR(D10*Supuestos!$B$64,0)</f>
        <v>1470000</v>
      </c>
      <c r="G34" s="37" t="n">
        <f aca="false">IFERROR(D34,0)</f>
        <v>1422372</v>
      </c>
      <c r="H34" s="38" t="str">
        <f aca="false">IFERROR(G34/C34,"—")</f>
        <v>—</v>
      </c>
      <c r="I34" s="13" t="n">
        <v>0.03</v>
      </c>
    </row>
    <row r="35" customFormat="false" ht="18.75" hidden="false" customHeight="true" outlineLevel="0" collapsed="false">
      <c r="B35" s="15" t="s">
        <v>17</v>
      </c>
      <c r="C35" s="35" t="n">
        <v>0</v>
      </c>
      <c r="D35" s="14" t="n">
        <f aca="false">IFERROR(K11,0)</f>
        <v>1636356</v>
      </c>
      <c r="E35" s="39" t="str">
        <f aca="false">IFERROR(D35/C35,"—")</f>
        <v>—</v>
      </c>
      <c r="F35" s="14" t="n">
        <f aca="false">IFERROR(D11*Supuestos!$B$64,0)</f>
        <v>1673220</v>
      </c>
      <c r="G35" s="37" t="n">
        <f aca="false">IFERROR(D35,0)</f>
        <v>1636356</v>
      </c>
      <c r="H35" s="40" t="str">
        <f aca="false">IFERROR(G35/C35,"—")</f>
        <v>—</v>
      </c>
      <c r="I35" s="13" t="n">
        <v>0.03</v>
      </c>
    </row>
    <row r="36" customFormat="false" ht="18.75" hidden="false" customHeight="true" outlineLevel="0" collapsed="false">
      <c r="B36" s="8" t="s">
        <v>18</v>
      </c>
      <c r="C36" s="35"/>
      <c r="D36" s="14" t="n">
        <f aca="false">IFERROR(K12,0)</f>
        <v>741504</v>
      </c>
      <c r="E36" s="36" t="str">
        <f aca="false">IFERROR(D36/C36,"—")</f>
        <v>—</v>
      </c>
      <c r="F36" s="14" t="n">
        <f aca="false">IFERROR(D12*Supuestos!$B$64,0)</f>
        <v>762780</v>
      </c>
      <c r="G36" s="37" t="n">
        <f aca="false">IFERROR(D36,0)</f>
        <v>741504</v>
      </c>
      <c r="H36" s="38" t="str">
        <f aca="false">IFERROR(G36/C36,"—")</f>
        <v>—</v>
      </c>
      <c r="I36" s="13" t="n">
        <v>0.03</v>
      </c>
    </row>
    <row r="37" customFormat="false" ht="18.75" hidden="false" customHeight="true" outlineLevel="0" collapsed="false">
      <c r="B37" s="15" t="s">
        <v>19</v>
      </c>
      <c r="C37" s="35"/>
      <c r="D37" s="14" t="n">
        <f aca="false">IFERROR(K13,0)</f>
        <v>0</v>
      </c>
      <c r="E37" s="39" t="str">
        <f aca="false">IFERROR(D37/C37,"—")</f>
        <v>—</v>
      </c>
      <c r="F37" s="14" t="n">
        <f aca="false">IFERROR(D13*Supuestos!$B$64,0)</f>
        <v>0</v>
      </c>
      <c r="G37" s="37" t="n">
        <f aca="false">IFERROR(D37,0)</f>
        <v>0</v>
      </c>
      <c r="H37" s="40" t="str">
        <f aca="false">IFERROR(G37/C37,"—")</f>
        <v>—</v>
      </c>
      <c r="I37" s="13" t="n">
        <v>0.03</v>
      </c>
    </row>
    <row r="38" customFormat="false" ht="18.75" hidden="false" customHeight="true" outlineLevel="0" collapsed="false">
      <c r="B38" s="8" t="s">
        <v>20</v>
      </c>
      <c r="C38" s="35"/>
      <c r="D38" s="14" t="n">
        <f aca="false">IFERROR(K14,0)</f>
        <v>0</v>
      </c>
      <c r="E38" s="36" t="str">
        <f aca="false">IFERROR(D38/C38,"—")</f>
        <v>—</v>
      </c>
      <c r="F38" s="14" t="n">
        <f aca="false">IFERROR(D14*Supuestos!$B$64,0)</f>
        <v>0</v>
      </c>
      <c r="G38" s="37" t="n">
        <f aca="false">IFERROR(D38,0)</f>
        <v>0</v>
      </c>
      <c r="H38" s="38" t="str">
        <f aca="false">IFERROR(G38/C38,"—")</f>
        <v>—</v>
      </c>
      <c r="I38" s="13" t="n">
        <v>0.03</v>
      </c>
    </row>
    <row r="39" customFormat="false" ht="18.75" hidden="false" customHeight="true" outlineLevel="0" collapsed="false">
      <c r="B39" s="15" t="s">
        <v>21</v>
      </c>
      <c r="C39" s="35"/>
      <c r="D39" s="14" t="n">
        <f aca="false">IFERROR(K15,0)</f>
        <v>0</v>
      </c>
      <c r="E39" s="39" t="str">
        <f aca="false">IFERROR(D39/C39,"—")</f>
        <v>—</v>
      </c>
      <c r="F39" s="14" t="n">
        <f aca="false">IFERROR(D15*Supuestos!$B$64,0)</f>
        <v>0</v>
      </c>
      <c r="G39" s="37" t="n">
        <f aca="false">IFERROR(D39,0)</f>
        <v>0</v>
      </c>
      <c r="H39" s="40" t="str">
        <f aca="false">IFERROR(G39/C39,"—")</f>
        <v>—</v>
      </c>
      <c r="I39" s="13" t="n">
        <v>0.03</v>
      </c>
    </row>
    <row r="40" customFormat="false" ht="19.5" hidden="false" customHeight="true" outlineLevel="0" collapsed="false">
      <c r="B40" s="20" t="s">
        <v>42</v>
      </c>
      <c r="C40" s="23" t="n">
        <f aca="false">IFERROR(SUM(C32:C39),0)</f>
        <v>0</v>
      </c>
      <c r="D40" s="23" t="n">
        <f aca="false">IFERROR(SUM(D32:D39),0)</f>
        <v>5416332</v>
      </c>
      <c r="E40" s="22" t="str">
        <f aca="false">IFERROR(D40/C40,"—")</f>
        <v>—</v>
      </c>
      <c r="F40" s="23" t="n">
        <f aca="false">IFERROR(SUM(F32:F39),0)</f>
        <v>5597700</v>
      </c>
      <c r="G40" s="23" t="n">
        <f aca="false">IFERROR(SUM(G32:G39),0)</f>
        <v>5416332</v>
      </c>
      <c r="H40" s="22" t="str">
        <f aca="false">IFERROR(G40/C40,"—")</f>
        <v>—</v>
      </c>
    </row>
    <row r="41" customFormat="false" ht="9.75" hidden="false" customHeight="true" outlineLevel="0" collapsed="false"/>
    <row r="42" customFormat="false" ht="21.75" hidden="false" customHeight="true" outlineLevel="0" collapsed="false">
      <c r="B42" s="6" t="s">
        <v>43</v>
      </c>
      <c r="C42" s="6"/>
      <c r="D42" s="6"/>
      <c r="E42" s="6"/>
      <c r="F42" s="6"/>
      <c r="G42" s="6"/>
      <c r="H42" s="6"/>
      <c r="I42" s="6"/>
      <c r="J42" s="6"/>
      <c r="K42" s="6"/>
      <c r="L42" s="6"/>
    </row>
    <row r="43" customFormat="false" ht="21.75" hidden="false" customHeight="true" outlineLevel="0" collapsed="false">
      <c r="B43" s="41" t="s">
        <v>44</v>
      </c>
      <c r="C43" s="42" t="s">
        <v>45</v>
      </c>
      <c r="D43" s="42"/>
      <c r="E43" s="42"/>
      <c r="F43" s="42"/>
      <c r="G43" s="42"/>
      <c r="H43" s="42"/>
      <c r="I43" s="42"/>
      <c r="J43" s="42"/>
      <c r="K43" s="42"/>
      <c r="L43" s="42"/>
    </row>
    <row r="44" customFormat="false" ht="21.75" hidden="false" customHeight="true" outlineLevel="0" collapsed="false">
      <c r="B44" s="43" t="s">
        <v>46</v>
      </c>
      <c r="C44" s="44" t="s">
        <v>47</v>
      </c>
      <c r="D44" s="44"/>
      <c r="E44" s="44"/>
      <c r="F44" s="44"/>
      <c r="G44" s="44"/>
      <c r="H44" s="44"/>
      <c r="I44" s="44"/>
      <c r="J44" s="44"/>
      <c r="K44" s="44"/>
      <c r="L44" s="44"/>
    </row>
    <row r="45" customFormat="false" ht="21.75" hidden="false" customHeight="true" outlineLevel="0" collapsed="false">
      <c r="B45" s="41" t="s">
        <v>48</v>
      </c>
      <c r="C45" s="42" t="s">
        <v>49</v>
      </c>
      <c r="D45" s="42"/>
      <c r="E45" s="42"/>
      <c r="F45" s="42"/>
      <c r="G45" s="42"/>
      <c r="H45" s="42"/>
      <c r="I45" s="42"/>
      <c r="J45" s="42"/>
      <c r="K45" s="42"/>
      <c r="L45" s="42"/>
    </row>
    <row r="46" customFormat="false" ht="21.75" hidden="false" customHeight="true" outlineLevel="0" collapsed="false">
      <c r="B46" s="43" t="s">
        <v>50</v>
      </c>
      <c r="C46" s="44" t="s">
        <v>51</v>
      </c>
      <c r="D46" s="44"/>
      <c r="E46" s="44"/>
      <c r="F46" s="44"/>
      <c r="G46" s="44"/>
      <c r="H46" s="44"/>
      <c r="I46" s="44"/>
      <c r="J46" s="44"/>
      <c r="K46" s="44"/>
      <c r="L46" s="44"/>
    </row>
    <row r="47" customFormat="false" ht="21.75" hidden="false" customHeight="true" outlineLevel="0" collapsed="false">
      <c r="B47" s="41" t="s">
        <v>52</v>
      </c>
      <c r="C47" s="42" t="s">
        <v>53</v>
      </c>
      <c r="D47" s="42"/>
      <c r="E47" s="42"/>
      <c r="F47" s="42"/>
      <c r="G47" s="42"/>
      <c r="H47" s="42"/>
      <c r="I47" s="42"/>
      <c r="J47" s="42"/>
      <c r="K47" s="42"/>
      <c r="L47" s="42"/>
    </row>
    <row r="49" customFormat="false" ht="9.75" hidden="false" customHeight="true" outlineLevel="0" collapsed="false"/>
    <row r="50" customFormat="false" ht="21.75" hidden="false" customHeight="true" outlineLevel="0" collapsed="false">
      <c r="B50" s="6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</row>
    <row r="51" customFormat="false" ht="19.5" hidden="false" customHeight="true" outlineLevel="0" collapsed="false">
      <c r="B51" s="45" t="s">
        <v>55</v>
      </c>
      <c r="C51" s="45"/>
      <c r="D51" s="45" t="s">
        <v>56</v>
      </c>
      <c r="E51" s="45"/>
      <c r="F51" s="45" t="s">
        <v>57</v>
      </c>
      <c r="G51" s="45"/>
      <c r="H51" s="45" t="s">
        <v>58</v>
      </c>
      <c r="I51" s="45"/>
      <c r="J51" s="45" t="s">
        <v>59</v>
      </c>
      <c r="K51" s="45"/>
    </row>
    <row r="52" customFormat="false" ht="19.5" hidden="false" customHeight="true" outlineLevel="0" collapsed="false">
      <c r="B52" s="46" t="s">
        <v>60</v>
      </c>
      <c r="C52" s="46"/>
      <c r="D52" s="47" t="n">
        <f aca="false">IFERROR(LOOKUP(2,1/ISNUMBER(G8:G15),G8:G15),"—")</f>
        <v>0.0571399035457933</v>
      </c>
      <c r="E52" s="47"/>
      <c r="F52" s="48" t="s">
        <v>61</v>
      </c>
      <c r="G52" s="48"/>
      <c r="H52" s="42" t="s">
        <v>62</v>
      </c>
      <c r="I52" s="42"/>
      <c r="J52" s="49" t="s">
        <v>63</v>
      </c>
      <c r="K52" s="49"/>
    </row>
    <row r="53" customFormat="false" ht="19.5" hidden="false" customHeight="true" outlineLevel="0" collapsed="false">
      <c r="B53" s="50" t="s">
        <v>64</v>
      </c>
      <c r="C53" s="50"/>
      <c r="D53" s="51" t="n">
        <f aca="false">IFERROR(SUM(C20:C27),"—")</f>
        <v>236</v>
      </c>
      <c r="E53" s="51"/>
      <c r="F53" s="52" t="s">
        <v>65</v>
      </c>
      <c r="G53" s="52"/>
      <c r="H53" s="44" t="s">
        <v>66</v>
      </c>
      <c r="I53" s="44"/>
      <c r="J53" s="53" t="s">
        <v>67</v>
      </c>
      <c r="K53" s="53"/>
    </row>
    <row r="54" customFormat="false" ht="19.5" hidden="false" customHeight="true" outlineLevel="0" collapsed="false">
      <c r="B54" s="46" t="s">
        <v>68</v>
      </c>
      <c r="C54" s="46"/>
      <c r="D54" s="54" t="n">
        <f aca="false">IFERROR(SUM(F20:F27),"—")</f>
        <v>5416332</v>
      </c>
      <c r="E54" s="54"/>
      <c r="F54" s="48" t="s">
        <v>69</v>
      </c>
      <c r="G54" s="48"/>
      <c r="H54" s="42" t="s">
        <v>70</v>
      </c>
      <c r="I54" s="42"/>
      <c r="J54" s="49" t="s">
        <v>67</v>
      </c>
      <c r="K54" s="49"/>
    </row>
    <row r="55" customFormat="false" ht="19.5" hidden="false" customHeight="true" outlineLevel="0" collapsed="false">
      <c r="B55" s="50" t="s">
        <v>71</v>
      </c>
      <c r="C55" s="50"/>
      <c r="D55" s="55" t="str">
        <f aca="false">IFERROR(D40/C40,"—")</f>
        <v>—</v>
      </c>
      <c r="E55" s="55"/>
      <c r="F55" s="52" t="s">
        <v>72</v>
      </c>
      <c r="G55" s="52"/>
      <c r="H55" s="44" t="s">
        <v>73</v>
      </c>
      <c r="I55" s="44"/>
      <c r="J55" s="53" t="s">
        <v>74</v>
      </c>
      <c r="K55" s="53"/>
    </row>
    <row r="56" customFormat="false" ht="19.5" hidden="false" customHeight="true" outlineLevel="0" collapsed="false">
      <c r="B56" s="46" t="s">
        <v>75</v>
      </c>
      <c r="C56" s="46"/>
      <c r="D56" s="56" t="n">
        <f aca="false">IFERROR(SUM(D8:D15),"—")</f>
        <v>932.95</v>
      </c>
      <c r="E56" s="56"/>
      <c r="F56" s="48" t="s">
        <v>76</v>
      </c>
      <c r="G56" s="48"/>
      <c r="H56" s="42" t="s">
        <v>77</v>
      </c>
      <c r="I56" s="42"/>
      <c r="J56" s="49" t="s">
        <v>63</v>
      </c>
      <c r="K56" s="49"/>
    </row>
  </sheetData>
  <mergeCells count="43">
    <mergeCell ref="B2:L2"/>
    <mergeCell ref="B3:H3"/>
    <mergeCell ref="I3:L3"/>
    <mergeCell ref="B6:L6"/>
    <mergeCell ref="B18:L18"/>
    <mergeCell ref="B30:L30"/>
    <mergeCell ref="B42:L42"/>
    <mergeCell ref="C43:L43"/>
    <mergeCell ref="C44:L44"/>
    <mergeCell ref="C45:L45"/>
    <mergeCell ref="C46:L46"/>
    <mergeCell ref="C47:L47"/>
    <mergeCell ref="B50:L50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11" min="2" style="1" width="14"/>
    <col collapsed="false" customWidth="true" hidden="false" outlineLevel="0" max="12" min="12" style="1" width="1"/>
  </cols>
  <sheetData>
    <row r="1" customFormat="false" ht="6" hidden="false" customHeight="true" outlineLevel="0" collapsed="false"/>
    <row r="2" customFormat="false" ht="36" hidden="false" customHeight="true" outlineLevel="0" collapsed="false">
      <c r="A2" s="57"/>
      <c r="B2" s="58" t="s">
        <v>78</v>
      </c>
      <c r="C2" s="58"/>
      <c r="D2" s="58"/>
      <c r="E2" s="58"/>
      <c r="F2" s="58"/>
      <c r="G2" s="58"/>
      <c r="H2" s="58"/>
      <c r="I2" s="58"/>
      <c r="J2" s="58"/>
      <c r="K2" s="58"/>
      <c r="L2" s="57"/>
    </row>
    <row r="3" customFormat="false" ht="19.5" hidden="false" customHeight="true" outlineLevel="0" collapsed="false">
      <c r="A3" s="57"/>
      <c r="B3" s="59" t="s">
        <v>79</v>
      </c>
      <c r="C3" s="59"/>
      <c r="D3" s="59"/>
      <c r="E3" s="59"/>
      <c r="F3" s="59"/>
      <c r="G3" s="59"/>
      <c r="H3" s="60" t="s">
        <v>80</v>
      </c>
      <c r="I3" s="60"/>
      <c r="J3" s="60"/>
      <c r="K3" s="60"/>
      <c r="L3" s="57"/>
    </row>
    <row r="4" customFormat="false" ht="9.75" hidden="false" customHeight="true" outlineLevel="0" collapsed="false"/>
    <row r="5" customFormat="false" ht="12" hidden="false" customHeight="true" outlineLevel="0" collapsed="false">
      <c r="B5" s="61" t="s">
        <v>81</v>
      </c>
      <c r="C5" s="61"/>
      <c r="D5" s="61"/>
      <c r="E5" s="62" t="s">
        <v>82</v>
      </c>
      <c r="F5" s="62"/>
      <c r="G5" s="62"/>
      <c r="H5" s="62"/>
      <c r="I5" s="63" t="s">
        <v>83</v>
      </c>
      <c r="J5" s="63"/>
      <c r="K5" s="63"/>
    </row>
    <row r="6" customFormat="false" ht="30" hidden="false" customHeight="true" outlineLevel="0" collapsed="false">
      <c r="B6" s="64" t="n">
        <f aca="false">COUNTA(Datos!B2:B1000)</f>
        <v>236</v>
      </c>
      <c r="C6" s="64"/>
      <c r="D6" s="64"/>
      <c r="E6" s="65" t="n">
        <f aca="false">SUM(Datos!G2:G1000)</f>
        <v>1045</v>
      </c>
      <c r="F6" s="65"/>
      <c r="G6" s="65"/>
      <c r="H6" s="65"/>
      <c r="I6" s="66" t="n">
        <f aca="false">Datos_Maestro!K16</f>
        <v>5416332</v>
      </c>
      <c r="J6" s="66"/>
      <c r="K6" s="66"/>
    </row>
    <row r="7" customFormat="false" ht="15.75" hidden="false" customHeight="true" outlineLevel="0" collapsed="false">
      <c r="B7" s="67" t="s">
        <v>84</v>
      </c>
      <c r="C7" s="67"/>
      <c r="D7" s="67"/>
      <c r="E7" s="68" t="s">
        <v>85</v>
      </c>
      <c r="F7" s="68"/>
      <c r="G7" s="68"/>
      <c r="H7" s="68"/>
      <c r="I7" s="69" t="str">
        <f aca="false">IF(SUM(Resumen_Mensual!F2:F6)=0,"Costo por etapa (metros de ploteo)",TEXT(Datos_Maestro!K16/SUM(Resumen_Mensual!F2:F6),"0.0%")&amp;" sobre venta")</f>
        <v>Costo por etapa (metros de ploteo)</v>
      </c>
      <c r="J7" s="69"/>
      <c r="K7" s="69"/>
    </row>
    <row r="8" customFormat="false" ht="9.75" hidden="false" customHeight="true" outlineLevel="0" collapsed="false">
      <c r="B8" s="70"/>
      <c r="C8" s="70"/>
      <c r="D8" s="70"/>
      <c r="E8" s="71"/>
      <c r="F8" s="71"/>
      <c r="G8" s="71"/>
      <c r="H8" s="71"/>
      <c r="I8" s="72"/>
      <c r="J8" s="72"/>
      <c r="K8" s="72"/>
    </row>
    <row r="9" customFormat="false" ht="13.5" hidden="false" customHeight="true" outlineLevel="0" collapsed="false"/>
    <row r="10" customFormat="false" ht="7.5" hidden="false" customHeight="true" outlineLevel="0" collapsed="false"/>
    <row r="11" customFormat="false" ht="21.75" hidden="false" customHeight="true" outlineLevel="0" collapsed="false">
      <c r="A11" s="57"/>
      <c r="B11" s="73" t="s">
        <v>86</v>
      </c>
      <c r="C11" s="73"/>
      <c r="D11" s="73"/>
      <c r="E11" s="73"/>
      <c r="F11" s="73"/>
      <c r="G11" s="73"/>
      <c r="H11" s="73"/>
      <c r="I11" s="73"/>
      <c r="J11" s="73"/>
      <c r="K11" s="73"/>
      <c r="L11" s="57"/>
    </row>
    <row r="12" customFormat="false" ht="19.5" hidden="false" customHeight="true" outlineLevel="0" collapsed="false">
      <c r="B12" s="74" t="s">
        <v>87</v>
      </c>
      <c r="C12" s="74"/>
      <c r="D12" s="74" t="s">
        <v>88</v>
      </c>
      <c r="E12" s="74"/>
      <c r="F12" s="74" t="s">
        <v>89</v>
      </c>
      <c r="G12" s="74"/>
      <c r="H12" s="74" t="s">
        <v>90</v>
      </c>
      <c r="I12" s="74"/>
      <c r="J12" s="74" t="s">
        <v>91</v>
      </c>
      <c r="K12" s="74"/>
    </row>
    <row r="13" customFormat="false" ht="18.75" hidden="false" customHeight="true" outlineLevel="0" collapsed="false">
      <c r="B13" s="75" t="str">
        <f aca="false">Resumen_Motivos!A2</f>
        <v>Mesa / Rollo / Papel</v>
      </c>
      <c r="C13" s="75"/>
      <c r="D13" s="76" t="n">
        <f aca="false">Resumen_Motivos!B2</f>
        <v>78</v>
      </c>
      <c r="E13" s="76"/>
      <c r="F13" s="76" t="n">
        <f aca="false">Resumen_Motivos!C2</f>
        <v>437</v>
      </c>
      <c r="G13" s="76"/>
      <c r="H13" s="77" t="n">
        <f aca="false">Resumen_Motivos!D2</f>
        <v>2601750</v>
      </c>
      <c r="I13" s="77"/>
      <c r="J13" s="78" t="n">
        <f aca="false">IF(SUM(Resumen_Motivos!D$2:D$9)=0,0,Resumen_Motivos!D2/SUM(Resumen_Motivos!D$2:D$9))</f>
        <v>0.379415946625834</v>
      </c>
      <c r="K13" s="78"/>
    </row>
    <row r="14" customFormat="false" ht="18.75" hidden="false" customHeight="true" outlineLevel="0" collapsed="false">
      <c r="B14" s="79" t="str">
        <f aca="false">Resumen_Motivos!A3</f>
        <v>Sublimación</v>
      </c>
      <c r="C14" s="79"/>
      <c r="D14" s="80" t="n">
        <f aca="false">Resumen_Motivos!B3</f>
        <v>62</v>
      </c>
      <c r="E14" s="80"/>
      <c r="F14" s="80" t="n">
        <f aca="false">Resumen_Motivos!C3</f>
        <v>131</v>
      </c>
      <c r="G14" s="80"/>
      <c r="H14" s="81" t="n">
        <f aca="false">Resumen_Motivos!D3</f>
        <v>884250</v>
      </c>
      <c r="I14" s="81"/>
      <c r="J14" s="82" t="n">
        <f aca="false">IF(SUM(Resumen_Motivos!D$2:D$9)=0,0,Resumen_Motivos!D3/SUM(Resumen_Motivos!D$2:D$9))</f>
        <v>0.128951110138904</v>
      </c>
      <c r="K14" s="82"/>
    </row>
    <row r="15" customFormat="false" ht="18.75" hidden="false" customHeight="true" outlineLevel="0" collapsed="false">
      <c r="B15" s="75" t="str">
        <f aca="false">Resumen_Motivos!A4</f>
        <v>Pendiente sub.</v>
      </c>
      <c r="C15" s="75"/>
      <c r="D15" s="76" t="n">
        <f aca="false">Resumen_Motivos!B4</f>
        <v>29</v>
      </c>
      <c r="E15" s="76"/>
      <c r="F15" s="76" t="n">
        <f aca="false">Resumen_Motivos!C4</f>
        <v>63</v>
      </c>
      <c r="G15" s="76"/>
      <c r="H15" s="77" t="n">
        <f aca="false">Resumen_Motivos!D4</f>
        <v>421200</v>
      </c>
      <c r="I15" s="77"/>
      <c r="J15" s="78" t="n">
        <f aca="false">IF(SUM(Resumen_Motivos!D$2:D$9)=0,0,Resumen_Motivos!D4/SUM(Resumen_Motivos!D$2:D$9))</f>
        <v>0.0614240402493711</v>
      </c>
      <c r="K15" s="78"/>
    </row>
    <row r="16" customFormat="false" ht="18.75" hidden="false" customHeight="true" outlineLevel="0" collapsed="false">
      <c r="B16" s="79" t="str">
        <f aca="false">Resumen_Motivos!A5</f>
        <v>Corte</v>
      </c>
      <c r="C16" s="79"/>
      <c r="D16" s="80" t="n">
        <f aca="false">Resumen_Motivos!B5</f>
        <v>20</v>
      </c>
      <c r="E16" s="80"/>
      <c r="F16" s="80" t="n">
        <f aca="false">Resumen_Motivos!C5</f>
        <v>141</v>
      </c>
      <c r="G16" s="80"/>
      <c r="H16" s="81" t="n">
        <f aca="false">Resumen_Motivos!D5</f>
        <v>951750</v>
      </c>
      <c r="I16" s="81"/>
      <c r="J16" s="82" t="n">
        <f aca="false">IF(SUM(Resumen_Motivos!D$2:D$9)=0,0,Resumen_Motivos!D5/SUM(Resumen_Motivos!D$2:D$9))</f>
        <v>0.138794706332714</v>
      </c>
      <c r="K16" s="82"/>
    </row>
    <row r="17" customFormat="false" ht="18.75" hidden="false" customHeight="true" outlineLevel="0" collapsed="false">
      <c r="B17" s="75" t="str">
        <f aca="false">Resumen_Motivos!A6</f>
        <v>Faltó impresión</v>
      </c>
      <c r="C17" s="75"/>
      <c r="D17" s="76" t="n">
        <f aca="false">Resumen_Motivos!B6</f>
        <v>12</v>
      </c>
      <c r="E17" s="76"/>
      <c r="F17" s="76" t="n">
        <f aca="false">Resumen_Motivos!C6</f>
        <v>34</v>
      </c>
      <c r="G17" s="76"/>
      <c r="H17" s="77" t="n">
        <f aca="false">Resumen_Motivos!D6</f>
        <v>91800</v>
      </c>
      <c r="I17" s="77"/>
      <c r="J17" s="78" t="n">
        <f aca="false">IF(SUM(Resumen_Motivos!D$2:D$9)=0,0,Resumen_Motivos!D6/SUM(Resumen_Motivos!D$2:D$9))</f>
        <v>0.0133872908235809</v>
      </c>
      <c r="K17" s="78"/>
    </row>
    <row r="18" customFormat="false" ht="18.75" hidden="false" customHeight="true" outlineLevel="0" collapsed="false">
      <c r="B18" s="79" t="str">
        <f aca="false">Resumen_Motivos!A7</f>
        <v>Confección</v>
      </c>
      <c r="C18" s="79"/>
      <c r="D18" s="80" t="n">
        <f aca="false">Resumen_Motivos!B7</f>
        <v>18</v>
      </c>
      <c r="E18" s="80"/>
      <c r="F18" s="80" t="n">
        <f aca="false">Resumen_Motivos!C7</f>
        <v>61</v>
      </c>
      <c r="G18" s="80"/>
      <c r="H18" s="81" t="n">
        <f aca="false">Resumen_Motivos!D7</f>
        <v>411750</v>
      </c>
      <c r="I18" s="81"/>
      <c r="J18" s="82" t="n">
        <f aca="false">IF(SUM(Resumen_Motivos!D$2:D$9)=0,0,Resumen_Motivos!D7/SUM(Resumen_Motivos!D$2:D$9))</f>
        <v>0.0600459367822378</v>
      </c>
      <c r="K18" s="82"/>
    </row>
    <row r="19" customFormat="false" ht="18.75" hidden="false" customHeight="true" outlineLevel="0" collapsed="false">
      <c r="B19" s="75" t="str">
        <f aca="false">Resumen_Motivos!A8</f>
        <v>Diseño / Ficha</v>
      </c>
      <c r="C19" s="75"/>
      <c r="D19" s="76" t="n">
        <f aca="false">Resumen_Motivos!B8</f>
        <v>15</v>
      </c>
      <c r="E19" s="76"/>
      <c r="F19" s="76" t="n">
        <f aca="false">Resumen_Motivos!C8</f>
        <v>175</v>
      </c>
      <c r="G19" s="76"/>
      <c r="H19" s="77" t="n">
        <f aca="false">Resumen_Motivos!D8</f>
        <v>1181250</v>
      </c>
      <c r="I19" s="77"/>
      <c r="J19" s="78" t="n">
        <f aca="false">IF(SUM(Resumen_Motivos!D$2:D$9)=0,0,Resumen_Motivos!D8/SUM(Resumen_Motivos!D$2:D$9))</f>
        <v>0.172262933391666</v>
      </c>
      <c r="K19" s="78"/>
    </row>
    <row r="20" customFormat="false" ht="18.75" hidden="false" customHeight="true" outlineLevel="0" collapsed="false">
      <c r="B20" s="79" t="str">
        <f aca="false">Resumen_Motivos!A9</f>
        <v>Otro / Cambio ficha</v>
      </c>
      <c r="C20" s="79"/>
      <c r="D20" s="80" t="n">
        <f aca="false">Resumen_Motivos!B9</f>
        <v>2</v>
      </c>
      <c r="E20" s="80"/>
      <c r="F20" s="80" t="n">
        <f aca="false">Resumen_Motivos!C9</f>
        <v>3</v>
      </c>
      <c r="G20" s="80"/>
      <c r="H20" s="81" t="n">
        <f aca="false">Resumen_Motivos!D9</f>
        <v>313500</v>
      </c>
      <c r="I20" s="81"/>
      <c r="J20" s="82" t="n">
        <f aca="false">IF(SUM(Resumen_Motivos!D$2:D$9)=0,0,Resumen_Motivos!D9/SUM(Resumen_Motivos!D$2:D$9))</f>
        <v>0.0457180356556929</v>
      </c>
      <c r="K20" s="82"/>
    </row>
    <row r="21" customFormat="false" ht="19.5" hidden="false" customHeight="true" outlineLevel="0" collapsed="false">
      <c r="A21" s="70"/>
      <c r="B21" s="83" t="s">
        <v>92</v>
      </c>
      <c r="C21" s="83"/>
      <c r="D21" s="84" t="n">
        <f aca="false">SUM(Resumen_Motivos!B2:B9)</f>
        <v>236</v>
      </c>
      <c r="E21" s="84"/>
      <c r="F21" s="84" t="n">
        <f aca="false">SUM(Resumen_Motivos!C2:C9)</f>
        <v>1045</v>
      </c>
      <c r="G21" s="84"/>
      <c r="H21" s="85" t="n">
        <f aca="false">SUM(Resumen_Motivos!D2:D9)</f>
        <v>6857250</v>
      </c>
      <c r="I21" s="85"/>
      <c r="J21" s="86" t="s">
        <v>93</v>
      </c>
      <c r="K21" s="86"/>
      <c r="L21" s="70"/>
    </row>
    <row r="22" customFormat="false" ht="13.5" hidden="false" customHeight="true" outlineLevel="0" collapsed="false"/>
    <row r="23" customFormat="false" ht="7.5" hidden="false" customHeight="true" outlineLevel="0" collapsed="false"/>
    <row r="24" customFormat="false" ht="21.75" hidden="false" customHeight="true" outlineLevel="0" collapsed="false">
      <c r="A24" s="57"/>
      <c r="B24" s="73" t="s">
        <v>94</v>
      </c>
      <c r="C24" s="73"/>
      <c r="D24" s="73"/>
      <c r="E24" s="73"/>
      <c r="F24" s="73"/>
      <c r="G24" s="73"/>
      <c r="H24" s="73"/>
      <c r="I24" s="73"/>
      <c r="J24" s="73"/>
      <c r="K24" s="73"/>
      <c r="L24" s="57"/>
    </row>
    <row r="25" customFormat="false" ht="19.5" hidden="false" customHeight="true" outlineLevel="0" collapsed="false">
      <c r="B25" s="74" t="s">
        <v>4</v>
      </c>
      <c r="C25" s="74"/>
      <c r="D25" s="74" t="s">
        <v>88</v>
      </c>
      <c r="E25" s="74"/>
      <c r="F25" s="74" t="s">
        <v>89</v>
      </c>
      <c r="G25" s="74"/>
      <c r="H25" s="74" t="s">
        <v>95</v>
      </c>
      <c r="I25" s="74"/>
      <c r="J25" s="74" t="s">
        <v>96</v>
      </c>
      <c r="K25" s="74"/>
    </row>
    <row r="26" customFormat="false" ht="18.75" hidden="false" customHeight="true" outlineLevel="0" collapsed="false">
      <c r="B26" s="75" t="str">
        <f aca="false">Resumen_Mensual!A2</f>
        <v>Mayo 2026</v>
      </c>
      <c r="C26" s="75"/>
      <c r="D26" s="76" t="n">
        <f aca="false">Resumen_Mensual!B2</f>
        <v>25</v>
      </c>
      <c r="E26" s="76"/>
      <c r="F26" s="76" t="n">
        <f aca="false">Resumen_Mensual!C2</f>
        <v>50</v>
      </c>
      <c r="G26" s="76"/>
      <c r="H26" s="77" t="n">
        <f aca="false">Datos_Maestro!K8</f>
        <v>754980</v>
      </c>
      <c r="I26" s="77"/>
      <c r="J26" s="76" t="n">
        <f aca="false">Resumen_Mensual!E2</f>
        <v>0</v>
      </c>
      <c r="K26" s="76"/>
    </row>
    <row r="27" customFormat="false" ht="18.75" hidden="false" customHeight="true" outlineLevel="0" collapsed="false">
      <c r="B27" s="79" t="str">
        <f aca="false">Resumen_Mensual!A3</f>
        <v>Junio 2026</v>
      </c>
      <c r="C27" s="79"/>
      <c r="D27" s="80" t="n">
        <f aca="false">Resumen_Mensual!B3</f>
        <v>55</v>
      </c>
      <c r="E27" s="80"/>
      <c r="F27" s="80" t="n">
        <f aca="false">Resumen_Mensual!C3</f>
        <v>157</v>
      </c>
      <c r="G27" s="80"/>
      <c r="H27" s="77" t="n">
        <f aca="false">Datos_Maestro!K9</f>
        <v>861120</v>
      </c>
      <c r="I27" s="77"/>
      <c r="J27" s="80" t="n">
        <f aca="false">Resumen_Mensual!E3</f>
        <v>0</v>
      </c>
      <c r="K27" s="80"/>
    </row>
    <row r="28" customFormat="false" ht="18.75" hidden="false" customHeight="true" outlineLevel="0" collapsed="false">
      <c r="B28" s="75" t="str">
        <f aca="false">Resumen_Mensual!A4</f>
        <v>Julio 2026</v>
      </c>
      <c r="C28" s="75"/>
      <c r="D28" s="76" t="n">
        <f aca="false">Resumen_Mensual!B4</f>
        <v>48</v>
      </c>
      <c r="E28" s="76"/>
      <c r="F28" s="76" t="n">
        <f aca="false">Resumen_Mensual!C4</f>
        <v>286</v>
      </c>
      <c r="G28" s="76"/>
      <c r="H28" s="77" t="n">
        <f aca="false">Datos_Maestro!K10</f>
        <v>1422372</v>
      </c>
      <c r="I28" s="77"/>
      <c r="J28" s="76" t="n">
        <f aca="false">Resumen_Mensual!E4</f>
        <v>0</v>
      </c>
      <c r="K28" s="76"/>
    </row>
    <row r="29" customFormat="false" ht="18.75" hidden="false" customHeight="true" outlineLevel="0" collapsed="false">
      <c r="B29" s="79" t="str">
        <f aca="false">Resumen_Mensual!A5</f>
        <v>Agosto 2026</v>
      </c>
      <c r="C29" s="79"/>
      <c r="D29" s="80" t="n">
        <f aca="false">Resumen_Mensual!B5</f>
        <v>57</v>
      </c>
      <c r="E29" s="80"/>
      <c r="F29" s="80" t="n">
        <f aca="false">Resumen_Mensual!C5</f>
        <v>198</v>
      </c>
      <c r="G29" s="80"/>
      <c r="H29" s="77" t="n">
        <f aca="false">Datos_Maestro!K11</f>
        <v>1636356</v>
      </c>
      <c r="I29" s="77"/>
      <c r="J29" s="80" t="n">
        <f aca="false">Resumen_Mensual!E5</f>
        <v>0</v>
      </c>
      <c r="K29" s="80"/>
    </row>
    <row r="30" customFormat="false" ht="18.75" hidden="false" customHeight="true" outlineLevel="0" collapsed="false">
      <c r="B30" s="75" t="str">
        <f aca="false">Resumen_Mensual!A6</f>
        <v>Septiembre 2026</v>
      </c>
      <c r="C30" s="75"/>
      <c r="D30" s="76" t="n">
        <f aca="false">Resumen_Mensual!B6</f>
        <v>51</v>
      </c>
      <c r="E30" s="76"/>
      <c r="F30" s="76" t="n">
        <f aca="false">Resumen_Mensual!C6</f>
        <v>354</v>
      </c>
      <c r="G30" s="76"/>
      <c r="H30" s="77" t="n">
        <f aca="false">Datos_Maestro!K12</f>
        <v>741504</v>
      </c>
      <c r="I30" s="77"/>
      <c r="J30" s="76" t="n">
        <f aca="false">Resumen_Mensual!E6</f>
        <v>0</v>
      </c>
      <c r="K30" s="76"/>
    </row>
    <row r="32" customFormat="false" ht="12" hidden="false" customHeight="true" outlineLevel="0" collapsed="false"/>
    <row r="33" customFormat="false" ht="15.75" hidden="false" customHeight="true" outlineLevel="0" collapsed="false">
      <c r="B33" s="87" t="s">
        <v>97</v>
      </c>
      <c r="C33" s="87"/>
      <c r="D33" s="87"/>
      <c r="E33" s="87"/>
      <c r="F33" s="87"/>
      <c r="G33" s="87"/>
      <c r="H33" s="87"/>
      <c r="I33" s="87"/>
      <c r="J33" s="87"/>
      <c r="K33" s="87"/>
    </row>
    <row r="34" customFormat="false" ht="15.75" hidden="false" customHeight="true" outlineLevel="0" collapsed="false">
      <c r="B34" s="88" t="s">
        <v>98</v>
      </c>
      <c r="C34" s="88"/>
      <c r="D34" s="88"/>
      <c r="E34" s="88"/>
      <c r="F34" s="88"/>
      <c r="G34" s="88"/>
      <c r="H34" s="88"/>
      <c r="I34" s="88"/>
      <c r="J34" s="88"/>
      <c r="K34" s="88"/>
    </row>
    <row r="36" customFormat="false" ht="13.5" hidden="false" customHeight="true" outlineLevel="0" collapsed="false"/>
    <row r="37" customFormat="false" ht="7.5" hidden="false" customHeight="true" outlineLevel="0" collapsed="false"/>
    <row r="38" customFormat="false" ht="21.75" hidden="false" customHeight="true" outlineLevel="0" collapsed="false">
      <c r="A38" s="57"/>
      <c r="B38" s="73" t="s">
        <v>99</v>
      </c>
      <c r="C38" s="73"/>
      <c r="D38" s="73"/>
      <c r="E38" s="73"/>
      <c r="F38" s="73"/>
      <c r="G38" s="73"/>
      <c r="H38" s="73"/>
      <c r="I38" s="73"/>
      <c r="J38" s="73"/>
      <c r="K38" s="73"/>
      <c r="L38" s="57"/>
    </row>
    <row r="39" customFormat="false" ht="7.5" hidden="false" customHeight="true" outlineLevel="0" collapsed="false"/>
  </sheetData>
  <mergeCells count="97">
    <mergeCell ref="B2:K2"/>
    <mergeCell ref="B3:G3"/>
    <mergeCell ref="H3:K3"/>
    <mergeCell ref="B5:D5"/>
    <mergeCell ref="E5:H5"/>
    <mergeCell ref="I5:K5"/>
    <mergeCell ref="B6:D6"/>
    <mergeCell ref="E6:H6"/>
    <mergeCell ref="I6:K6"/>
    <mergeCell ref="B7:D7"/>
    <mergeCell ref="E7:H7"/>
    <mergeCell ref="I7:K7"/>
    <mergeCell ref="B11:K11"/>
    <mergeCell ref="B12:C12"/>
    <mergeCell ref="D12:E12"/>
    <mergeCell ref="F12:G12"/>
    <mergeCell ref="H12:I12"/>
    <mergeCell ref="J12:K12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3:K33"/>
    <mergeCell ref="B34:K34"/>
    <mergeCell ref="B38:K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28"/>
    <col collapsed="false" customWidth="true" hidden="false" outlineLevel="0" max="4" min="4" style="1" width="10"/>
    <col collapsed="false" customWidth="true" hidden="false" outlineLevel="0" max="5" min="5" style="1" width="32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10" min="8" style="1" width="18"/>
    <col collapsed="false" customWidth="true" hidden="false" outlineLevel="0" max="11" min="11" style="1" width="16"/>
  </cols>
  <sheetData>
    <row r="1" customFormat="false" ht="21.75" hidden="false" customHeight="true" outlineLevel="0" collapsed="false">
      <c r="A1" s="89"/>
      <c r="B1" s="89" t="s">
        <v>100</v>
      </c>
      <c r="C1" s="89" t="s">
        <v>101</v>
      </c>
      <c r="D1" s="89" t="s">
        <v>102</v>
      </c>
      <c r="E1" s="89" t="s">
        <v>103</v>
      </c>
      <c r="F1" s="89" t="s">
        <v>87</v>
      </c>
      <c r="G1" s="89" t="s">
        <v>104</v>
      </c>
      <c r="H1" s="89" t="s">
        <v>105</v>
      </c>
      <c r="I1" s="89" t="s">
        <v>4</v>
      </c>
      <c r="J1" s="89" t="s">
        <v>106</v>
      </c>
      <c r="K1" s="89" t="s">
        <v>107</v>
      </c>
    </row>
    <row r="2" customFormat="false" ht="18" hidden="false" customHeight="true" outlineLevel="0" collapsed="false">
      <c r="A2" s="90"/>
      <c r="B2" s="91" t="s">
        <v>108</v>
      </c>
      <c r="C2" s="92" t="s">
        <v>109</v>
      </c>
      <c r="D2" s="91" t="s">
        <v>110</v>
      </c>
      <c r="E2" s="93" t="s">
        <v>111</v>
      </c>
      <c r="F2" s="94" t="s">
        <v>112</v>
      </c>
      <c r="G2" s="95" t="n">
        <v>1</v>
      </c>
      <c r="H2" s="96" t="n">
        <f aca="false">G2*IF(K2="Antes de sublimar",Supuestos!$B$63*1.125,IFERROR(VLOOKUP(F2,Supuestos!$A$29:$B$56,2,0),Supuestos!$C$17))</f>
        <v>6750</v>
      </c>
      <c r="I2" s="91" t="s">
        <v>14</v>
      </c>
      <c r="J2" s="97" t="s">
        <v>113</v>
      </c>
      <c r="K2" s="91" t="s">
        <v>114</v>
      </c>
    </row>
    <row r="3" customFormat="false" ht="18" hidden="false" customHeight="true" outlineLevel="0" collapsed="false">
      <c r="A3" s="98"/>
      <c r="B3" s="99" t="s">
        <v>115</v>
      </c>
      <c r="C3" s="100" t="s">
        <v>116</v>
      </c>
      <c r="D3" s="99" t="s">
        <v>117</v>
      </c>
      <c r="E3" s="101" t="s">
        <v>118</v>
      </c>
      <c r="F3" s="102" t="s">
        <v>119</v>
      </c>
      <c r="G3" s="103" t="n">
        <v>2</v>
      </c>
      <c r="H3" s="104" t="n">
        <f aca="false">G3*IF(K3="Antes de sublimar",Supuestos!$B$63*1.125,IFERROR(VLOOKUP(F3,Supuestos!$A$29:$B$56,2,0),Supuestos!$C$17))</f>
        <v>13500</v>
      </c>
      <c r="I3" s="99" t="s">
        <v>14</v>
      </c>
      <c r="J3" s="105" t="s">
        <v>120</v>
      </c>
      <c r="K3" s="99" t="s">
        <v>114</v>
      </c>
    </row>
    <row r="4" customFormat="false" ht="18" hidden="false" customHeight="true" outlineLevel="0" collapsed="false">
      <c r="A4" s="90"/>
      <c r="B4" s="91" t="s">
        <v>115</v>
      </c>
      <c r="C4" s="92" t="s">
        <v>121</v>
      </c>
      <c r="D4" s="91" t="s">
        <v>122</v>
      </c>
      <c r="E4" s="93" t="s">
        <v>123</v>
      </c>
      <c r="F4" s="94" t="s">
        <v>124</v>
      </c>
      <c r="G4" s="95" t="n">
        <v>2</v>
      </c>
      <c r="H4" s="96" t="n">
        <f aca="false">G4*IF(K4="Antes de sublimar",Supuestos!$B$63*1.125,IFERROR(VLOOKUP(F4,Supuestos!$A$29:$B$56,2,0),Supuestos!$C$17))</f>
        <v>5400</v>
      </c>
      <c r="I4" s="91" t="s">
        <v>14</v>
      </c>
      <c r="J4" s="97" t="s">
        <v>125</v>
      </c>
      <c r="K4" s="91" t="s">
        <v>126</v>
      </c>
    </row>
    <row r="5" customFormat="false" ht="18" hidden="false" customHeight="true" outlineLevel="0" collapsed="false">
      <c r="A5" s="98"/>
      <c r="B5" s="99" t="s">
        <v>127</v>
      </c>
      <c r="C5" s="100" t="s">
        <v>121</v>
      </c>
      <c r="D5" s="99" t="s">
        <v>122</v>
      </c>
      <c r="E5" s="101" t="s">
        <v>128</v>
      </c>
      <c r="F5" s="102" t="s">
        <v>32</v>
      </c>
      <c r="G5" s="103" t="n">
        <v>2</v>
      </c>
      <c r="H5" s="104" t="n">
        <f aca="false">G5*IF(K5="Antes de sublimar",Supuestos!$B$63*1.125,IFERROR(VLOOKUP(F5,Supuestos!$A$29:$B$56,2,0),Supuestos!$C$17))</f>
        <v>13500</v>
      </c>
      <c r="I5" s="99" t="s">
        <v>14</v>
      </c>
      <c r="J5" s="105" t="s">
        <v>120</v>
      </c>
      <c r="K5" s="99" t="s">
        <v>114</v>
      </c>
    </row>
    <row r="6" customFormat="false" ht="18" hidden="false" customHeight="true" outlineLevel="0" collapsed="false">
      <c r="A6" s="90"/>
      <c r="B6" s="91" t="s">
        <v>127</v>
      </c>
      <c r="C6" s="92" t="s">
        <v>129</v>
      </c>
      <c r="D6" s="91" t="s">
        <v>110</v>
      </c>
      <c r="E6" s="93" t="s">
        <v>130</v>
      </c>
      <c r="F6" s="94" t="s">
        <v>32</v>
      </c>
      <c r="G6" s="95" t="n">
        <v>1</v>
      </c>
      <c r="H6" s="96" t="n">
        <f aca="false">G6*IF(K6="Antes de sublimar",Supuestos!$B$63*1.125,IFERROR(VLOOKUP(F6,Supuestos!$A$29:$B$56,2,0),Supuestos!$C$17))</f>
        <v>6750</v>
      </c>
      <c r="I6" s="91" t="s">
        <v>14</v>
      </c>
      <c r="J6" s="97" t="s">
        <v>120</v>
      </c>
      <c r="K6" s="91" t="s">
        <v>114</v>
      </c>
    </row>
    <row r="7" customFormat="false" ht="18" hidden="false" customHeight="true" outlineLevel="0" collapsed="false">
      <c r="A7" s="98"/>
      <c r="B7" s="99" t="s">
        <v>131</v>
      </c>
      <c r="C7" s="100" t="s">
        <v>132</v>
      </c>
      <c r="D7" s="99" t="s">
        <v>133</v>
      </c>
      <c r="E7" s="101" t="s">
        <v>134</v>
      </c>
      <c r="F7" s="102" t="s">
        <v>135</v>
      </c>
      <c r="G7" s="103" t="n">
        <v>1</v>
      </c>
      <c r="H7" s="104" t="n">
        <f aca="false">G7*IF(K7="Antes de sublimar",Supuestos!$B$63*1.125,IFERROR(VLOOKUP(F7,Supuestos!$A$29:$B$56,2,0),Supuestos!$C$17))</f>
        <v>2700</v>
      </c>
      <c r="I7" s="99" t="s">
        <v>14</v>
      </c>
      <c r="J7" s="105" t="s">
        <v>125</v>
      </c>
      <c r="K7" s="99" t="s">
        <v>126</v>
      </c>
    </row>
    <row r="8" customFormat="false" ht="18" hidden="false" customHeight="true" outlineLevel="0" collapsed="false">
      <c r="A8" s="90"/>
      <c r="B8" s="91" t="s">
        <v>131</v>
      </c>
      <c r="C8" s="92" t="s">
        <v>136</v>
      </c>
      <c r="D8" s="91" t="s">
        <v>137</v>
      </c>
      <c r="E8" s="93" t="s">
        <v>138</v>
      </c>
      <c r="F8" s="94" t="s">
        <v>135</v>
      </c>
      <c r="G8" s="95" t="n">
        <v>2</v>
      </c>
      <c r="H8" s="96" t="n">
        <f aca="false">G8*IF(K8="Antes de sublimar",Supuestos!$B$63*1.125,IFERROR(VLOOKUP(F8,Supuestos!$A$29:$B$56,2,0),Supuestos!$C$17))</f>
        <v>5400</v>
      </c>
      <c r="I8" s="91" t="s">
        <v>14</v>
      </c>
      <c r="J8" s="97" t="s">
        <v>125</v>
      </c>
      <c r="K8" s="91" t="s">
        <v>126</v>
      </c>
    </row>
    <row r="9" customFormat="false" ht="18" hidden="false" customHeight="true" outlineLevel="0" collapsed="false">
      <c r="A9" s="98"/>
      <c r="B9" s="99" t="s">
        <v>131</v>
      </c>
      <c r="C9" s="100" t="s">
        <v>139</v>
      </c>
      <c r="D9" s="99" t="s">
        <v>140</v>
      </c>
      <c r="E9" s="101" t="s">
        <v>141</v>
      </c>
      <c r="F9" s="102" t="s">
        <v>32</v>
      </c>
      <c r="G9" s="103" t="n">
        <v>1</v>
      </c>
      <c r="H9" s="104" t="n">
        <f aca="false">G9*IF(K9="Antes de sublimar",Supuestos!$B$63*1.125,IFERROR(VLOOKUP(F9,Supuestos!$A$29:$B$56,2,0),Supuestos!$C$17))</f>
        <v>6750</v>
      </c>
      <c r="I9" s="99" t="s">
        <v>14</v>
      </c>
      <c r="J9" s="105" t="s">
        <v>125</v>
      </c>
      <c r="K9" s="99" t="s">
        <v>114</v>
      </c>
    </row>
    <row r="10" customFormat="false" ht="18" hidden="false" customHeight="true" outlineLevel="0" collapsed="false">
      <c r="A10" s="90"/>
      <c r="B10" s="91" t="s">
        <v>131</v>
      </c>
      <c r="C10" s="92" t="s">
        <v>139</v>
      </c>
      <c r="D10" s="91" t="s">
        <v>140</v>
      </c>
      <c r="E10" s="93" t="s">
        <v>142</v>
      </c>
      <c r="F10" s="94" t="s">
        <v>124</v>
      </c>
      <c r="G10" s="95" t="n">
        <v>1</v>
      </c>
      <c r="H10" s="96" t="n">
        <f aca="false">G10*IF(K10="Antes de sublimar",Supuestos!$B$63*1.125,IFERROR(VLOOKUP(F10,Supuestos!$A$29:$B$56,2,0),Supuestos!$C$17))</f>
        <v>2700</v>
      </c>
      <c r="I10" s="91" t="s">
        <v>14</v>
      </c>
      <c r="J10" s="97" t="s">
        <v>125</v>
      </c>
      <c r="K10" s="91" t="s">
        <v>126</v>
      </c>
    </row>
    <row r="11" customFormat="false" ht="18" hidden="false" customHeight="true" outlineLevel="0" collapsed="false">
      <c r="A11" s="98"/>
      <c r="B11" s="99" t="s">
        <v>143</v>
      </c>
      <c r="C11" s="100" t="s">
        <v>144</v>
      </c>
      <c r="D11" s="99" t="s">
        <v>145</v>
      </c>
      <c r="E11" s="101" t="s">
        <v>146</v>
      </c>
      <c r="F11" s="102" t="s">
        <v>147</v>
      </c>
      <c r="G11" s="103" t="n">
        <v>1</v>
      </c>
      <c r="H11" s="104" t="n">
        <f aca="false">G11*IF(K11="Antes de sublimar",Supuestos!$B$63*1.125,IFERROR(VLOOKUP(F11,Supuestos!$A$29:$B$56,2,0),Supuestos!$C$17))</f>
        <v>6750</v>
      </c>
      <c r="I11" s="99" t="s">
        <v>14</v>
      </c>
      <c r="J11" s="105" t="s">
        <v>120</v>
      </c>
      <c r="K11" s="99" t="s">
        <v>114</v>
      </c>
    </row>
    <row r="12" customFormat="false" ht="18" hidden="false" customHeight="true" outlineLevel="0" collapsed="false">
      <c r="A12" s="90"/>
      <c r="B12" s="91" t="s">
        <v>143</v>
      </c>
      <c r="C12" s="92" t="s">
        <v>148</v>
      </c>
      <c r="D12" s="91" t="s">
        <v>140</v>
      </c>
      <c r="E12" s="93" t="s">
        <v>149</v>
      </c>
      <c r="F12" s="94" t="s">
        <v>150</v>
      </c>
      <c r="G12" s="95" t="n">
        <v>1</v>
      </c>
      <c r="H12" s="96" t="n">
        <f aca="false">G12*IF(K12="Antes de sublimar",Supuestos!$B$63*1.125,IFERROR(VLOOKUP(F12,Supuestos!$A$29:$B$56,2,0),Supuestos!$C$17))</f>
        <v>6750</v>
      </c>
      <c r="I12" s="91" t="s">
        <v>14</v>
      </c>
      <c r="J12" s="97" t="s">
        <v>120</v>
      </c>
      <c r="K12" s="91" t="s">
        <v>114</v>
      </c>
    </row>
    <row r="13" customFormat="false" ht="18" hidden="false" customHeight="true" outlineLevel="0" collapsed="false">
      <c r="A13" s="98"/>
      <c r="B13" s="99" t="s">
        <v>143</v>
      </c>
      <c r="C13" s="100" t="s">
        <v>139</v>
      </c>
      <c r="D13" s="99" t="s">
        <v>140</v>
      </c>
      <c r="E13" s="101" t="s">
        <v>151</v>
      </c>
      <c r="F13" s="102" t="s">
        <v>124</v>
      </c>
      <c r="G13" s="103" t="n">
        <v>1</v>
      </c>
      <c r="H13" s="104" t="n">
        <f aca="false">G13*IF(K13="Antes de sublimar",Supuestos!$B$63*1.125,IFERROR(VLOOKUP(F13,Supuestos!$A$29:$B$56,2,0),Supuestos!$C$17))</f>
        <v>2700</v>
      </c>
      <c r="I13" s="99" t="s">
        <v>14</v>
      </c>
      <c r="J13" s="105" t="s">
        <v>120</v>
      </c>
      <c r="K13" s="99" t="s">
        <v>126</v>
      </c>
    </row>
    <row r="14" customFormat="false" ht="18" hidden="false" customHeight="true" outlineLevel="0" collapsed="false">
      <c r="A14" s="90"/>
      <c r="B14" s="91" t="s">
        <v>143</v>
      </c>
      <c r="C14" s="92" t="s">
        <v>152</v>
      </c>
      <c r="D14" s="91" t="s">
        <v>153</v>
      </c>
      <c r="E14" s="93" t="s">
        <v>154</v>
      </c>
      <c r="F14" s="94" t="s">
        <v>31</v>
      </c>
      <c r="G14" s="95" t="n">
        <v>1</v>
      </c>
      <c r="H14" s="96" t="n">
        <f aca="false">G14*IF(K14="Antes de sublimar",Supuestos!$B$63*1.125,IFERROR(VLOOKUP(F14,Supuestos!$A$29:$B$56,2,0),Supuestos!$C$17))</f>
        <v>6750</v>
      </c>
      <c r="I14" s="91" t="s">
        <v>14</v>
      </c>
      <c r="J14" s="97" t="s">
        <v>120</v>
      </c>
      <c r="K14" s="91" t="s">
        <v>114</v>
      </c>
    </row>
    <row r="15" customFormat="false" ht="18" hidden="false" customHeight="true" outlineLevel="0" collapsed="false">
      <c r="A15" s="98"/>
      <c r="B15" s="99" t="s">
        <v>155</v>
      </c>
      <c r="C15" s="100" t="s">
        <v>156</v>
      </c>
      <c r="D15" s="99" t="s">
        <v>157</v>
      </c>
      <c r="E15" s="101" t="s">
        <v>158</v>
      </c>
      <c r="F15" s="102" t="s">
        <v>159</v>
      </c>
      <c r="G15" s="103" t="n">
        <v>6</v>
      </c>
      <c r="H15" s="104" t="n">
        <f aca="false">G15*IF(K15="Antes de sublimar",Supuestos!$B$63*1.125,IFERROR(VLOOKUP(F15,Supuestos!$A$29:$B$56,2,0),Supuestos!$C$17))</f>
        <v>40500</v>
      </c>
      <c r="I15" s="99" t="s">
        <v>14</v>
      </c>
      <c r="J15" s="105" t="s">
        <v>120</v>
      </c>
      <c r="K15" s="99" t="s">
        <v>114</v>
      </c>
    </row>
    <row r="16" customFormat="false" ht="18" hidden="false" customHeight="true" outlineLevel="0" collapsed="false">
      <c r="A16" s="90"/>
      <c r="B16" s="91" t="s">
        <v>155</v>
      </c>
      <c r="C16" s="92" t="s">
        <v>160</v>
      </c>
      <c r="D16" s="91" t="s">
        <v>133</v>
      </c>
      <c r="E16" s="93" t="s">
        <v>161</v>
      </c>
      <c r="F16" s="94" t="s">
        <v>162</v>
      </c>
      <c r="G16" s="95" t="n">
        <v>5</v>
      </c>
      <c r="H16" s="96" t="n">
        <f aca="false">G16*IF(K16="Antes de sublimar",Supuestos!$B$63*1.125,IFERROR(VLOOKUP(F16,Supuestos!$A$29:$B$56,2,0),Supuestos!$C$17))</f>
        <v>33750</v>
      </c>
      <c r="I16" s="91" t="s">
        <v>14</v>
      </c>
      <c r="J16" s="97" t="s">
        <v>125</v>
      </c>
      <c r="K16" s="91" t="s">
        <v>114</v>
      </c>
    </row>
    <row r="17" customFormat="false" ht="18" hidden="false" customHeight="true" outlineLevel="0" collapsed="false">
      <c r="A17" s="98"/>
      <c r="B17" s="99" t="s">
        <v>163</v>
      </c>
      <c r="C17" s="100" t="s">
        <v>164</v>
      </c>
      <c r="D17" s="99" t="s">
        <v>165</v>
      </c>
      <c r="E17" s="101" t="s">
        <v>166</v>
      </c>
      <c r="F17" s="102" t="s">
        <v>31</v>
      </c>
      <c r="G17" s="103" t="n">
        <v>4</v>
      </c>
      <c r="H17" s="104" t="n">
        <f aca="false">G17*IF(K17="Antes de sublimar",Supuestos!$B$63*1.125,IFERROR(VLOOKUP(F17,Supuestos!$A$29:$B$56,2,0),Supuestos!$C$17))</f>
        <v>27000</v>
      </c>
      <c r="I17" s="99" t="s">
        <v>14</v>
      </c>
      <c r="J17" s="105" t="s">
        <v>125</v>
      </c>
      <c r="K17" s="99" t="s">
        <v>114</v>
      </c>
    </row>
    <row r="18" customFormat="false" ht="18" hidden="false" customHeight="true" outlineLevel="0" collapsed="false">
      <c r="A18" s="90"/>
      <c r="B18" s="91" t="s">
        <v>163</v>
      </c>
      <c r="C18" s="92" t="s">
        <v>167</v>
      </c>
      <c r="D18" s="91" t="s">
        <v>165</v>
      </c>
      <c r="E18" s="93" t="s">
        <v>168</v>
      </c>
      <c r="F18" s="94" t="s">
        <v>31</v>
      </c>
      <c r="G18" s="95" t="n">
        <v>1</v>
      </c>
      <c r="H18" s="96" t="n">
        <f aca="false">G18*IF(K18="Antes de sublimar",Supuestos!$B$63*1.125,IFERROR(VLOOKUP(F18,Supuestos!$A$29:$B$56,2,0),Supuestos!$C$17))</f>
        <v>6750</v>
      </c>
      <c r="I18" s="91" t="s">
        <v>14</v>
      </c>
      <c r="J18" s="97" t="s">
        <v>125</v>
      </c>
      <c r="K18" s="91" t="s">
        <v>114</v>
      </c>
    </row>
    <row r="19" customFormat="false" ht="18" hidden="false" customHeight="true" outlineLevel="0" collapsed="false">
      <c r="A19" s="98"/>
      <c r="B19" s="99" t="s">
        <v>163</v>
      </c>
      <c r="C19" s="100" t="s">
        <v>169</v>
      </c>
      <c r="D19" s="99" t="s">
        <v>170</v>
      </c>
      <c r="E19" s="101" t="s">
        <v>171</v>
      </c>
      <c r="F19" s="102" t="s">
        <v>172</v>
      </c>
      <c r="G19" s="103" t="n">
        <v>1</v>
      </c>
      <c r="H19" s="104" t="n">
        <f aca="false">G19*IF(K19="Antes de sublimar",Supuestos!$B$63*1.125,IFERROR(VLOOKUP(F19,Supuestos!$A$29:$B$56,2,0),Supuestos!$C$17))</f>
        <v>6750</v>
      </c>
      <c r="I19" s="99" t="s">
        <v>14</v>
      </c>
      <c r="J19" s="105" t="s">
        <v>120</v>
      </c>
      <c r="K19" s="99" t="s">
        <v>114</v>
      </c>
    </row>
    <row r="20" customFormat="false" ht="18" hidden="false" customHeight="true" outlineLevel="0" collapsed="false">
      <c r="A20" s="90"/>
      <c r="B20" s="91" t="s">
        <v>163</v>
      </c>
      <c r="C20" s="92" t="s">
        <v>121</v>
      </c>
      <c r="D20" s="91" t="s">
        <v>122</v>
      </c>
      <c r="E20" s="93" t="s">
        <v>173</v>
      </c>
      <c r="F20" s="94" t="s">
        <v>174</v>
      </c>
      <c r="G20" s="95" t="n">
        <v>2</v>
      </c>
      <c r="H20" s="96" t="n">
        <f aca="false">G20*IF(K20="Antes de sublimar",Supuestos!$B$63*1.125,IFERROR(VLOOKUP(F20,Supuestos!$A$29:$B$56,2,0),Supuestos!$C$17))</f>
        <v>13500</v>
      </c>
      <c r="I20" s="91" t="s">
        <v>14</v>
      </c>
      <c r="J20" s="97" t="s">
        <v>120</v>
      </c>
      <c r="K20" s="91" t="s">
        <v>114</v>
      </c>
    </row>
    <row r="21" customFormat="false" ht="18" hidden="false" customHeight="true" outlineLevel="0" collapsed="false">
      <c r="A21" s="98"/>
      <c r="B21" s="99" t="s">
        <v>163</v>
      </c>
      <c r="C21" s="100" t="s">
        <v>175</v>
      </c>
      <c r="D21" s="99" t="s">
        <v>140</v>
      </c>
      <c r="E21" s="101" t="s">
        <v>176</v>
      </c>
      <c r="F21" s="102" t="s">
        <v>159</v>
      </c>
      <c r="G21" s="103" t="n">
        <v>2</v>
      </c>
      <c r="H21" s="104" t="n">
        <f aca="false">G21*IF(K21="Antes de sublimar",Supuestos!$B$63*1.125,IFERROR(VLOOKUP(F21,Supuestos!$A$29:$B$56,2,0),Supuestos!$C$17))</f>
        <v>13500</v>
      </c>
      <c r="I21" s="99" t="s">
        <v>14</v>
      </c>
      <c r="J21" s="105" t="s">
        <v>120</v>
      </c>
      <c r="K21" s="99" t="s">
        <v>114</v>
      </c>
    </row>
    <row r="22" customFormat="false" ht="18" hidden="false" customHeight="true" outlineLevel="0" collapsed="false">
      <c r="A22" s="90"/>
      <c r="B22" s="91" t="s">
        <v>177</v>
      </c>
      <c r="C22" s="92" t="s">
        <v>178</v>
      </c>
      <c r="D22" s="91" t="s">
        <v>179</v>
      </c>
      <c r="E22" s="93" t="s">
        <v>180</v>
      </c>
      <c r="F22" s="94" t="s">
        <v>181</v>
      </c>
      <c r="G22" s="95" t="n">
        <v>1</v>
      </c>
      <c r="H22" s="96" t="n">
        <f aca="false">G22*IF(K22="Antes de sublimar",Supuestos!$B$63*1.125,IFERROR(VLOOKUP(F22,Supuestos!$A$29:$B$56,2,0),Supuestos!$C$17))</f>
        <v>6750</v>
      </c>
      <c r="I22" s="91" t="s">
        <v>14</v>
      </c>
      <c r="J22" s="97" t="s">
        <v>125</v>
      </c>
      <c r="K22" s="91" t="s">
        <v>114</v>
      </c>
    </row>
    <row r="23" customFormat="false" ht="18" hidden="false" customHeight="true" outlineLevel="0" collapsed="false">
      <c r="A23" s="98"/>
      <c r="B23" s="99" t="s">
        <v>177</v>
      </c>
      <c r="C23" s="100" t="s">
        <v>178</v>
      </c>
      <c r="D23" s="99" t="s">
        <v>179</v>
      </c>
      <c r="E23" s="101" t="s">
        <v>182</v>
      </c>
      <c r="F23" s="102" t="s">
        <v>32</v>
      </c>
      <c r="G23" s="103" t="n">
        <v>2</v>
      </c>
      <c r="H23" s="104" t="n">
        <f aca="false">G23*IF(K23="Antes de sublimar",Supuestos!$B$63*1.125,IFERROR(VLOOKUP(F23,Supuestos!$A$29:$B$56,2,0),Supuestos!$C$17))</f>
        <v>13500</v>
      </c>
      <c r="I23" s="99" t="s">
        <v>14</v>
      </c>
      <c r="J23" s="105" t="s">
        <v>125</v>
      </c>
      <c r="K23" s="99" t="s">
        <v>114</v>
      </c>
    </row>
    <row r="24" customFormat="false" ht="18" hidden="false" customHeight="true" outlineLevel="0" collapsed="false">
      <c r="A24" s="90"/>
      <c r="B24" s="91" t="s">
        <v>177</v>
      </c>
      <c r="C24" s="92" t="s">
        <v>183</v>
      </c>
      <c r="D24" s="91" t="s">
        <v>184</v>
      </c>
      <c r="E24" s="93" t="s">
        <v>185</v>
      </c>
      <c r="F24" s="94" t="s">
        <v>172</v>
      </c>
      <c r="G24" s="95" t="n">
        <v>3</v>
      </c>
      <c r="H24" s="96" t="n">
        <f aca="false">G24*IF(K24="Antes de sublimar",Supuestos!$B$63*1.125,IFERROR(VLOOKUP(F24,Supuestos!$A$29:$B$56,2,0),Supuestos!$C$17))</f>
        <v>20250</v>
      </c>
      <c r="I24" s="91" t="s">
        <v>14</v>
      </c>
      <c r="J24" s="97" t="s">
        <v>120</v>
      </c>
      <c r="K24" s="91" t="s">
        <v>114</v>
      </c>
    </row>
    <row r="25" customFormat="false" ht="18" hidden="false" customHeight="true" outlineLevel="0" collapsed="false">
      <c r="A25" s="98"/>
      <c r="B25" s="99" t="s">
        <v>186</v>
      </c>
      <c r="C25" s="100" t="s">
        <v>187</v>
      </c>
      <c r="D25" s="99" t="s">
        <v>188</v>
      </c>
      <c r="E25" s="101" t="s">
        <v>189</v>
      </c>
      <c r="F25" s="102" t="s">
        <v>32</v>
      </c>
      <c r="G25" s="103" t="n">
        <v>4</v>
      </c>
      <c r="H25" s="104" t="n">
        <f aca="false">G25*IF(K25="Antes de sublimar",Supuestos!$B$63*1.125,IFERROR(VLOOKUP(F25,Supuestos!$A$29:$B$56,2,0),Supuestos!$C$17))</f>
        <v>27000</v>
      </c>
      <c r="I25" s="99" t="s">
        <v>15</v>
      </c>
      <c r="J25" s="105" t="s">
        <v>120</v>
      </c>
      <c r="K25" s="99" t="s">
        <v>114</v>
      </c>
    </row>
    <row r="26" customFormat="false" ht="18" hidden="false" customHeight="true" outlineLevel="0" collapsed="false">
      <c r="A26" s="90"/>
      <c r="B26" s="91" t="s">
        <v>177</v>
      </c>
      <c r="C26" s="92" t="s">
        <v>190</v>
      </c>
      <c r="D26" s="91" t="s">
        <v>179</v>
      </c>
      <c r="E26" s="93" t="s">
        <v>191</v>
      </c>
      <c r="F26" s="94" t="s">
        <v>32</v>
      </c>
      <c r="G26" s="95" t="n">
        <v>3</v>
      </c>
      <c r="H26" s="96" t="n">
        <f aca="false">G26*IF(K26="Antes de sublimar",Supuestos!$B$63*1.125,IFERROR(VLOOKUP(F26,Supuestos!$A$29:$B$56,2,0),Supuestos!$C$17))</f>
        <v>20250</v>
      </c>
      <c r="I26" s="91" t="s">
        <v>14</v>
      </c>
      <c r="J26" s="97" t="s">
        <v>125</v>
      </c>
      <c r="K26" s="91" t="s">
        <v>114</v>
      </c>
    </row>
    <row r="27" customFormat="false" ht="18" hidden="false" customHeight="true" outlineLevel="0" collapsed="false">
      <c r="A27" s="98"/>
      <c r="B27" s="106" t="s">
        <v>192</v>
      </c>
      <c r="C27" s="100" t="s">
        <v>193</v>
      </c>
      <c r="D27" s="106" t="s">
        <v>188</v>
      </c>
      <c r="E27" s="101" t="s">
        <v>194</v>
      </c>
      <c r="F27" s="107" t="s">
        <v>32</v>
      </c>
      <c r="G27" s="103" t="n">
        <v>4</v>
      </c>
      <c r="H27" s="104" t="n">
        <f aca="false">G27*IF(K27="Antes de sublimar",Supuestos!$B$63*1.125,IFERROR(VLOOKUP(F27,Supuestos!$A$29:$B$56,2,0),Supuestos!$C$17))</f>
        <v>27000</v>
      </c>
      <c r="I27" s="106" t="s">
        <v>15</v>
      </c>
      <c r="J27" s="105" t="s">
        <v>195</v>
      </c>
      <c r="K27" s="106" t="s">
        <v>114</v>
      </c>
    </row>
    <row r="28" customFormat="false" ht="18" hidden="false" customHeight="true" outlineLevel="0" collapsed="false">
      <c r="A28" s="90"/>
      <c r="B28" s="108" t="s">
        <v>196</v>
      </c>
      <c r="C28" s="92" t="s">
        <v>197</v>
      </c>
      <c r="D28" s="108" t="s">
        <v>179</v>
      </c>
      <c r="E28" s="93" t="s">
        <v>198</v>
      </c>
      <c r="F28" s="109" t="s">
        <v>32</v>
      </c>
      <c r="G28" s="95" t="n">
        <v>3</v>
      </c>
      <c r="H28" s="96" t="n">
        <f aca="false">G28*IF(K28="Antes de sublimar",Supuestos!$B$63*1.125,IFERROR(VLOOKUP(F28,Supuestos!$A$29:$B$56,2,0),Supuestos!$C$17))</f>
        <v>20250</v>
      </c>
      <c r="I28" s="108" t="s">
        <v>14</v>
      </c>
      <c r="J28" s="97" t="s">
        <v>199</v>
      </c>
      <c r="K28" s="108" t="s">
        <v>114</v>
      </c>
    </row>
    <row r="29" customFormat="false" ht="18" hidden="false" customHeight="true" outlineLevel="0" collapsed="false">
      <c r="A29" s="98"/>
      <c r="B29" s="106" t="s">
        <v>200</v>
      </c>
      <c r="C29" s="100" t="s">
        <v>201</v>
      </c>
      <c r="D29" s="106" t="s">
        <v>202</v>
      </c>
      <c r="E29" s="101" t="s">
        <v>203</v>
      </c>
      <c r="F29" s="107" t="s">
        <v>204</v>
      </c>
      <c r="G29" s="103" t="n">
        <v>7</v>
      </c>
      <c r="H29" s="104" t="n">
        <f aca="false">G29*IF(K29="Antes de sublimar",Supuestos!$B$63*1.125,IFERROR(VLOOKUP(F29,Supuestos!$A$29:$B$56,2,0),Supuestos!$C$17))</f>
        <v>47250</v>
      </c>
      <c r="I29" s="106" t="s">
        <v>15</v>
      </c>
      <c r="J29" s="105" t="s">
        <v>199</v>
      </c>
      <c r="K29" s="106" t="s">
        <v>114</v>
      </c>
    </row>
    <row r="30" customFormat="false" ht="18" hidden="false" customHeight="true" outlineLevel="0" collapsed="false">
      <c r="A30" s="90"/>
      <c r="B30" s="108" t="s">
        <v>200</v>
      </c>
      <c r="C30" s="92" t="s">
        <v>205</v>
      </c>
      <c r="D30" s="108" t="s">
        <v>206</v>
      </c>
      <c r="E30" s="93" t="s">
        <v>207</v>
      </c>
      <c r="F30" s="109" t="s">
        <v>204</v>
      </c>
      <c r="G30" s="95" t="n">
        <v>9</v>
      </c>
      <c r="H30" s="96" t="n">
        <f aca="false">G30*IF(K30="Antes de sublimar",Supuestos!$B$63*1.125,IFERROR(VLOOKUP(F30,Supuestos!$A$29:$B$56,2,0),Supuestos!$C$17))</f>
        <v>60750</v>
      </c>
      <c r="I30" s="108" t="s">
        <v>15</v>
      </c>
      <c r="J30" s="97" t="s">
        <v>199</v>
      </c>
      <c r="K30" s="108" t="s">
        <v>114</v>
      </c>
    </row>
    <row r="31" customFormat="false" ht="18" hidden="false" customHeight="true" outlineLevel="0" collapsed="false">
      <c r="A31" s="98"/>
      <c r="B31" s="106" t="s">
        <v>208</v>
      </c>
      <c r="C31" s="100" t="s">
        <v>209</v>
      </c>
      <c r="D31" s="106" t="s">
        <v>210</v>
      </c>
      <c r="E31" s="101" t="s">
        <v>211</v>
      </c>
      <c r="F31" s="107" t="s">
        <v>31</v>
      </c>
      <c r="G31" s="103" t="n">
        <v>1</v>
      </c>
      <c r="H31" s="104" t="n">
        <f aca="false">G31*IF(K31="Antes de sublimar",Supuestos!$B$63*1.125,IFERROR(VLOOKUP(F31,Supuestos!$A$29:$B$56,2,0),Supuestos!$C$17))</f>
        <v>6750</v>
      </c>
      <c r="I31" s="106" t="s">
        <v>15</v>
      </c>
      <c r="J31" s="105" t="s">
        <v>212</v>
      </c>
      <c r="K31" s="106" t="s">
        <v>114</v>
      </c>
    </row>
    <row r="32" customFormat="false" ht="18" hidden="false" customHeight="true" outlineLevel="0" collapsed="false">
      <c r="A32" s="90"/>
      <c r="B32" s="108" t="s">
        <v>208</v>
      </c>
      <c r="C32" s="92" t="s">
        <v>213</v>
      </c>
      <c r="D32" s="108" t="s">
        <v>214</v>
      </c>
      <c r="E32" s="93" t="s">
        <v>215</v>
      </c>
      <c r="F32" s="109" t="s">
        <v>216</v>
      </c>
      <c r="G32" s="95" t="n">
        <v>3</v>
      </c>
      <c r="H32" s="96" t="n">
        <f aca="false">G32*IF(K32="Antes de sublimar",Supuestos!$B$63*1.125,IFERROR(VLOOKUP(F32,Supuestos!$A$29:$B$56,2,0),Supuestos!$C$17))</f>
        <v>20250</v>
      </c>
      <c r="I32" s="108" t="s">
        <v>15</v>
      </c>
      <c r="J32" s="97" t="s">
        <v>212</v>
      </c>
      <c r="K32" s="108" t="s">
        <v>114</v>
      </c>
    </row>
    <row r="33" customFormat="false" ht="18" hidden="false" customHeight="true" outlineLevel="0" collapsed="false">
      <c r="A33" s="98"/>
      <c r="B33" s="106" t="s">
        <v>217</v>
      </c>
      <c r="C33" s="100" t="s">
        <v>218</v>
      </c>
      <c r="D33" s="106" t="s">
        <v>179</v>
      </c>
      <c r="E33" s="101" t="s">
        <v>219</v>
      </c>
      <c r="F33" s="107" t="s">
        <v>32</v>
      </c>
      <c r="G33" s="103" t="n">
        <v>5</v>
      </c>
      <c r="H33" s="104" t="n">
        <f aca="false">G33*IF(K33="Antes de sublimar",Supuestos!$B$63*1.125,IFERROR(VLOOKUP(F33,Supuestos!$A$29:$B$56,2,0),Supuestos!$C$17))</f>
        <v>33750</v>
      </c>
      <c r="I33" s="106" t="s">
        <v>15</v>
      </c>
      <c r="J33" s="105" t="s">
        <v>195</v>
      </c>
      <c r="K33" s="106" t="s">
        <v>114</v>
      </c>
    </row>
    <row r="34" customFormat="false" ht="18" hidden="false" customHeight="true" outlineLevel="0" collapsed="false">
      <c r="A34" s="90"/>
      <c r="B34" s="108" t="s">
        <v>217</v>
      </c>
      <c r="C34" s="92" t="s">
        <v>218</v>
      </c>
      <c r="D34" s="108" t="s">
        <v>179</v>
      </c>
      <c r="E34" s="93" t="s">
        <v>220</v>
      </c>
      <c r="F34" s="109" t="s">
        <v>32</v>
      </c>
      <c r="G34" s="95" t="n">
        <v>4</v>
      </c>
      <c r="H34" s="96" t="n">
        <f aca="false">G34*IF(K34="Antes de sublimar",Supuestos!$B$63*1.125,IFERROR(VLOOKUP(F34,Supuestos!$A$29:$B$56,2,0),Supuestos!$C$17))</f>
        <v>27000</v>
      </c>
      <c r="I34" s="108" t="s">
        <v>15</v>
      </c>
      <c r="J34" s="97" t="s">
        <v>195</v>
      </c>
      <c r="K34" s="108" t="s">
        <v>114</v>
      </c>
    </row>
    <row r="35" customFormat="false" ht="18" hidden="false" customHeight="true" outlineLevel="0" collapsed="false">
      <c r="A35" s="98"/>
      <c r="B35" s="106" t="s">
        <v>208</v>
      </c>
      <c r="C35" s="100" t="s">
        <v>221</v>
      </c>
      <c r="D35" s="106" t="s">
        <v>222</v>
      </c>
      <c r="E35" s="101" t="s">
        <v>223</v>
      </c>
      <c r="F35" s="107" t="s">
        <v>224</v>
      </c>
      <c r="G35" s="103" t="n">
        <v>1</v>
      </c>
      <c r="H35" s="104" t="n">
        <f aca="false">G35*IF(K35="Antes de sublimar",Supuestos!$B$63*1.125,IFERROR(VLOOKUP(F35,Supuestos!$A$29:$B$56,2,0),Supuestos!$C$17))</f>
        <v>3000</v>
      </c>
      <c r="I35" s="106" t="s">
        <v>15</v>
      </c>
      <c r="J35" s="105" t="s">
        <v>212</v>
      </c>
      <c r="K35" s="106" t="s">
        <v>114</v>
      </c>
    </row>
    <row r="36" customFormat="false" ht="18" hidden="false" customHeight="true" outlineLevel="0" collapsed="false">
      <c r="A36" s="90"/>
      <c r="B36" s="108" t="s">
        <v>208</v>
      </c>
      <c r="C36" s="92" t="s">
        <v>225</v>
      </c>
      <c r="D36" s="108" t="s">
        <v>122</v>
      </c>
      <c r="E36" s="93" t="s">
        <v>226</v>
      </c>
      <c r="F36" s="109" t="s">
        <v>31</v>
      </c>
      <c r="G36" s="95" t="n">
        <v>2</v>
      </c>
      <c r="H36" s="96" t="n">
        <f aca="false">G36*IF(K36="Antes de sublimar",Supuestos!$B$63*1.125,IFERROR(VLOOKUP(F36,Supuestos!$A$29:$B$56,2,0),Supuestos!$C$17))</f>
        <v>13500</v>
      </c>
      <c r="I36" s="108" t="s">
        <v>15</v>
      </c>
      <c r="J36" s="97" t="s">
        <v>195</v>
      </c>
      <c r="K36" s="108" t="s">
        <v>114</v>
      </c>
    </row>
    <row r="37" customFormat="false" ht="18" hidden="false" customHeight="true" outlineLevel="0" collapsed="false">
      <c r="A37" s="98"/>
      <c r="B37" s="106" t="s">
        <v>208</v>
      </c>
      <c r="C37" s="100" t="s">
        <v>227</v>
      </c>
      <c r="D37" s="106" t="s">
        <v>228</v>
      </c>
      <c r="E37" s="101" t="s">
        <v>229</v>
      </c>
      <c r="F37" s="107" t="s">
        <v>31</v>
      </c>
      <c r="G37" s="103" t="n">
        <v>14</v>
      </c>
      <c r="H37" s="104" t="n">
        <f aca="false">G37*IF(K37="Antes de sublimar",Supuestos!$B$63*1.125,IFERROR(VLOOKUP(F37,Supuestos!$A$29:$B$56,2,0),Supuestos!$C$17))</f>
        <v>37800</v>
      </c>
      <c r="I37" s="106" t="s">
        <v>15</v>
      </c>
      <c r="J37" s="105" t="s">
        <v>195</v>
      </c>
      <c r="K37" s="106" t="s">
        <v>126</v>
      </c>
    </row>
    <row r="38" customFormat="false" ht="18" hidden="false" customHeight="true" outlineLevel="0" collapsed="false">
      <c r="A38" s="90"/>
      <c r="B38" s="108" t="s">
        <v>208</v>
      </c>
      <c r="C38" s="92" t="s">
        <v>230</v>
      </c>
      <c r="D38" s="108" t="s">
        <v>140</v>
      </c>
      <c r="E38" s="93" t="s">
        <v>231</v>
      </c>
      <c r="F38" s="109" t="s">
        <v>32</v>
      </c>
      <c r="G38" s="95" t="n">
        <v>1</v>
      </c>
      <c r="H38" s="96" t="n">
        <f aca="false">G38*IF(K38="Antes de sublimar",Supuestos!$B$63*1.125,IFERROR(VLOOKUP(F38,Supuestos!$A$29:$B$56,2,0),Supuestos!$C$17))</f>
        <v>6750</v>
      </c>
      <c r="I38" s="108" t="s">
        <v>15</v>
      </c>
      <c r="J38" s="97" t="s">
        <v>195</v>
      </c>
      <c r="K38" s="108" t="s">
        <v>114</v>
      </c>
    </row>
    <row r="39" customFormat="false" ht="18" hidden="false" customHeight="true" outlineLevel="0" collapsed="false">
      <c r="A39" s="98"/>
      <c r="B39" s="106" t="s">
        <v>232</v>
      </c>
      <c r="C39" s="100" t="s">
        <v>233</v>
      </c>
      <c r="D39" s="106" t="s">
        <v>234</v>
      </c>
      <c r="E39" s="101" t="s">
        <v>235</v>
      </c>
      <c r="F39" s="107" t="s">
        <v>236</v>
      </c>
      <c r="G39" s="103" t="n">
        <v>1</v>
      </c>
      <c r="H39" s="104" t="n">
        <f aca="false">G39*IF(K39="Antes de sublimar",Supuestos!$B$63*1.125,IFERROR(VLOOKUP(F39,Supuestos!$A$29:$B$56,2,0),Supuestos!$C$17))</f>
        <v>6750</v>
      </c>
      <c r="I39" s="106" t="s">
        <v>15</v>
      </c>
      <c r="J39" s="105" t="s">
        <v>199</v>
      </c>
      <c r="K39" s="106" t="s">
        <v>114</v>
      </c>
    </row>
    <row r="40" customFormat="false" ht="18" hidden="false" customHeight="true" outlineLevel="0" collapsed="false">
      <c r="A40" s="90"/>
      <c r="B40" s="108" t="s">
        <v>232</v>
      </c>
      <c r="C40" s="92" t="s">
        <v>237</v>
      </c>
      <c r="D40" s="108" t="s">
        <v>238</v>
      </c>
      <c r="E40" s="93" t="s">
        <v>239</v>
      </c>
      <c r="F40" s="109" t="s">
        <v>112</v>
      </c>
      <c r="G40" s="95" t="n">
        <v>1</v>
      </c>
      <c r="H40" s="96" t="n">
        <f aca="false">G40*IF(K40="Antes de sublimar",Supuestos!$B$63*1.125,IFERROR(VLOOKUP(F40,Supuestos!$A$29:$B$56,2,0),Supuestos!$C$17))</f>
        <v>6750</v>
      </c>
      <c r="I40" s="108" t="s">
        <v>15</v>
      </c>
      <c r="J40" s="97" t="s">
        <v>212</v>
      </c>
      <c r="K40" s="108" t="s">
        <v>114</v>
      </c>
    </row>
    <row r="41" customFormat="false" ht="18" hidden="false" customHeight="true" outlineLevel="0" collapsed="false">
      <c r="A41" s="98"/>
      <c r="B41" s="106" t="s">
        <v>232</v>
      </c>
      <c r="C41" s="100" t="s">
        <v>213</v>
      </c>
      <c r="D41" s="106" t="s">
        <v>240</v>
      </c>
      <c r="E41" s="101" t="s">
        <v>241</v>
      </c>
      <c r="F41" s="107" t="s">
        <v>32</v>
      </c>
      <c r="G41" s="103" t="n">
        <v>1</v>
      </c>
      <c r="H41" s="104" t="n">
        <f aca="false">G41*IF(K41="Antes de sublimar",Supuestos!$B$63*1.125,IFERROR(VLOOKUP(F41,Supuestos!$A$29:$B$56,2,0),Supuestos!$C$17))</f>
        <v>6750</v>
      </c>
      <c r="I41" s="106" t="s">
        <v>15</v>
      </c>
      <c r="J41" s="105" t="s">
        <v>212</v>
      </c>
      <c r="K41" s="106" t="s">
        <v>114</v>
      </c>
    </row>
    <row r="42" customFormat="false" ht="18" hidden="false" customHeight="true" outlineLevel="0" collapsed="false">
      <c r="A42" s="90"/>
      <c r="B42" s="108" t="s">
        <v>242</v>
      </c>
      <c r="C42" s="92" t="s">
        <v>221</v>
      </c>
      <c r="D42" s="108" t="s">
        <v>243</v>
      </c>
      <c r="E42" s="93" t="s">
        <v>244</v>
      </c>
      <c r="F42" s="109" t="s">
        <v>32</v>
      </c>
      <c r="G42" s="95" t="n">
        <v>4</v>
      </c>
      <c r="H42" s="96" t="n">
        <f aca="false">G42*IF(K42="Antes de sublimar",Supuestos!$B$63*1.125,IFERROR(VLOOKUP(F42,Supuestos!$A$29:$B$56,2,0),Supuestos!$C$17))</f>
        <v>27000</v>
      </c>
      <c r="I42" s="108" t="s">
        <v>15</v>
      </c>
      <c r="J42" s="97" t="s">
        <v>199</v>
      </c>
      <c r="K42" s="108" t="s">
        <v>114</v>
      </c>
    </row>
    <row r="43" customFormat="false" ht="18" hidden="false" customHeight="true" outlineLevel="0" collapsed="false">
      <c r="A43" s="98"/>
      <c r="B43" s="106" t="s">
        <v>242</v>
      </c>
      <c r="C43" s="100" t="s">
        <v>221</v>
      </c>
      <c r="D43" s="106" t="s">
        <v>245</v>
      </c>
      <c r="E43" s="101" t="s">
        <v>246</v>
      </c>
      <c r="F43" s="107" t="s">
        <v>32</v>
      </c>
      <c r="G43" s="103" t="n">
        <v>5</v>
      </c>
      <c r="H43" s="104" t="n">
        <f aca="false">G43*IF(K43="Antes de sublimar",Supuestos!$B$63*1.125,IFERROR(VLOOKUP(F43,Supuestos!$A$29:$B$56,2,0),Supuestos!$C$17))</f>
        <v>33750</v>
      </c>
      <c r="I43" s="106" t="s">
        <v>15</v>
      </c>
      <c r="J43" s="105" t="s">
        <v>199</v>
      </c>
      <c r="K43" s="106" t="s">
        <v>114</v>
      </c>
    </row>
    <row r="44" customFormat="false" ht="18" hidden="false" customHeight="true" outlineLevel="0" collapsed="false">
      <c r="A44" s="90"/>
      <c r="B44" s="108" t="s">
        <v>242</v>
      </c>
      <c r="C44" s="92" t="s">
        <v>213</v>
      </c>
      <c r="D44" s="108" t="s">
        <v>240</v>
      </c>
      <c r="E44" s="93" t="s">
        <v>247</v>
      </c>
      <c r="F44" s="109" t="s">
        <v>31</v>
      </c>
      <c r="G44" s="95" t="n">
        <v>5</v>
      </c>
      <c r="H44" s="96" t="n">
        <f aca="false">G44*IF(K44="Antes de sublimar",Supuestos!$B$63*1.125,IFERROR(VLOOKUP(F44,Supuestos!$A$29:$B$56,2,0),Supuestos!$C$17))</f>
        <v>33750</v>
      </c>
      <c r="I44" s="108" t="s">
        <v>15</v>
      </c>
      <c r="J44" s="97" t="s">
        <v>195</v>
      </c>
      <c r="K44" s="108" t="s">
        <v>114</v>
      </c>
    </row>
    <row r="45" customFormat="false" ht="18" hidden="false" customHeight="true" outlineLevel="0" collapsed="false">
      <c r="A45" s="98"/>
      <c r="B45" s="106" t="s">
        <v>242</v>
      </c>
      <c r="C45" s="100" t="s">
        <v>248</v>
      </c>
      <c r="D45" s="106" t="s">
        <v>184</v>
      </c>
      <c r="E45" s="101" t="s">
        <v>249</v>
      </c>
      <c r="F45" s="107" t="s">
        <v>172</v>
      </c>
      <c r="G45" s="103" t="n">
        <v>1</v>
      </c>
      <c r="H45" s="104" t="n">
        <f aca="false">G45*IF(K45="Antes de sublimar",Supuestos!$B$63*1.125,IFERROR(VLOOKUP(F45,Supuestos!$A$29:$B$56,2,0),Supuestos!$C$17))</f>
        <v>6750</v>
      </c>
      <c r="I45" s="106" t="s">
        <v>15</v>
      </c>
      <c r="J45" s="105" t="s">
        <v>195</v>
      </c>
      <c r="K45" s="106" t="s">
        <v>114</v>
      </c>
    </row>
    <row r="46" customFormat="false" ht="18" hidden="false" customHeight="true" outlineLevel="0" collapsed="false">
      <c r="A46" s="90"/>
      <c r="B46" s="108" t="s">
        <v>250</v>
      </c>
      <c r="C46" s="92" t="s">
        <v>251</v>
      </c>
      <c r="D46" s="108" t="s">
        <v>252</v>
      </c>
      <c r="E46" s="93" t="s">
        <v>253</v>
      </c>
      <c r="F46" s="109" t="s">
        <v>172</v>
      </c>
      <c r="G46" s="95" t="n">
        <v>3</v>
      </c>
      <c r="H46" s="96" t="n">
        <f aca="false">G46*IF(K46="Antes de sublimar",Supuestos!$B$63*1.125,IFERROR(VLOOKUP(F46,Supuestos!$A$29:$B$56,2,0),Supuestos!$C$17))</f>
        <v>20250</v>
      </c>
      <c r="I46" s="108" t="s">
        <v>15</v>
      </c>
      <c r="J46" s="97" t="s">
        <v>195</v>
      </c>
      <c r="K46" s="108" t="s">
        <v>114</v>
      </c>
    </row>
    <row r="47" customFormat="false" ht="18" hidden="false" customHeight="true" outlineLevel="0" collapsed="false">
      <c r="A47" s="98"/>
      <c r="B47" s="106" t="s">
        <v>250</v>
      </c>
      <c r="C47" s="100" t="s">
        <v>254</v>
      </c>
      <c r="D47" s="106" t="s">
        <v>206</v>
      </c>
      <c r="E47" s="101" t="s">
        <v>255</v>
      </c>
      <c r="F47" s="107" t="s">
        <v>31</v>
      </c>
      <c r="G47" s="103" t="n">
        <v>9</v>
      </c>
      <c r="H47" s="104" t="n">
        <f aca="false">G47*IF(K47="Antes de sublimar",Supuestos!$B$63*1.125,IFERROR(VLOOKUP(F47,Supuestos!$A$29:$B$56,2,0),Supuestos!$C$17))</f>
        <v>60750</v>
      </c>
      <c r="I47" s="106" t="s">
        <v>15</v>
      </c>
      <c r="J47" s="105" t="s">
        <v>212</v>
      </c>
      <c r="K47" s="106" t="s">
        <v>114</v>
      </c>
    </row>
    <row r="48" customFormat="false" ht="18" hidden="false" customHeight="true" outlineLevel="0" collapsed="false">
      <c r="A48" s="90"/>
      <c r="B48" s="108" t="s">
        <v>250</v>
      </c>
      <c r="C48" s="92" t="s">
        <v>218</v>
      </c>
      <c r="D48" s="108" t="s">
        <v>179</v>
      </c>
      <c r="E48" s="93" t="s">
        <v>256</v>
      </c>
      <c r="F48" s="109" t="s">
        <v>172</v>
      </c>
      <c r="G48" s="95" t="n">
        <v>9</v>
      </c>
      <c r="H48" s="96" t="n">
        <f aca="false">G48*IF(K48="Antes de sublimar",Supuestos!$B$63*1.125,IFERROR(VLOOKUP(F48,Supuestos!$A$29:$B$56,2,0),Supuestos!$C$17))</f>
        <v>60750</v>
      </c>
      <c r="I48" s="108" t="s">
        <v>15</v>
      </c>
      <c r="J48" s="97" t="s">
        <v>212</v>
      </c>
      <c r="K48" s="108" t="s">
        <v>114</v>
      </c>
    </row>
    <row r="49" customFormat="false" ht="18" hidden="false" customHeight="true" outlineLevel="0" collapsed="false">
      <c r="A49" s="98"/>
      <c r="B49" s="106" t="s">
        <v>250</v>
      </c>
      <c r="C49" s="100" t="s">
        <v>218</v>
      </c>
      <c r="D49" s="106" t="s">
        <v>179</v>
      </c>
      <c r="E49" s="101" t="s">
        <v>257</v>
      </c>
      <c r="F49" s="107" t="s">
        <v>159</v>
      </c>
      <c r="G49" s="103" t="n">
        <v>1</v>
      </c>
      <c r="H49" s="104" t="n">
        <f aca="false">G49*IF(K49="Antes de sublimar",Supuestos!$B$63*1.125,IFERROR(VLOOKUP(F49,Supuestos!$A$29:$B$56,2,0),Supuestos!$C$17))</f>
        <v>6750</v>
      </c>
      <c r="I49" s="106" t="s">
        <v>15</v>
      </c>
      <c r="J49" s="105" t="s">
        <v>212</v>
      </c>
      <c r="K49" s="106" t="s">
        <v>114</v>
      </c>
    </row>
    <row r="50" customFormat="false" ht="18" hidden="false" customHeight="true" outlineLevel="0" collapsed="false">
      <c r="A50" s="90"/>
      <c r="B50" s="108" t="s">
        <v>250</v>
      </c>
      <c r="C50" s="92" t="s">
        <v>248</v>
      </c>
      <c r="D50" s="108" t="s">
        <v>184</v>
      </c>
      <c r="E50" s="93" t="s">
        <v>258</v>
      </c>
      <c r="F50" s="109" t="s">
        <v>162</v>
      </c>
      <c r="G50" s="95" t="n">
        <v>2</v>
      </c>
      <c r="H50" s="96" t="n">
        <f aca="false">G50*IF(K50="Antes de sublimar",Supuestos!$B$63*1.125,IFERROR(VLOOKUP(F50,Supuestos!$A$29:$B$56,2,0),Supuestos!$C$17))</f>
        <v>13500</v>
      </c>
      <c r="I50" s="108" t="s">
        <v>15</v>
      </c>
      <c r="J50" s="97" t="s">
        <v>212</v>
      </c>
      <c r="K50" s="108" t="s">
        <v>114</v>
      </c>
    </row>
    <row r="51" customFormat="false" ht="18" hidden="false" customHeight="true" outlineLevel="0" collapsed="false">
      <c r="A51" s="98"/>
      <c r="B51" s="106" t="s">
        <v>250</v>
      </c>
      <c r="C51" s="100" t="s">
        <v>248</v>
      </c>
      <c r="D51" s="106" t="s">
        <v>184</v>
      </c>
      <c r="E51" s="101" t="s">
        <v>259</v>
      </c>
      <c r="F51" s="107" t="s">
        <v>150</v>
      </c>
      <c r="G51" s="103" t="n">
        <v>1</v>
      </c>
      <c r="H51" s="104" t="n">
        <f aca="false">G51*IF(K51="Antes de sublimar",Supuestos!$B$63*1.125,IFERROR(VLOOKUP(F51,Supuestos!$A$29:$B$56,2,0),Supuestos!$C$17))</f>
        <v>6750</v>
      </c>
      <c r="I51" s="106" t="s">
        <v>15</v>
      </c>
      <c r="J51" s="105" t="s">
        <v>195</v>
      </c>
      <c r="K51" s="106" t="s">
        <v>114</v>
      </c>
    </row>
    <row r="52" customFormat="false" ht="18" hidden="false" customHeight="true" outlineLevel="0" collapsed="false">
      <c r="A52" s="90"/>
      <c r="B52" s="108" t="s">
        <v>260</v>
      </c>
      <c r="C52" s="92" t="s">
        <v>261</v>
      </c>
      <c r="D52" s="108" t="s">
        <v>262</v>
      </c>
      <c r="E52" s="93" t="s">
        <v>263</v>
      </c>
      <c r="F52" s="109" t="s">
        <v>124</v>
      </c>
      <c r="G52" s="95" t="n">
        <v>1</v>
      </c>
      <c r="H52" s="96" t="n">
        <f aca="false">G52*IF(K52="Antes de sublimar",Supuestos!$B$63*1.125,IFERROR(VLOOKUP(F52,Supuestos!$A$29:$B$56,2,0),Supuestos!$C$17))</f>
        <v>2700</v>
      </c>
      <c r="I52" s="108" t="s">
        <v>15</v>
      </c>
      <c r="J52" s="97" t="s">
        <v>199</v>
      </c>
      <c r="K52" s="108" t="s">
        <v>126</v>
      </c>
    </row>
    <row r="53" customFormat="false" ht="18" hidden="false" customHeight="true" outlineLevel="0" collapsed="false">
      <c r="A53" s="98"/>
      <c r="B53" s="106" t="s">
        <v>260</v>
      </c>
      <c r="C53" s="100" t="s">
        <v>264</v>
      </c>
      <c r="D53" s="106" t="s">
        <v>265</v>
      </c>
      <c r="E53" s="101" t="s">
        <v>266</v>
      </c>
      <c r="F53" s="107" t="s">
        <v>32</v>
      </c>
      <c r="G53" s="103" t="n">
        <v>1</v>
      </c>
      <c r="H53" s="104" t="n">
        <f aca="false">G53*IF(K53="Antes de sublimar",Supuestos!$B$63*1.125,IFERROR(VLOOKUP(F53,Supuestos!$A$29:$B$56,2,0),Supuestos!$C$17))</f>
        <v>6750</v>
      </c>
      <c r="I53" s="106" t="s">
        <v>15</v>
      </c>
      <c r="J53" s="105" t="s">
        <v>199</v>
      </c>
      <c r="K53" s="106" t="s">
        <v>114</v>
      </c>
    </row>
    <row r="54" customFormat="false" ht="18" hidden="false" customHeight="true" outlineLevel="0" collapsed="false">
      <c r="A54" s="90"/>
      <c r="B54" s="108" t="s">
        <v>260</v>
      </c>
      <c r="C54" s="92" t="s">
        <v>218</v>
      </c>
      <c r="D54" s="108" t="s">
        <v>179</v>
      </c>
      <c r="E54" s="93" t="s">
        <v>267</v>
      </c>
      <c r="F54" s="109" t="s">
        <v>32</v>
      </c>
      <c r="G54" s="95" t="n">
        <v>5</v>
      </c>
      <c r="H54" s="96" t="n">
        <f aca="false">G54*IF(K54="Antes de sublimar",Supuestos!$B$63*1.125,IFERROR(VLOOKUP(F54,Supuestos!$A$29:$B$56,2,0),Supuestos!$C$17))</f>
        <v>33750</v>
      </c>
      <c r="I54" s="108" t="s">
        <v>15</v>
      </c>
      <c r="J54" s="97" t="s">
        <v>199</v>
      </c>
      <c r="K54" s="108" t="s">
        <v>114</v>
      </c>
    </row>
    <row r="55" customFormat="false" ht="18" hidden="false" customHeight="true" outlineLevel="0" collapsed="false">
      <c r="A55" s="98"/>
      <c r="B55" s="106" t="s">
        <v>268</v>
      </c>
      <c r="C55" s="100" t="s">
        <v>193</v>
      </c>
      <c r="D55" s="106" t="s">
        <v>188</v>
      </c>
      <c r="E55" s="101" t="s">
        <v>269</v>
      </c>
      <c r="F55" s="107" t="s">
        <v>32</v>
      </c>
      <c r="G55" s="103" t="n">
        <v>1</v>
      </c>
      <c r="H55" s="104" t="n">
        <f aca="false">G55*IF(K55="Antes de sublimar",Supuestos!$B$63*1.125,IFERROR(VLOOKUP(F55,Supuestos!$A$29:$B$56,2,0),Supuestos!$C$17))</f>
        <v>6750</v>
      </c>
      <c r="I55" s="106" t="s">
        <v>15</v>
      </c>
      <c r="J55" s="105" t="s">
        <v>195</v>
      </c>
      <c r="K55" s="106" t="s">
        <v>114</v>
      </c>
    </row>
    <row r="56" customFormat="false" ht="18" hidden="false" customHeight="true" outlineLevel="0" collapsed="false">
      <c r="A56" s="90"/>
      <c r="B56" s="108" t="s">
        <v>268</v>
      </c>
      <c r="C56" s="92" t="s">
        <v>270</v>
      </c>
      <c r="D56" s="108" t="s">
        <v>271</v>
      </c>
      <c r="E56" s="93" t="s">
        <v>272</v>
      </c>
      <c r="F56" s="109" t="s">
        <v>32</v>
      </c>
      <c r="G56" s="95" t="n">
        <v>1</v>
      </c>
      <c r="H56" s="96" t="n">
        <f aca="false">G56*IF(K56="Antes de sublimar",Supuestos!$B$63*1.125,IFERROR(VLOOKUP(F56,Supuestos!$A$29:$B$56,2,0),Supuestos!$C$17))</f>
        <v>6750</v>
      </c>
      <c r="I56" s="108" t="s">
        <v>15</v>
      </c>
      <c r="J56" s="97" t="s">
        <v>195</v>
      </c>
      <c r="K56" s="108" t="s">
        <v>114</v>
      </c>
    </row>
    <row r="57" customFormat="false" ht="18" hidden="false" customHeight="true" outlineLevel="0" collapsed="false">
      <c r="A57" s="98"/>
      <c r="B57" s="106" t="s">
        <v>268</v>
      </c>
      <c r="C57" s="100" t="s">
        <v>273</v>
      </c>
      <c r="D57" s="106" t="s">
        <v>274</v>
      </c>
      <c r="E57" s="101" t="s">
        <v>275</v>
      </c>
      <c r="F57" s="107" t="s">
        <v>31</v>
      </c>
      <c r="G57" s="103" t="n">
        <v>1</v>
      </c>
      <c r="H57" s="104" t="n">
        <f aca="false">G57*IF(K57="Antes de sublimar",Supuestos!$B$63*1.125,IFERROR(VLOOKUP(F57,Supuestos!$A$29:$B$56,2,0),Supuestos!$C$17))</f>
        <v>6750</v>
      </c>
      <c r="I57" s="106" t="s">
        <v>15</v>
      </c>
      <c r="J57" s="105" t="s">
        <v>195</v>
      </c>
      <c r="K57" s="106" t="s">
        <v>114</v>
      </c>
    </row>
    <row r="58" customFormat="false" ht="18" hidden="false" customHeight="true" outlineLevel="0" collapsed="false">
      <c r="A58" s="90"/>
      <c r="B58" s="108" t="s">
        <v>268</v>
      </c>
      <c r="C58" s="92" t="s">
        <v>276</v>
      </c>
      <c r="D58" s="108" t="s">
        <v>277</v>
      </c>
      <c r="E58" s="93" t="s">
        <v>278</v>
      </c>
      <c r="F58" s="109" t="s">
        <v>32</v>
      </c>
      <c r="G58" s="95" t="n">
        <v>2</v>
      </c>
      <c r="H58" s="96" t="n">
        <f aca="false">G58*IF(K58="Antes de sublimar",Supuestos!$B$63*1.125,IFERROR(VLOOKUP(F58,Supuestos!$A$29:$B$56,2,0),Supuestos!$C$17))</f>
        <v>13500</v>
      </c>
      <c r="I58" s="108" t="s">
        <v>15</v>
      </c>
      <c r="J58" s="97" t="s">
        <v>199</v>
      </c>
      <c r="K58" s="108" t="s">
        <v>114</v>
      </c>
    </row>
    <row r="59" customFormat="false" ht="18" hidden="false" customHeight="true" outlineLevel="0" collapsed="false">
      <c r="A59" s="98"/>
      <c r="B59" s="106" t="s">
        <v>279</v>
      </c>
      <c r="C59" s="100" t="s">
        <v>218</v>
      </c>
      <c r="D59" s="106" t="s">
        <v>179</v>
      </c>
      <c r="E59" s="101" t="s">
        <v>280</v>
      </c>
      <c r="F59" s="107" t="s">
        <v>150</v>
      </c>
      <c r="G59" s="103" t="n">
        <v>3</v>
      </c>
      <c r="H59" s="104" t="n">
        <f aca="false">G59*IF(K59="Antes de sublimar",Supuestos!$B$63*1.125,IFERROR(VLOOKUP(F59,Supuestos!$A$29:$B$56,2,0),Supuestos!$C$17))</f>
        <v>20250</v>
      </c>
      <c r="I59" s="106" t="s">
        <v>15</v>
      </c>
      <c r="J59" s="105" t="s">
        <v>212</v>
      </c>
      <c r="K59" s="106" t="s">
        <v>114</v>
      </c>
    </row>
    <row r="60" customFormat="false" ht="18" hidden="false" customHeight="true" outlineLevel="0" collapsed="false">
      <c r="A60" s="90"/>
      <c r="B60" s="108" t="s">
        <v>279</v>
      </c>
      <c r="C60" s="92" t="s">
        <v>281</v>
      </c>
      <c r="D60" s="108" t="s">
        <v>206</v>
      </c>
      <c r="E60" s="93" t="s">
        <v>282</v>
      </c>
      <c r="F60" s="109" t="s">
        <v>31</v>
      </c>
      <c r="G60" s="95" t="n">
        <v>2</v>
      </c>
      <c r="H60" s="96" t="n">
        <f aca="false">G60*IF(K60="Antes de sublimar",Supuestos!$B$63*1.125,IFERROR(VLOOKUP(F60,Supuestos!$A$29:$B$56,2,0),Supuestos!$C$17))</f>
        <v>13500</v>
      </c>
      <c r="I60" s="108" t="s">
        <v>15</v>
      </c>
      <c r="J60" s="97" t="s">
        <v>195</v>
      </c>
      <c r="K60" s="108" t="s">
        <v>114</v>
      </c>
    </row>
    <row r="61" customFormat="false" ht="18" hidden="false" customHeight="true" outlineLevel="0" collapsed="false">
      <c r="A61" s="98"/>
      <c r="B61" s="106" t="s">
        <v>283</v>
      </c>
      <c r="C61" s="100" t="s">
        <v>284</v>
      </c>
      <c r="D61" s="106" t="s">
        <v>285</v>
      </c>
      <c r="E61" s="101" t="s">
        <v>286</v>
      </c>
      <c r="F61" s="107" t="s">
        <v>172</v>
      </c>
      <c r="G61" s="103" t="n">
        <v>1</v>
      </c>
      <c r="H61" s="104" t="n">
        <f aca="false">G61*IF(K61="Antes de sublimar",Supuestos!$B$63*1.125,IFERROR(VLOOKUP(F61,Supuestos!$A$29:$B$56,2,0),Supuestos!$C$17))</f>
        <v>6750</v>
      </c>
      <c r="I61" s="106" t="s">
        <v>15</v>
      </c>
      <c r="J61" s="105" t="s">
        <v>195</v>
      </c>
      <c r="K61" s="106" t="s">
        <v>114</v>
      </c>
    </row>
    <row r="62" customFormat="false" ht="18" hidden="false" customHeight="true" outlineLevel="0" collapsed="false">
      <c r="A62" s="90"/>
      <c r="B62" s="108" t="s">
        <v>283</v>
      </c>
      <c r="C62" s="92" t="s">
        <v>221</v>
      </c>
      <c r="D62" s="108" t="s">
        <v>243</v>
      </c>
      <c r="E62" s="93" t="s">
        <v>287</v>
      </c>
      <c r="F62" s="109" t="s">
        <v>172</v>
      </c>
      <c r="G62" s="95" t="n">
        <v>1</v>
      </c>
      <c r="H62" s="96" t="n">
        <f aca="false">G62*IF(K62="Antes de sublimar",Supuestos!$B$63*1.125,IFERROR(VLOOKUP(F62,Supuestos!$A$29:$B$56,2,0),Supuestos!$C$17))</f>
        <v>6750</v>
      </c>
      <c r="I62" s="108" t="s">
        <v>15</v>
      </c>
      <c r="J62" s="97" t="s">
        <v>195</v>
      </c>
      <c r="K62" s="108" t="s">
        <v>114</v>
      </c>
    </row>
    <row r="63" customFormat="false" ht="18" hidden="false" customHeight="true" outlineLevel="0" collapsed="false">
      <c r="A63" s="98"/>
      <c r="B63" s="106" t="s">
        <v>283</v>
      </c>
      <c r="C63" s="100" t="s">
        <v>288</v>
      </c>
      <c r="D63" s="106" t="s">
        <v>289</v>
      </c>
      <c r="E63" s="101" t="s">
        <v>290</v>
      </c>
      <c r="F63" s="107" t="s">
        <v>147</v>
      </c>
      <c r="G63" s="103" t="n">
        <v>1</v>
      </c>
      <c r="H63" s="104" t="n">
        <f aca="false">G63*IF(K63="Antes de sublimar",Supuestos!$B$63*1.125,IFERROR(VLOOKUP(F63,Supuestos!$A$29:$B$56,2,0),Supuestos!$C$17))</f>
        <v>6750</v>
      </c>
      <c r="I63" s="106" t="s">
        <v>15</v>
      </c>
      <c r="J63" s="105" t="s">
        <v>195</v>
      </c>
      <c r="K63" s="106" t="s">
        <v>114</v>
      </c>
    </row>
    <row r="64" customFormat="false" ht="18" hidden="false" customHeight="true" outlineLevel="0" collapsed="false">
      <c r="A64" s="90"/>
      <c r="B64" s="108" t="s">
        <v>291</v>
      </c>
      <c r="C64" s="92" t="s">
        <v>292</v>
      </c>
      <c r="D64" s="108" t="s">
        <v>293</v>
      </c>
      <c r="E64" s="93" t="s">
        <v>294</v>
      </c>
      <c r="F64" s="109" t="s">
        <v>112</v>
      </c>
      <c r="G64" s="95" t="n">
        <v>10</v>
      </c>
      <c r="H64" s="96" t="n">
        <f aca="false">G64*IF(K64="Antes de sublimar",Supuestos!$B$63*1.125,IFERROR(VLOOKUP(F64,Supuestos!$A$29:$B$56,2,0),Supuestos!$C$17))</f>
        <v>67500</v>
      </c>
      <c r="I64" s="108" t="s">
        <v>15</v>
      </c>
      <c r="J64" s="97" t="s">
        <v>212</v>
      </c>
      <c r="K64" s="108" t="s">
        <v>114</v>
      </c>
    </row>
    <row r="65" customFormat="false" ht="18" hidden="false" customHeight="true" outlineLevel="0" collapsed="false">
      <c r="A65" s="98"/>
      <c r="B65" s="106" t="s">
        <v>291</v>
      </c>
      <c r="C65" s="100" t="s">
        <v>295</v>
      </c>
      <c r="D65" s="106" t="s">
        <v>296</v>
      </c>
      <c r="E65" s="101" t="s">
        <v>297</v>
      </c>
      <c r="F65" s="107" t="s">
        <v>112</v>
      </c>
      <c r="G65" s="103" t="n">
        <v>2</v>
      </c>
      <c r="H65" s="104" t="n">
        <f aca="false">G65*IF(K65="Antes de sublimar",Supuestos!$B$63*1.125,IFERROR(VLOOKUP(F65,Supuestos!$A$29:$B$56,2,0),Supuestos!$C$17))</f>
        <v>13500</v>
      </c>
      <c r="I65" s="106" t="s">
        <v>15</v>
      </c>
      <c r="J65" s="105" t="s">
        <v>199</v>
      </c>
      <c r="K65" s="106" t="s">
        <v>114</v>
      </c>
    </row>
    <row r="66" customFormat="false" ht="18" hidden="false" customHeight="true" outlineLevel="0" collapsed="false">
      <c r="A66" s="90"/>
      <c r="B66" s="108" t="s">
        <v>291</v>
      </c>
      <c r="C66" s="92" t="s">
        <v>298</v>
      </c>
      <c r="D66" s="108" t="s">
        <v>188</v>
      </c>
      <c r="E66" s="93" t="s">
        <v>299</v>
      </c>
      <c r="F66" s="109" t="s">
        <v>112</v>
      </c>
      <c r="G66" s="95" t="n">
        <v>1</v>
      </c>
      <c r="H66" s="96" t="n">
        <f aca="false">G66*IF(K66="Antes de sublimar",Supuestos!$B$63*1.125,IFERROR(VLOOKUP(F66,Supuestos!$A$29:$B$56,2,0),Supuestos!$C$17))</f>
        <v>6750</v>
      </c>
      <c r="I66" s="108" t="s">
        <v>15</v>
      </c>
      <c r="J66" s="97" t="s">
        <v>199</v>
      </c>
      <c r="K66" s="108" t="s">
        <v>114</v>
      </c>
    </row>
    <row r="67" customFormat="false" ht="18" hidden="false" customHeight="true" outlineLevel="0" collapsed="false">
      <c r="A67" s="98"/>
      <c r="B67" s="106" t="s">
        <v>291</v>
      </c>
      <c r="C67" s="100" t="s">
        <v>300</v>
      </c>
      <c r="D67" s="106" t="s">
        <v>188</v>
      </c>
      <c r="E67" s="101" t="s">
        <v>301</v>
      </c>
      <c r="F67" s="107" t="s">
        <v>32</v>
      </c>
      <c r="G67" s="103" t="n">
        <v>1</v>
      </c>
      <c r="H67" s="104" t="n">
        <f aca="false">G67*IF(K67="Antes de sublimar",Supuestos!$B$63*1.125,IFERROR(VLOOKUP(F67,Supuestos!$A$29:$B$56,2,0),Supuestos!$C$17))</f>
        <v>6750</v>
      </c>
      <c r="I67" s="106" t="s">
        <v>15</v>
      </c>
      <c r="J67" s="105" t="s">
        <v>199</v>
      </c>
      <c r="K67" s="106" t="s">
        <v>114</v>
      </c>
    </row>
    <row r="68" customFormat="false" ht="18" hidden="false" customHeight="true" outlineLevel="0" collapsed="false">
      <c r="A68" s="90"/>
      <c r="B68" s="108" t="s">
        <v>291</v>
      </c>
      <c r="C68" s="92" t="s">
        <v>302</v>
      </c>
      <c r="D68" s="108" t="s">
        <v>303</v>
      </c>
      <c r="E68" s="93" t="s">
        <v>304</v>
      </c>
      <c r="F68" s="109" t="s">
        <v>204</v>
      </c>
      <c r="G68" s="95" t="n">
        <v>1</v>
      </c>
      <c r="H68" s="96" t="n">
        <f aca="false">G68*IF(K68="Antes de sublimar",Supuestos!$B$63*1.125,IFERROR(VLOOKUP(F68,Supuestos!$A$29:$B$56,2,0),Supuestos!$C$17))</f>
        <v>6750</v>
      </c>
      <c r="I68" s="108" t="s">
        <v>15</v>
      </c>
      <c r="J68" s="97" t="s">
        <v>199</v>
      </c>
      <c r="K68" s="108" t="s">
        <v>114</v>
      </c>
    </row>
    <row r="69" customFormat="false" ht="18" hidden="false" customHeight="true" outlineLevel="0" collapsed="false">
      <c r="A69" s="98"/>
      <c r="B69" s="106" t="s">
        <v>291</v>
      </c>
      <c r="C69" s="100" t="s">
        <v>305</v>
      </c>
      <c r="D69" s="106" t="s">
        <v>306</v>
      </c>
      <c r="E69" s="101" t="s">
        <v>307</v>
      </c>
      <c r="F69" s="107" t="s">
        <v>32</v>
      </c>
      <c r="G69" s="103" t="n">
        <v>2</v>
      </c>
      <c r="H69" s="104" t="n">
        <f aca="false">G69*IF(K69="Antes de sublimar",Supuestos!$B$63*1.125,IFERROR(VLOOKUP(F69,Supuestos!$A$29:$B$56,2,0),Supuestos!$C$17))</f>
        <v>13500</v>
      </c>
      <c r="I69" s="106" t="s">
        <v>15</v>
      </c>
      <c r="J69" s="105" t="s">
        <v>199</v>
      </c>
      <c r="K69" s="106" t="s">
        <v>114</v>
      </c>
    </row>
    <row r="70" customFormat="false" ht="18" hidden="false" customHeight="true" outlineLevel="0" collapsed="false">
      <c r="A70" s="90"/>
      <c r="B70" s="108" t="s">
        <v>291</v>
      </c>
      <c r="C70" s="92" t="s">
        <v>305</v>
      </c>
      <c r="D70" s="108" t="s">
        <v>306</v>
      </c>
      <c r="E70" s="93" t="s">
        <v>308</v>
      </c>
      <c r="F70" s="109" t="s">
        <v>31</v>
      </c>
      <c r="G70" s="95" t="n">
        <v>2</v>
      </c>
      <c r="H70" s="96" t="n">
        <f aca="false">G70*IF(K70="Antes de sublimar",Supuestos!$B$63*1.125,IFERROR(VLOOKUP(F70,Supuestos!$A$29:$B$56,2,0),Supuestos!$C$17))</f>
        <v>13500</v>
      </c>
      <c r="I70" s="108" t="s">
        <v>15</v>
      </c>
      <c r="J70" s="97" t="s">
        <v>212</v>
      </c>
      <c r="K70" s="108" t="s">
        <v>114</v>
      </c>
    </row>
    <row r="71" customFormat="false" ht="18" hidden="false" customHeight="true" outlineLevel="0" collapsed="false">
      <c r="A71" s="98"/>
      <c r="B71" s="106" t="s">
        <v>309</v>
      </c>
      <c r="C71" s="100" t="s">
        <v>310</v>
      </c>
      <c r="D71" s="106" t="s">
        <v>188</v>
      </c>
      <c r="E71" s="101" t="s">
        <v>311</v>
      </c>
      <c r="F71" s="107" t="s">
        <v>32</v>
      </c>
      <c r="G71" s="103" t="n">
        <v>1</v>
      </c>
      <c r="H71" s="104" t="n">
        <f aca="false">G71*IF(K71="Antes de sublimar",Supuestos!$B$63*1.125,IFERROR(VLOOKUP(F71,Supuestos!$A$29:$B$56,2,0),Supuestos!$C$17))</f>
        <v>6750</v>
      </c>
      <c r="I71" s="106" t="s">
        <v>15</v>
      </c>
      <c r="J71" s="105" t="s">
        <v>195</v>
      </c>
      <c r="K71" s="106" t="s">
        <v>114</v>
      </c>
    </row>
    <row r="72" customFormat="false" ht="18" hidden="false" customHeight="true" outlineLevel="0" collapsed="false">
      <c r="A72" s="90"/>
      <c r="B72" s="108" t="s">
        <v>312</v>
      </c>
      <c r="C72" s="92" t="s">
        <v>313</v>
      </c>
      <c r="D72" s="108" t="s">
        <v>293</v>
      </c>
      <c r="E72" s="93" t="s">
        <v>314</v>
      </c>
      <c r="F72" s="109" t="s">
        <v>32</v>
      </c>
      <c r="G72" s="95" t="n">
        <v>2</v>
      </c>
      <c r="H72" s="96" t="n">
        <f aca="false">G72*IF(K72="Antes de sublimar",Supuestos!$B$63*1.125,IFERROR(VLOOKUP(F72,Supuestos!$A$29:$B$56,2,0),Supuestos!$C$17))</f>
        <v>13500</v>
      </c>
      <c r="I72" s="108" t="s">
        <v>15</v>
      </c>
      <c r="J72" s="97" t="s">
        <v>195</v>
      </c>
      <c r="K72" s="108" t="s">
        <v>114</v>
      </c>
    </row>
    <row r="73" customFormat="false" ht="18" hidden="false" customHeight="true" outlineLevel="0" collapsed="false">
      <c r="A73" s="98"/>
      <c r="B73" s="106" t="s">
        <v>315</v>
      </c>
      <c r="C73" s="100" t="s">
        <v>316</v>
      </c>
      <c r="D73" s="106" t="s">
        <v>188</v>
      </c>
      <c r="E73" s="101" t="s">
        <v>317</v>
      </c>
      <c r="F73" s="107" t="s">
        <v>147</v>
      </c>
      <c r="G73" s="103" t="n">
        <v>1</v>
      </c>
      <c r="H73" s="104" t="n">
        <f aca="false">G73*IF(K73="Antes de sublimar",Supuestos!$B$63*1.125,IFERROR(VLOOKUP(F73,Supuestos!$A$29:$B$56,2,0),Supuestos!$C$17))</f>
        <v>6750</v>
      </c>
      <c r="I73" s="106" t="s">
        <v>15</v>
      </c>
      <c r="J73" s="105" t="s">
        <v>199</v>
      </c>
      <c r="K73" s="106" t="s">
        <v>114</v>
      </c>
    </row>
    <row r="74" customFormat="false" ht="18" hidden="false" customHeight="true" outlineLevel="0" collapsed="false">
      <c r="A74" s="90"/>
      <c r="B74" s="108" t="s">
        <v>315</v>
      </c>
      <c r="C74" s="92" t="s">
        <v>318</v>
      </c>
      <c r="D74" s="108" t="s">
        <v>188</v>
      </c>
      <c r="E74" s="93" t="s">
        <v>319</v>
      </c>
      <c r="F74" s="109" t="s">
        <v>32</v>
      </c>
      <c r="G74" s="95" t="n">
        <v>2</v>
      </c>
      <c r="H74" s="96" t="n">
        <f aca="false">G74*IF(K74="Antes de sublimar",Supuestos!$B$63*1.125,IFERROR(VLOOKUP(F74,Supuestos!$A$29:$B$56,2,0),Supuestos!$C$17))</f>
        <v>13500</v>
      </c>
      <c r="I74" s="108" t="s">
        <v>15</v>
      </c>
      <c r="J74" s="97" t="s">
        <v>199</v>
      </c>
      <c r="K74" s="108" t="s">
        <v>114</v>
      </c>
    </row>
    <row r="75" customFormat="false" ht="18" hidden="false" customHeight="true" outlineLevel="0" collapsed="false">
      <c r="A75" s="98"/>
      <c r="B75" s="106" t="s">
        <v>315</v>
      </c>
      <c r="C75" s="100" t="s">
        <v>320</v>
      </c>
      <c r="D75" s="106" t="s">
        <v>188</v>
      </c>
      <c r="E75" s="101" t="s">
        <v>321</v>
      </c>
      <c r="F75" s="107" t="s">
        <v>31</v>
      </c>
      <c r="G75" s="103" t="n">
        <v>2</v>
      </c>
      <c r="H75" s="104" t="n">
        <f aca="false">G75*IF(K75="Antes de sublimar",Supuestos!$B$63*1.125,IFERROR(VLOOKUP(F75,Supuestos!$A$29:$B$56,2,0),Supuestos!$C$17))</f>
        <v>13500</v>
      </c>
      <c r="I75" s="106" t="s">
        <v>15</v>
      </c>
      <c r="J75" s="105" t="s">
        <v>199</v>
      </c>
      <c r="K75" s="106" t="s">
        <v>114</v>
      </c>
    </row>
    <row r="76" customFormat="false" ht="18" hidden="false" customHeight="true" outlineLevel="0" collapsed="false">
      <c r="A76" s="90"/>
      <c r="B76" s="108" t="s">
        <v>315</v>
      </c>
      <c r="C76" s="92" t="s">
        <v>322</v>
      </c>
      <c r="D76" s="108" t="s">
        <v>188</v>
      </c>
      <c r="E76" s="93" t="s">
        <v>323</v>
      </c>
      <c r="F76" s="109" t="s">
        <v>32</v>
      </c>
      <c r="G76" s="95" t="n">
        <v>2</v>
      </c>
      <c r="H76" s="96" t="n">
        <f aca="false">G76*IF(K76="Antes de sublimar",Supuestos!$B$63*1.125,IFERROR(VLOOKUP(F76,Supuestos!$A$29:$B$56,2,0),Supuestos!$C$17))</f>
        <v>13500</v>
      </c>
      <c r="I76" s="108" t="s">
        <v>15</v>
      </c>
      <c r="J76" s="97" t="s">
        <v>199</v>
      </c>
      <c r="K76" s="108" t="s">
        <v>114</v>
      </c>
    </row>
    <row r="77" customFormat="false" ht="18" hidden="false" customHeight="true" outlineLevel="0" collapsed="false">
      <c r="A77" s="98"/>
      <c r="B77" s="106" t="s">
        <v>324</v>
      </c>
      <c r="C77" s="100" t="s">
        <v>325</v>
      </c>
      <c r="D77" s="106" t="s">
        <v>188</v>
      </c>
      <c r="E77" s="101" t="s">
        <v>326</v>
      </c>
      <c r="F77" s="107" t="s">
        <v>32</v>
      </c>
      <c r="G77" s="103" t="n">
        <v>3</v>
      </c>
      <c r="H77" s="104" t="n">
        <f aca="false">G77*IF(K77="Antes de sublimar",Supuestos!$B$63*1.125,IFERROR(VLOOKUP(F77,Supuestos!$A$29:$B$56,2,0),Supuestos!$C$17))</f>
        <v>20250</v>
      </c>
      <c r="I77" s="106" t="s">
        <v>15</v>
      </c>
      <c r="J77" s="105" t="s">
        <v>199</v>
      </c>
      <c r="K77" s="106" t="s">
        <v>114</v>
      </c>
    </row>
    <row r="78" customFormat="false" ht="18" hidden="false" customHeight="true" outlineLevel="0" collapsed="false">
      <c r="A78" s="90"/>
      <c r="B78" s="108" t="s">
        <v>315</v>
      </c>
      <c r="C78" s="92" t="s">
        <v>327</v>
      </c>
      <c r="D78" s="108" t="s">
        <v>328</v>
      </c>
      <c r="E78" s="93" t="s">
        <v>329</v>
      </c>
      <c r="F78" s="109" t="s">
        <v>112</v>
      </c>
      <c r="G78" s="95" t="n">
        <v>2</v>
      </c>
      <c r="H78" s="96" t="n">
        <f aca="false">G78*IF(K78="Antes de sublimar",Supuestos!$B$63*1.125,IFERROR(VLOOKUP(F78,Supuestos!$A$29:$B$56,2,0),Supuestos!$C$17))</f>
        <v>13500</v>
      </c>
      <c r="I78" s="108" t="s">
        <v>15</v>
      </c>
      <c r="J78" s="97" t="s">
        <v>199</v>
      </c>
      <c r="K78" s="108" t="s">
        <v>114</v>
      </c>
    </row>
    <row r="79" customFormat="false" ht="18" hidden="false" customHeight="true" outlineLevel="0" collapsed="false">
      <c r="A79" s="98"/>
      <c r="B79" s="106" t="s">
        <v>315</v>
      </c>
      <c r="C79" s="100" t="s">
        <v>327</v>
      </c>
      <c r="D79" s="106" t="s">
        <v>328</v>
      </c>
      <c r="E79" s="101" t="s">
        <v>330</v>
      </c>
      <c r="F79" s="107" t="s">
        <v>204</v>
      </c>
      <c r="G79" s="103" t="n">
        <v>2</v>
      </c>
      <c r="H79" s="104" t="n">
        <f aca="false">G79*IF(K79="Antes de sublimar",Supuestos!$B$63*1.125,IFERROR(VLOOKUP(F79,Supuestos!$A$29:$B$56,2,0),Supuestos!$C$17))</f>
        <v>13500</v>
      </c>
      <c r="I79" s="106" t="s">
        <v>15</v>
      </c>
      <c r="J79" s="105" t="s">
        <v>199</v>
      </c>
      <c r="K79" s="106" t="s">
        <v>114</v>
      </c>
    </row>
    <row r="80" customFormat="false" ht="18" hidden="false" customHeight="true" outlineLevel="0" collapsed="false">
      <c r="A80" s="90"/>
      <c r="B80" s="108" t="s">
        <v>331</v>
      </c>
      <c r="C80" s="92" t="s">
        <v>292</v>
      </c>
      <c r="D80" s="108" t="s">
        <v>293</v>
      </c>
      <c r="E80" s="93" t="s">
        <v>332</v>
      </c>
      <c r="F80" s="109" t="s">
        <v>150</v>
      </c>
      <c r="G80" s="95" t="n">
        <v>2</v>
      </c>
      <c r="H80" s="96" t="n">
        <f aca="false">G80*IF(K80="Antes de sublimar",Supuestos!$B$63*1.125,IFERROR(VLOOKUP(F80,Supuestos!$A$29:$B$56,2,0),Supuestos!$C$17))</f>
        <v>13500</v>
      </c>
      <c r="I80" s="108" t="s">
        <v>15</v>
      </c>
      <c r="J80" s="97" t="s">
        <v>195</v>
      </c>
      <c r="K80" s="108" t="s">
        <v>114</v>
      </c>
    </row>
    <row r="81" customFormat="false" ht="18" hidden="false" customHeight="true" outlineLevel="0" collapsed="false">
      <c r="A81" s="98"/>
      <c r="B81" s="106" t="s">
        <v>333</v>
      </c>
      <c r="C81" s="100" t="s">
        <v>334</v>
      </c>
      <c r="D81" s="106" t="s">
        <v>335</v>
      </c>
      <c r="E81" s="101" t="s">
        <v>336</v>
      </c>
      <c r="F81" s="107" t="s">
        <v>147</v>
      </c>
      <c r="G81" s="103" t="n">
        <v>2</v>
      </c>
      <c r="H81" s="104" t="n">
        <f aca="false">G81*IF(K81="Antes de sublimar",Supuestos!$B$63*1.125,IFERROR(VLOOKUP(F81,Supuestos!$A$29:$B$56,2,0),Supuestos!$C$17))</f>
        <v>13500</v>
      </c>
      <c r="I81" s="106" t="s">
        <v>16</v>
      </c>
      <c r="J81" s="105" t="s">
        <v>195</v>
      </c>
      <c r="K81" s="106" t="s">
        <v>114</v>
      </c>
    </row>
    <row r="82" customFormat="false" ht="18" hidden="false" customHeight="true" outlineLevel="0" collapsed="false">
      <c r="A82" s="90"/>
      <c r="B82" s="108" t="s">
        <v>333</v>
      </c>
      <c r="C82" s="92" t="s">
        <v>298</v>
      </c>
      <c r="D82" s="108" t="s">
        <v>337</v>
      </c>
      <c r="E82" s="93" t="s">
        <v>338</v>
      </c>
      <c r="F82" s="109" t="s">
        <v>112</v>
      </c>
      <c r="G82" s="95" t="n">
        <v>3</v>
      </c>
      <c r="H82" s="96" t="n">
        <f aca="false">G82*IF(K82="Antes de sublimar",Supuestos!$B$63*1.125,IFERROR(VLOOKUP(F82,Supuestos!$A$29:$B$56,2,0),Supuestos!$C$17))</f>
        <v>20250</v>
      </c>
      <c r="I82" s="108" t="s">
        <v>16</v>
      </c>
      <c r="J82" s="97" t="s">
        <v>195</v>
      </c>
      <c r="K82" s="108" t="s">
        <v>114</v>
      </c>
    </row>
    <row r="83" customFormat="false" ht="18" hidden="false" customHeight="true" outlineLevel="0" collapsed="false">
      <c r="A83" s="98"/>
      <c r="B83" s="106" t="s">
        <v>333</v>
      </c>
      <c r="C83" s="100" t="s">
        <v>334</v>
      </c>
      <c r="D83" s="106" t="s">
        <v>339</v>
      </c>
      <c r="E83" s="101" t="s">
        <v>340</v>
      </c>
      <c r="F83" s="107" t="s">
        <v>112</v>
      </c>
      <c r="G83" s="103" t="n">
        <v>1</v>
      </c>
      <c r="H83" s="104" t="n">
        <f aca="false">G83*IF(K83="Antes de sublimar",Supuestos!$B$63*1.125,IFERROR(VLOOKUP(F83,Supuestos!$A$29:$B$56,2,0),Supuestos!$C$17))</f>
        <v>6750</v>
      </c>
      <c r="I83" s="106" t="s">
        <v>16</v>
      </c>
      <c r="J83" s="105" t="s">
        <v>195</v>
      </c>
      <c r="K83" s="106" t="s">
        <v>114</v>
      </c>
    </row>
    <row r="84" customFormat="false" ht="18" hidden="false" customHeight="true" outlineLevel="0" collapsed="false">
      <c r="A84" s="90"/>
      <c r="B84" s="108" t="s">
        <v>333</v>
      </c>
      <c r="C84" s="92" t="s">
        <v>334</v>
      </c>
      <c r="D84" s="108" t="s">
        <v>188</v>
      </c>
      <c r="E84" s="93" t="s">
        <v>341</v>
      </c>
      <c r="F84" s="109" t="s">
        <v>204</v>
      </c>
      <c r="G84" s="95" t="n">
        <v>2</v>
      </c>
      <c r="H84" s="96" t="n">
        <f aca="false">G84*IF(K84="Antes de sublimar",Supuestos!$B$63*1.125,IFERROR(VLOOKUP(F84,Supuestos!$A$29:$B$56,2,0),Supuestos!$C$17))</f>
        <v>13500</v>
      </c>
      <c r="I84" s="108" t="s">
        <v>16</v>
      </c>
      <c r="J84" s="97" t="s">
        <v>199</v>
      </c>
      <c r="K84" s="108" t="s">
        <v>114</v>
      </c>
    </row>
    <row r="85" customFormat="false" ht="18" hidden="false" customHeight="true" outlineLevel="0" collapsed="false">
      <c r="A85" s="98"/>
      <c r="B85" s="106" t="s">
        <v>333</v>
      </c>
      <c r="C85" s="100" t="s">
        <v>325</v>
      </c>
      <c r="D85" s="106" t="s">
        <v>188</v>
      </c>
      <c r="E85" s="101" t="s">
        <v>342</v>
      </c>
      <c r="F85" s="107" t="s">
        <v>31</v>
      </c>
      <c r="G85" s="103" t="n">
        <v>2</v>
      </c>
      <c r="H85" s="104" t="n">
        <f aca="false">G85*IF(K85="Antes de sublimar",Supuestos!$B$63*1.125,IFERROR(VLOOKUP(F85,Supuestos!$A$29:$B$56,2,0),Supuestos!$C$17))</f>
        <v>13500</v>
      </c>
      <c r="I85" s="106" t="s">
        <v>16</v>
      </c>
      <c r="J85" s="105" t="s">
        <v>212</v>
      </c>
      <c r="K85" s="106" t="s">
        <v>114</v>
      </c>
    </row>
    <row r="86" customFormat="false" ht="18" hidden="false" customHeight="true" outlineLevel="0" collapsed="false">
      <c r="A86" s="90"/>
      <c r="B86" s="108" t="s">
        <v>333</v>
      </c>
      <c r="C86" s="92" t="s">
        <v>325</v>
      </c>
      <c r="D86" s="108" t="s">
        <v>188</v>
      </c>
      <c r="E86" s="93" t="s">
        <v>343</v>
      </c>
      <c r="F86" s="109" t="s">
        <v>204</v>
      </c>
      <c r="G86" s="95" t="n">
        <v>2</v>
      </c>
      <c r="H86" s="96" t="n">
        <f aca="false">G86*IF(K86="Antes de sublimar",Supuestos!$B$63*1.125,IFERROR(VLOOKUP(F86,Supuestos!$A$29:$B$56,2,0),Supuestos!$C$17))</f>
        <v>13500</v>
      </c>
      <c r="I86" s="108" t="s">
        <v>16</v>
      </c>
      <c r="J86" s="97" t="s">
        <v>212</v>
      </c>
      <c r="K86" s="108" t="s">
        <v>114</v>
      </c>
    </row>
    <row r="87" customFormat="false" ht="18" hidden="false" customHeight="true" outlineLevel="0" collapsed="false">
      <c r="A87" s="98"/>
      <c r="B87" s="106" t="s">
        <v>333</v>
      </c>
      <c r="C87" s="100" t="s">
        <v>344</v>
      </c>
      <c r="D87" s="106" t="s">
        <v>137</v>
      </c>
      <c r="E87" s="101" t="s">
        <v>345</v>
      </c>
      <c r="F87" s="107" t="s">
        <v>204</v>
      </c>
      <c r="G87" s="103" t="n">
        <v>2</v>
      </c>
      <c r="H87" s="104" t="n">
        <f aca="false">G87*IF(K87="Antes de sublimar",Supuestos!$B$63*1.125,IFERROR(VLOOKUP(F87,Supuestos!$A$29:$B$56,2,0),Supuestos!$C$17))</f>
        <v>13500</v>
      </c>
      <c r="I87" s="106" t="s">
        <v>16</v>
      </c>
      <c r="J87" s="105" t="s">
        <v>199</v>
      </c>
      <c r="K87" s="106" t="s">
        <v>114</v>
      </c>
    </row>
    <row r="88" customFormat="false" ht="18" hidden="false" customHeight="true" outlineLevel="0" collapsed="false">
      <c r="A88" s="90"/>
      <c r="B88" s="108" t="s">
        <v>346</v>
      </c>
      <c r="C88" s="92" t="s">
        <v>347</v>
      </c>
      <c r="D88" s="108" t="s">
        <v>188</v>
      </c>
      <c r="E88" s="93" t="s">
        <v>348</v>
      </c>
      <c r="F88" s="109" t="s">
        <v>349</v>
      </c>
      <c r="G88" s="95" t="n">
        <v>1</v>
      </c>
      <c r="H88" s="96" t="n">
        <v>300000</v>
      </c>
      <c r="I88" s="108" t="s">
        <v>15</v>
      </c>
      <c r="J88" s="97" t="s">
        <v>120</v>
      </c>
      <c r="K88" s="108" t="s">
        <v>114</v>
      </c>
    </row>
    <row r="89" customFormat="false" ht="18" hidden="false" customHeight="true" outlineLevel="0" collapsed="false">
      <c r="A89" s="98"/>
      <c r="B89" s="106" t="s">
        <v>333</v>
      </c>
      <c r="C89" s="100" t="s">
        <v>325</v>
      </c>
      <c r="D89" s="106" t="s">
        <v>188</v>
      </c>
      <c r="E89" s="101" t="s">
        <v>350</v>
      </c>
      <c r="F89" s="107" t="s">
        <v>351</v>
      </c>
      <c r="G89" s="103" t="n">
        <v>2</v>
      </c>
      <c r="H89" s="104" t="n">
        <f aca="false">G89*IF(K89="Antes de sublimar",Supuestos!$B$63*1.125,IFERROR(VLOOKUP(F89,Supuestos!$A$29:$B$56,2,0),Supuestos!$C$17))</f>
        <v>13500</v>
      </c>
      <c r="I89" s="106" t="s">
        <v>16</v>
      </c>
      <c r="J89" s="105" t="s">
        <v>212</v>
      </c>
      <c r="K89" s="106" t="s">
        <v>114</v>
      </c>
    </row>
    <row r="90" customFormat="false" ht="18" hidden="false" customHeight="true" outlineLevel="0" collapsed="false">
      <c r="A90" s="90"/>
      <c r="B90" s="108" t="s">
        <v>333</v>
      </c>
      <c r="C90" s="92" t="s">
        <v>325</v>
      </c>
      <c r="D90" s="108" t="s">
        <v>188</v>
      </c>
      <c r="E90" s="93" t="s">
        <v>352</v>
      </c>
      <c r="F90" s="109" t="s">
        <v>32</v>
      </c>
      <c r="G90" s="95" t="n">
        <v>1</v>
      </c>
      <c r="H90" s="96" t="n">
        <f aca="false">G90*IF(K90="Antes de sublimar",Supuestos!$B$63*1.125,IFERROR(VLOOKUP(F90,Supuestos!$A$29:$B$56,2,0),Supuestos!$C$17))</f>
        <v>6750</v>
      </c>
      <c r="I90" s="108" t="s">
        <v>16</v>
      </c>
      <c r="J90" s="97" t="s">
        <v>212</v>
      </c>
      <c r="K90" s="108" t="s">
        <v>114</v>
      </c>
    </row>
    <row r="91" customFormat="false" ht="18" hidden="false" customHeight="true" outlineLevel="0" collapsed="false">
      <c r="A91" s="98"/>
      <c r="B91" s="106" t="s">
        <v>333</v>
      </c>
      <c r="C91" s="100" t="s">
        <v>344</v>
      </c>
      <c r="D91" s="106" t="s">
        <v>137</v>
      </c>
      <c r="E91" s="101" t="s">
        <v>353</v>
      </c>
      <c r="F91" s="107" t="s">
        <v>204</v>
      </c>
      <c r="G91" s="103" t="n">
        <v>1</v>
      </c>
      <c r="H91" s="104" t="n">
        <f aca="false">G91*IF(K91="Antes de sublimar",Supuestos!$B$63*1.125,IFERROR(VLOOKUP(F91,Supuestos!$A$29:$B$56,2,0),Supuestos!$C$17))</f>
        <v>6750</v>
      </c>
      <c r="I91" s="106" t="s">
        <v>16</v>
      </c>
      <c r="J91" s="105" t="s">
        <v>199</v>
      </c>
      <c r="K91" s="106" t="s">
        <v>114</v>
      </c>
    </row>
    <row r="92" customFormat="false" ht="18" hidden="false" customHeight="true" outlineLevel="0" collapsed="false">
      <c r="A92" s="90"/>
      <c r="B92" s="108" t="s">
        <v>346</v>
      </c>
      <c r="C92" s="92" t="s">
        <v>354</v>
      </c>
      <c r="D92" s="108" t="s">
        <v>355</v>
      </c>
      <c r="E92" s="93" t="s">
        <v>356</v>
      </c>
      <c r="F92" s="109" t="s">
        <v>150</v>
      </c>
      <c r="G92" s="95" t="n">
        <v>6</v>
      </c>
      <c r="H92" s="96" t="n">
        <f aca="false">G92*IF(K92="Antes de sublimar",Supuestos!$B$63*1.125,IFERROR(VLOOKUP(F92,Supuestos!$A$29:$B$56,2,0),Supuestos!$C$17))</f>
        <v>40500</v>
      </c>
      <c r="I92" s="108" t="s">
        <v>16</v>
      </c>
      <c r="J92" s="97" t="s">
        <v>195</v>
      </c>
      <c r="K92" s="108" t="s">
        <v>114</v>
      </c>
    </row>
    <row r="93" customFormat="false" ht="18" hidden="false" customHeight="true" outlineLevel="0" collapsed="false">
      <c r="A93" s="98"/>
      <c r="B93" s="106" t="s">
        <v>346</v>
      </c>
      <c r="C93" s="100" t="s">
        <v>357</v>
      </c>
      <c r="D93" s="106" t="s">
        <v>358</v>
      </c>
      <c r="E93" s="101" t="s">
        <v>359</v>
      </c>
      <c r="F93" s="107" t="s">
        <v>112</v>
      </c>
      <c r="G93" s="103" t="n">
        <v>1</v>
      </c>
      <c r="H93" s="104" t="n">
        <f aca="false">G93*IF(K93="Antes de sublimar",Supuestos!$B$63*1.125,IFERROR(VLOOKUP(F93,Supuestos!$A$29:$B$56,2,0),Supuestos!$C$17))</f>
        <v>6750</v>
      </c>
      <c r="I93" s="106" t="s">
        <v>16</v>
      </c>
      <c r="J93" s="105" t="s">
        <v>195</v>
      </c>
      <c r="K93" s="106" t="s">
        <v>114</v>
      </c>
    </row>
    <row r="94" customFormat="false" ht="18" hidden="false" customHeight="true" outlineLevel="0" collapsed="false">
      <c r="A94" s="90"/>
      <c r="B94" s="108" t="s">
        <v>346</v>
      </c>
      <c r="C94" s="92" t="s">
        <v>360</v>
      </c>
      <c r="D94" s="108" t="s">
        <v>361</v>
      </c>
      <c r="E94" s="93" t="s">
        <v>362</v>
      </c>
      <c r="F94" s="109" t="s">
        <v>172</v>
      </c>
      <c r="G94" s="95" t="n">
        <v>3</v>
      </c>
      <c r="H94" s="96" t="n">
        <f aca="false">G94*IF(K94="Antes de sublimar",Supuestos!$B$63*1.125,IFERROR(VLOOKUP(F94,Supuestos!$A$29:$B$56,2,0),Supuestos!$C$17))</f>
        <v>20250</v>
      </c>
      <c r="I94" s="108" t="s">
        <v>16</v>
      </c>
      <c r="J94" s="97" t="s">
        <v>212</v>
      </c>
      <c r="K94" s="108" t="s">
        <v>114</v>
      </c>
    </row>
    <row r="95" customFormat="false" ht="18" hidden="false" customHeight="true" outlineLevel="0" collapsed="false">
      <c r="A95" s="98"/>
      <c r="B95" s="106" t="s">
        <v>346</v>
      </c>
      <c r="C95" s="100" t="s">
        <v>363</v>
      </c>
      <c r="D95" s="106" t="s">
        <v>364</v>
      </c>
      <c r="E95" s="101" t="s">
        <v>365</v>
      </c>
      <c r="F95" s="107" t="s">
        <v>147</v>
      </c>
      <c r="G95" s="103" t="n">
        <v>4</v>
      </c>
      <c r="H95" s="104" t="n">
        <f aca="false">G95*IF(K95="Antes de sublimar",Supuestos!$B$63*1.125,IFERROR(VLOOKUP(F95,Supuestos!$A$29:$B$56,2,0),Supuestos!$C$17))</f>
        <v>27000</v>
      </c>
      <c r="I95" s="106" t="s">
        <v>16</v>
      </c>
      <c r="J95" s="105" t="s">
        <v>212</v>
      </c>
      <c r="K95" s="106" t="s">
        <v>114</v>
      </c>
    </row>
    <row r="96" customFormat="false" ht="18" hidden="false" customHeight="true" outlineLevel="0" collapsed="false">
      <c r="A96" s="90"/>
      <c r="B96" s="108" t="s">
        <v>346</v>
      </c>
      <c r="C96" s="92" t="s">
        <v>366</v>
      </c>
      <c r="D96" s="108" t="s">
        <v>367</v>
      </c>
      <c r="E96" s="93" t="s">
        <v>368</v>
      </c>
      <c r="F96" s="109" t="s">
        <v>31</v>
      </c>
      <c r="G96" s="95" t="n">
        <v>2</v>
      </c>
      <c r="H96" s="96" t="n">
        <f aca="false">G96*IF(K96="Antes de sublimar",Supuestos!$B$63*1.125,IFERROR(VLOOKUP(F96,Supuestos!$A$29:$B$56,2,0),Supuestos!$C$17))</f>
        <v>5400</v>
      </c>
      <c r="I96" s="108" t="s">
        <v>16</v>
      </c>
      <c r="J96" s="97" t="s">
        <v>212</v>
      </c>
      <c r="K96" s="108" t="s">
        <v>126</v>
      </c>
    </row>
    <row r="97" customFormat="false" ht="18" hidden="false" customHeight="true" outlineLevel="0" collapsed="false">
      <c r="A97" s="98"/>
      <c r="B97" s="106" t="s">
        <v>346</v>
      </c>
      <c r="C97" s="100" t="s">
        <v>369</v>
      </c>
      <c r="D97" s="106" t="s">
        <v>370</v>
      </c>
      <c r="E97" s="101" t="s">
        <v>371</v>
      </c>
      <c r="F97" s="107" t="s">
        <v>181</v>
      </c>
      <c r="G97" s="103" t="n">
        <v>2</v>
      </c>
      <c r="H97" s="104" t="n">
        <f aca="false">G97*IF(K97="Antes de sublimar",Supuestos!$B$63*1.125,IFERROR(VLOOKUP(F97,Supuestos!$A$29:$B$56,2,0),Supuestos!$C$17))</f>
        <v>13500</v>
      </c>
      <c r="I97" s="106" t="s">
        <v>16</v>
      </c>
      <c r="J97" s="105" t="s">
        <v>212</v>
      </c>
      <c r="K97" s="106" t="s">
        <v>114</v>
      </c>
    </row>
    <row r="98" customFormat="false" ht="18" hidden="false" customHeight="true" outlineLevel="0" collapsed="false">
      <c r="A98" s="90"/>
      <c r="B98" s="108" t="s">
        <v>346</v>
      </c>
      <c r="C98" s="92" t="s">
        <v>372</v>
      </c>
      <c r="D98" s="108" t="s">
        <v>370</v>
      </c>
      <c r="E98" s="93" t="s">
        <v>373</v>
      </c>
      <c r="F98" s="109" t="s">
        <v>147</v>
      </c>
      <c r="G98" s="95" t="n">
        <v>2</v>
      </c>
      <c r="H98" s="96" t="n">
        <f aca="false">G98*IF(K98="Antes de sublimar",Supuestos!$B$63*1.125,IFERROR(VLOOKUP(F98,Supuestos!$A$29:$B$56,2,0),Supuestos!$C$17))</f>
        <v>13500</v>
      </c>
      <c r="I98" s="108" t="s">
        <v>16</v>
      </c>
      <c r="J98" s="97" t="s">
        <v>212</v>
      </c>
      <c r="K98" s="108" t="s">
        <v>114</v>
      </c>
    </row>
    <row r="99" customFormat="false" ht="18" hidden="false" customHeight="true" outlineLevel="0" collapsed="false">
      <c r="A99" s="98"/>
      <c r="B99" s="106" t="s">
        <v>346</v>
      </c>
      <c r="C99" s="100" t="s">
        <v>374</v>
      </c>
      <c r="D99" s="106" t="s">
        <v>375</v>
      </c>
      <c r="E99" s="101" t="s">
        <v>376</v>
      </c>
      <c r="F99" s="107" t="s">
        <v>32</v>
      </c>
      <c r="G99" s="103" t="n">
        <v>6</v>
      </c>
      <c r="H99" s="104" t="n">
        <f aca="false">G99*IF(K99="Antes de sublimar",Supuestos!$B$63*1.125,IFERROR(VLOOKUP(F99,Supuestos!$A$29:$B$56,2,0),Supuestos!$C$17))</f>
        <v>40500</v>
      </c>
      <c r="I99" s="106" t="s">
        <v>16</v>
      </c>
      <c r="J99" s="105" t="s">
        <v>212</v>
      </c>
      <c r="K99" s="106" t="s">
        <v>114</v>
      </c>
    </row>
    <row r="100" customFormat="false" ht="18" hidden="false" customHeight="true" outlineLevel="0" collapsed="false">
      <c r="A100" s="90"/>
      <c r="B100" s="108" t="s">
        <v>346</v>
      </c>
      <c r="C100" s="92" t="s">
        <v>377</v>
      </c>
      <c r="D100" s="108" t="s">
        <v>378</v>
      </c>
      <c r="E100" s="93" t="s">
        <v>379</v>
      </c>
      <c r="F100" s="109" t="s">
        <v>112</v>
      </c>
      <c r="G100" s="95" t="n">
        <v>11</v>
      </c>
      <c r="H100" s="96" t="n">
        <f aca="false">G100*IF(K100="Antes de sublimar",Supuestos!$B$63*1.125,IFERROR(VLOOKUP(F100,Supuestos!$A$29:$B$56,2,0),Supuestos!$C$17))</f>
        <v>74250</v>
      </c>
      <c r="I100" s="108" t="s">
        <v>16</v>
      </c>
      <c r="J100" s="97" t="s">
        <v>199</v>
      </c>
      <c r="K100" s="108" t="s">
        <v>114</v>
      </c>
    </row>
    <row r="101" customFormat="false" ht="18" hidden="false" customHeight="true" outlineLevel="0" collapsed="false">
      <c r="A101" s="98"/>
      <c r="B101" s="106" t="s">
        <v>380</v>
      </c>
      <c r="C101" s="100" t="s">
        <v>381</v>
      </c>
      <c r="D101" s="106" t="s">
        <v>382</v>
      </c>
      <c r="E101" s="101" t="s">
        <v>383</v>
      </c>
      <c r="F101" s="107" t="s">
        <v>150</v>
      </c>
      <c r="G101" s="103" t="n">
        <v>1</v>
      </c>
      <c r="H101" s="104" t="n">
        <f aca="false">G101*IF(K101="Antes de sublimar",Supuestos!$B$63*1.125,IFERROR(VLOOKUP(F101,Supuestos!$A$29:$B$56,2,0),Supuestos!$C$17))</f>
        <v>6750</v>
      </c>
      <c r="I101" s="106" t="s">
        <v>16</v>
      </c>
      <c r="J101" s="105" t="s">
        <v>195</v>
      </c>
      <c r="K101" s="106" t="s">
        <v>114</v>
      </c>
    </row>
    <row r="102" customFormat="false" ht="18" hidden="false" customHeight="true" outlineLevel="0" collapsed="false">
      <c r="A102" s="90"/>
      <c r="B102" s="108" t="s">
        <v>380</v>
      </c>
      <c r="C102" s="92" t="s">
        <v>384</v>
      </c>
      <c r="D102" s="108" t="s">
        <v>382</v>
      </c>
      <c r="E102" s="93" t="s">
        <v>385</v>
      </c>
      <c r="F102" s="109" t="s">
        <v>204</v>
      </c>
      <c r="G102" s="95" t="n">
        <v>1</v>
      </c>
      <c r="H102" s="96" t="n">
        <f aca="false">G102*IF(K102="Antes de sublimar",Supuestos!$B$63*1.125,IFERROR(VLOOKUP(F102,Supuestos!$A$29:$B$56,2,0),Supuestos!$C$17))</f>
        <v>6750</v>
      </c>
      <c r="I102" s="108" t="s">
        <v>16</v>
      </c>
      <c r="J102" s="97" t="s">
        <v>199</v>
      </c>
      <c r="K102" s="108" t="s">
        <v>114</v>
      </c>
    </row>
    <row r="103" customFormat="false" ht="18" hidden="false" customHeight="true" outlineLevel="0" collapsed="false">
      <c r="A103" s="98"/>
      <c r="B103" s="106" t="s">
        <v>380</v>
      </c>
      <c r="C103" s="100" t="s">
        <v>386</v>
      </c>
      <c r="D103" s="106" t="s">
        <v>387</v>
      </c>
      <c r="E103" s="101" t="s">
        <v>388</v>
      </c>
      <c r="F103" s="107" t="s">
        <v>150</v>
      </c>
      <c r="G103" s="103" t="n">
        <v>1</v>
      </c>
      <c r="H103" s="104" t="n">
        <f aca="false">G103*IF(K103="Antes de sublimar",Supuestos!$B$63*1.125,IFERROR(VLOOKUP(F103,Supuestos!$A$29:$B$56,2,0),Supuestos!$C$17))</f>
        <v>6750</v>
      </c>
      <c r="I103" s="106" t="s">
        <v>16</v>
      </c>
      <c r="J103" s="105" t="s">
        <v>195</v>
      </c>
      <c r="K103" s="106" t="s">
        <v>114</v>
      </c>
    </row>
    <row r="104" customFormat="false" ht="18" hidden="false" customHeight="true" outlineLevel="0" collapsed="false">
      <c r="A104" s="90"/>
      <c r="B104" s="108" t="s">
        <v>380</v>
      </c>
      <c r="C104" s="92" t="s">
        <v>389</v>
      </c>
      <c r="D104" s="108" t="s">
        <v>390</v>
      </c>
      <c r="E104" s="93" t="s">
        <v>391</v>
      </c>
      <c r="F104" s="109" t="s">
        <v>32</v>
      </c>
      <c r="G104" s="95" t="n">
        <v>1</v>
      </c>
      <c r="H104" s="96" t="n">
        <f aca="false">G104*IF(K104="Antes de sublimar",Supuestos!$B$63*1.125,IFERROR(VLOOKUP(F104,Supuestos!$A$29:$B$56,2,0),Supuestos!$C$17))</f>
        <v>6750</v>
      </c>
      <c r="I104" s="108" t="s">
        <v>16</v>
      </c>
      <c r="J104" s="97" t="s">
        <v>199</v>
      </c>
      <c r="K104" s="108" t="s">
        <v>114</v>
      </c>
    </row>
    <row r="105" customFormat="false" ht="18" hidden="false" customHeight="true" outlineLevel="0" collapsed="false">
      <c r="A105" s="98"/>
      <c r="B105" s="106" t="s">
        <v>380</v>
      </c>
      <c r="C105" s="100" t="s">
        <v>392</v>
      </c>
      <c r="D105" s="106" t="s">
        <v>393</v>
      </c>
      <c r="E105" s="101" t="s">
        <v>394</v>
      </c>
      <c r="F105" s="107" t="s">
        <v>31</v>
      </c>
      <c r="G105" s="103" t="n">
        <v>26</v>
      </c>
      <c r="H105" s="104" t="n">
        <f aca="false">G105*IF(K105="Antes de sublimar",Supuestos!$B$63*1.125,IFERROR(VLOOKUP(F105,Supuestos!$A$29:$B$56,2,0),Supuestos!$C$17))</f>
        <v>175500</v>
      </c>
      <c r="I105" s="106" t="s">
        <v>16</v>
      </c>
      <c r="J105" s="105" t="s">
        <v>212</v>
      </c>
      <c r="K105" s="106" t="s">
        <v>114</v>
      </c>
    </row>
    <row r="106" customFormat="false" ht="18" hidden="false" customHeight="true" outlineLevel="0" collapsed="false">
      <c r="A106" s="90"/>
      <c r="B106" s="108" t="s">
        <v>395</v>
      </c>
      <c r="C106" s="92" t="s">
        <v>396</v>
      </c>
      <c r="D106" s="108" t="s">
        <v>370</v>
      </c>
      <c r="E106" s="93" t="s">
        <v>397</v>
      </c>
      <c r="F106" s="109" t="s">
        <v>147</v>
      </c>
      <c r="G106" s="95" t="n">
        <v>1</v>
      </c>
      <c r="H106" s="96" t="n">
        <f aca="false">G106*IF(K106="Antes de sublimar",Supuestos!$B$63*1.125,IFERROR(VLOOKUP(F106,Supuestos!$A$29:$B$56,2,0),Supuestos!$C$17))</f>
        <v>6750</v>
      </c>
      <c r="I106" s="108" t="s">
        <v>16</v>
      </c>
      <c r="J106" s="97" t="s">
        <v>195</v>
      </c>
      <c r="K106" s="108" t="s">
        <v>114</v>
      </c>
    </row>
    <row r="107" customFormat="false" ht="18" hidden="false" customHeight="true" outlineLevel="0" collapsed="false">
      <c r="A107" s="98"/>
      <c r="B107" s="106" t="s">
        <v>395</v>
      </c>
      <c r="C107" s="100" t="s">
        <v>398</v>
      </c>
      <c r="D107" s="106" t="s">
        <v>370</v>
      </c>
      <c r="E107" s="101" t="s">
        <v>399</v>
      </c>
      <c r="F107" s="107" t="s">
        <v>147</v>
      </c>
      <c r="G107" s="103" t="n">
        <v>4</v>
      </c>
      <c r="H107" s="104" t="n">
        <f aca="false">G107*IF(K107="Antes de sublimar",Supuestos!$B$63*1.125,IFERROR(VLOOKUP(F107,Supuestos!$A$29:$B$56,2,0),Supuestos!$C$17))</f>
        <v>27000</v>
      </c>
      <c r="I107" s="106" t="s">
        <v>16</v>
      </c>
      <c r="J107" s="105" t="s">
        <v>212</v>
      </c>
      <c r="K107" s="106" t="s">
        <v>114</v>
      </c>
    </row>
    <row r="108" customFormat="false" ht="18" hidden="false" customHeight="true" outlineLevel="0" collapsed="false">
      <c r="A108" s="90"/>
      <c r="B108" s="108" t="s">
        <v>395</v>
      </c>
      <c r="C108" s="92" t="s">
        <v>400</v>
      </c>
      <c r="D108" s="108" t="s">
        <v>401</v>
      </c>
      <c r="E108" s="93" t="s">
        <v>402</v>
      </c>
      <c r="F108" s="109" t="s">
        <v>181</v>
      </c>
      <c r="G108" s="95" t="n">
        <v>1</v>
      </c>
      <c r="H108" s="96" t="n">
        <f aca="false">G108*IF(K108="Antes de sublimar",Supuestos!$B$63*1.125,IFERROR(VLOOKUP(F108,Supuestos!$A$29:$B$56,2,0),Supuestos!$C$17))</f>
        <v>6750</v>
      </c>
      <c r="I108" s="108" t="s">
        <v>16</v>
      </c>
      <c r="J108" s="97" t="s">
        <v>195</v>
      </c>
      <c r="K108" s="108" t="s">
        <v>114</v>
      </c>
    </row>
    <row r="109" customFormat="false" ht="18" hidden="false" customHeight="true" outlineLevel="0" collapsed="false">
      <c r="A109" s="98"/>
      <c r="B109" s="106" t="s">
        <v>403</v>
      </c>
      <c r="C109" s="100" t="s">
        <v>404</v>
      </c>
      <c r="D109" s="106" t="s">
        <v>405</v>
      </c>
      <c r="E109" s="101" t="s">
        <v>406</v>
      </c>
      <c r="F109" s="107" t="s">
        <v>172</v>
      </c>
      <c r="G109" s="103" t="n">
        <v>3</v>
      </c>
      <c r="H109" s="104" t="n">
        <f aca="false">G109*IF(K109="Antes de sublimar",Supuestos!$B$63*1.125,IFERROR(VLOOKUP(F109,Supuestos!$A$29:$B$56,2,0),Supuestos!$C$17))</f>
        <v>20250</v>
      </c>
      <c r="I109" s="106" t="s">
        <v>16</v>
      </c>
      <c r="J109" s="105" t="s">
        <v>195</v>
      </c>
      <c r="K109" s="106" t="s">
        <v>114</v>
      </c>
    </row>
    <row r="110" customFormat="false" ht="18" hidden="false" customHeight="true" outlineLevel="0" collapsed="false">
      <c r="A110" s="90"/>
      <c r="B110" s="108" t="s">
        <v>403</v>
      </c>
      <c r="C110" s="92" t="s">
        <v>374</v>
      </c>
      <c r="D110" s="108" t="s">
        <v>375</v>
      </c>
      <c r="E110" s="93" t="s">
        <v>407</v>
      </c>
      <c r="F110" s="109" t="s">
        <v>172</v>
      </c>
      <c r="G110" s="95" t="n">
        <v>1</v>
      </c>
      <c r="H110" s="96" t="n">
        <f aca="false">G110*IF(K110="Antes de sublimar",Supuestos!$B$63*1.125,IFERROR(VLOOKUP(F110,Supuestos!$A$29:$B$56,2,0),Supuestos!$C$17))</f>
        <v>6750</v>
      </c>
      <c r="I110" s="108" t="s">
        <v>16</v>
      </c>
      <c r="J110" s="97" t="s">
        <v>195</v>
      </c>
      <c r="K110" s="108" t="s">
        <v>114</v>
      </c>
    </row>
    <row r="111" customFormat="false" ht="18" hidden="false" customHeight="true" outlineLevel="0" collapsed="false">
      <c r="A111" s="98"/>
      <c r="B111" s="106" t="s">
        <v>403</v>
      </c>
      <c r="C111" s="100" t="s">
        <v>408</v>
      </c>
      <c r="D111" s="106" t="s">
        <v>393</v>
      </c>
      <c r="E111" s="101" t="s">
        <v>409</v>
      </c>
      <c r="F111" s="107" t="s">
        <v>32</v>
      </c>
      <c r="G111" s="103" t="n">
        <v>1</v>
      </c>
      <c r="H111" s="104" t="n">
        <f aca="false">G111*IF(K111="Antes de sublimar",Supuestos!$B$63*1.125,IFERROR(VLOOKUP(F111,Supuestos!$A$29:$B$56,2,0),Supuestos!$C$17))</f>
        <v>6750</v>
      </c>
      <c r="I111" s="106" t="s">
        <v>16</v>
      </c>
      <c r="J111" s="105" t="s">
        <v>195</v>
      </c>
      <c r="K111" s="106" t="s">
        <v>114</v>
      </c>
    </row>
    <row r="112" customFormat="false" ht="18" hidden="false" customHeight="true" outlineLevel="0" collapsed="false">
      <c r="A112" s="90"/>
      <c r="B112" s="108" t="s">
        <v>403</v>
      </c>
      <c r="C112" s="92" t="s">
        <v>410</v>
      </c>
      <c r="D112" s="108" t="s">
        <v>188</v>
      </c>
      <c r="E112" s="93" t="s">
        <v>411</v>
      </c>
      <c r="F112" s="109" t="s">
        <v>124</v>
      </c>
      <c r="G112" s="95" t="n">
        <v>8</v>
      </c>
      <c r="H112" s="96" t="n">
        <f aca="false">G112*IF(K112="Antes de sublimar",Supuestos!$B$63*1.125,IFERROR(VLOOKUP(F112,Supuestos!$A$29:$B$56,2,0),Supuestos!$C$17))</f>
        <v>21600</v>
      </c>
      <c r="I112" s="108" t="s">
        <v>16</v>
      </c>
      <c r="J112" s="97" t="s">
        <v>199</v>
      </c>
      <c r="K112" s="108" t="s">
        <v>126</v>
      </c>
    </row>
    <row r="113" customFormat="false" ht="18" hidden="false" customHeight="true" outlineLevel="0" collapsed="false">
      <c r="A113" s="98"/>
      <c r="B113" s="106" t="s">
        <v>403</v>
      </c>
      <c r="C113" s="100" t="s">
        <v>410</v>
      </c>
      <c r="D113" s="106" t="s">
        <v>188</v>
      </c>
      <c r="E113" s="101" t="s">
        <v>412</v>
      </c>
      <c r="F113" s="107" t="s">
        <v>32</v>
      </c>
      <c r="G113" s="103" t="n">
        <v>6</v>
      </c>
      <c r="H113" s="104" t="n">
        <f aca="false">G113*IF(K113="Antes de sublimar",Supuestos!$B$63*1.125,IFERROR(VLOOKUP(F113,Supuestos!$A$29:$B$56,2,0),Supuestos!$C$17))</f>
        <v>40500</v>
      </c>
      <c r="I113" s="106" t="s">
        <v>16</v>
      </c>
      <c r="J113" s="105" t="s">
        <v>199</v>
      </c>
      <c r="K113" s="106" t="s">
        <v>114</v>
      </c>
    </row>
    <row r="114" customFormat="false" ht="18" hidden="false" customHeight="true" outlineLevel="0" collapsed="false">
      <c r="A114" s="90"/>
      <c r="B114" s="108" t="s">
        <v>380</v>
      </c>
      <c r="C114" s="92" t="s">
        <v>392</v>
      </c>
      <c r="D114" s="108" t="s">
        <v>393</v>
      </c>
      <c r="E114" s="93" t="s">
        <v>413</v>
      </c>
      <c r="F114" s="109" t="s">
        <v>31</v>
      </c>
      <c r="G114" s="95" t="n">
        <v>10</v>
      </c>
      <c r="H114" s="96" t="n">
        <f aca="false">G114*IF(K114="Antes de sublimar",Supuestos!$B$63*1.125,IFERROR(VLOOKUP(F114,Supuestos!$A$29:$B$56,2,0),Supuestos!$C$17))</f>
        <v>67500</v>
      </c>
      <c r="I114" s="108" t="s">
        <v>16</v>
      </c>
      <c r="J114" s="97" t="s">
        <v>212</v>
      </c>
      <c r="K114" s="108" t="s">
        <v>114</v>
      </c>
    </row>
    <row r="115" customFormat="false" ht="18" hidden="false" customHeight="true" outlineLevel="0" collapsed="false">
      <c r="A115" s="98"/>
      <c r="B115" s="106" t="s">
        <v>414</v>
      </c>
      <c r="C115" s="100" t="s">
        <v>377</v>
      </c>
      <c r="D115" s="106" t="s">
        <v>378</v>
      </c>
      <c r="E115" s="101" t="s">
        <v>415</v>
      </c>
      <c r="F115" s="107" t="s">
        <v>31</v>
      </c>
      <c r="G115" s="103" t="n">
        <v>42</v>
      </c>
      <c r="H115" s="104" t="n">
        <f aca="false">G115*IF(K115="Antes de sublimar",Supuestos!$B$63*1.125,IFERROR(VLOOKUP(F115,Supuestos!$A$29:$B$56,2,0),Supuestos!$C$17))</f>
        <v>283500</v>
      </c>
      <c r="I115" s="106" t="s">
        <v>16</v>
      </c>
      <c r="J115" s="105" t="s">
        <v>212</v>
      </c>
      <c r="K115" s="106" t="s">
        <v>114</v>
      </c>
    </row>
    <row r="116" customFormat="false" ht="18" hidden="false" customHeight="true" outlineLevel="0" collapsed="false">
      <c r="A116" s="90"/>
      <c r="B116" s="108" t="s">
        <v>403</v>
      </c>
      <c r="C116" s="92" t="s">
        <v>416</v>
      </c>
      <c r="D116" s="108" t="s">
        <v>417</v>
      </c>
      <c r="E116" s="93" t="s">
        <v>418</v>
      </c>
      <c r="F116" s="109" t="s">
        <v>112</v>
      </c>
      <c r="G116" s="95" t="n">
        <v>16</v>
      </c>
      <c r="H116" s="96" t="n">
        <f aca="false">G116*IF(K116="Antes de sublimar",Supuestos!$B$63*1.125,IFERROR(VLOOKUP(F116,Supuestos!$A$29:$B$56,2,0),Supuestos!$C$17))</f>
        <v>108000</v>
      </c>
      <c r="I116" s="108" t="s">
        <v>16</v>
      </c>
      <c r="J116" s="97" t="s">
        <v>212</v>
      </c>
      <c r="K116" s="108" t="s">
        <v>114</v>
      </c>
    </row>
    <row r="117" customFormat="false" ht="18" hidden="false" customHeight="true" outlineLevel="0" collapsed="false">
      <c r="A117" s="98"/>
      <c r="B117" s="106" t="s">
        <v>414</v>
      </c>
      <c r="C117" s="100" t="s">
        <v>408</v>
      </c>
      <c r="D117" s="106" t="s">
        <v>393</v>
      </c>
      <c r="E117" s="101" t="s">
        <v>419</v>
      </c>
      <c r="F117" s="107" t="s">
        <v>31</v>
      </c>
      <c r="G117" s="103" t="n">
        <v>40</v>
      </c>
      <c r="H117" s="104" t="n">
        <f aca="false">G117*IF(K117="Antes de sublimar",Supuestos!$B$63*1.125,IFERROR(VLOOKUP(F117,Supuestos!$A$29:$B$56,2,0),Supuestos!$C$17))</f>
        <v>108000</v>
      </c>
      <c r="I117" s="106" t="s">
        <v>16</v>
      </c>
      <c r="J117" s="105" t="s">
        <v>195</v>
      </c>
      <c r="K117" s="106" t="s">
        <v>126</v>
      </c>
    </row>
    <row r="118" customFormat="false" ht="18" hidden="false" customHeight="true" outlineLevel="0" collapsed="false">
      <c r="A118" s="90"/>
      <c r="B118" s="108" t="s">
        <v>414</v>
      </c>
      <c r="C118" s="92" t="s">
        <v>420</v>
      </c>
      <c r="D118" s="108" t="s">
        <v>188</v>
      </c>
      <c r="E118" s="93" t="s">
        <v>421</v>
      </c>
      <c r="F118" s="109" t="s">
        <v>32</v>
      </c>
      <c r="G118" s="95" t="n">
        <v>2</v>
      </c>
      <c r="H118" s="96" t="n">
        <f aca="false">G118*IF(K118="Antes de sublimar",Supuestos!$B$63*1.125,IFERROR(VLOOKUP(F118,Supuestos!$A$29:$B$56,2,0),Supuestos!$C$17))</f>
        <v>13500</v>
      </c>
      <c r="I118" s="108" t="s">
        <v>16</v>
      </c>
      <c r="J118" s="97" t="s">
        <v>199</v>
      </c>
      <c r="K118" s="108" t="s">
        <v>114</v>
      </c>
    </row>
    <row r="119" customFormat="false" ht="18" hidden="false" customHeight="true" outlineLevel="0" collapsed="false">
      <c r="A119" s="98"/>
      <c r="B119" s="106" t="s">
        <v>414</v>
      </c>
      <c r="C119" s="100" t="s">
        <v>422</v>
      </c>
      <c r="D119" s="106" t="s">
        <v>188</v>
      </c>
      <c r="E119" s="101" t="s">
        <v>423</v>
      </c>
      <c r="F119" s="107" t="s">
        <v>32</v>
      </c>
      <c r="G119" s="103" t="n">
        <v>6</v>
      </c>
      <c r="H119" s="104" t="n">
        <f aca="false">G119*IF(K119="Antes de sublimar",Supuestos!$B$63*1.125,IFERROR(VLOOKUP(F119,Supuestos!$A$29:$B$56,2,0),Supuestos!$C$17))</f>
        <v>40500</v>
      </c>
      <c r="I119" s="106" t="s">
        <v>16</v>
      </c>
      <c r="J119" s="105" t="s">
        <v>199</v>
      </c>
      <c r="K119" s="106" t="s">
        <v>114</v>
      </c>
    </row>
    <row r="120" customFormat="false" ht="18" hidden="false" customHeight="true" outlineLevel="0" collapsed="false">
      <c r="A120" s="90"/>
      <c r="B120" s="108" t="s">
        <v>424</v>
      </c>
      <c r="C120" s="92" t="s">
        <v>425</v>
      </c>
      <c r="D120" s="108" t="s">
        <v>426</v>
      </c>
      <c r="E120" s="93" t="s">
        <v>427</v>
      </c>
      <c r="F120" s="109" t="s">
        <v>172</v>
      </c>
      <c r="G120" s="95" t="n">
        <v>1</v>
      </c>
      <c r="H120" s="96" t="n">
        <f aca="false">G120*IF(K120="Antes de sublimar",Supuestos!$B$63*1.125,IFERROR(VLOOKUP(F120,Supuestos!$A$29:$B$56,2,0),Supuestos!$C$17))</f>
        <v>6750</v>
      </c>
      <c r="I120" s="108" t="s">
        <v>16</v>
      </c>
      <c r="J120" s="97" t="s">
        <v>195</v>
      </c>
      <c r="K120" s="108" t="s">
        <v>114</v>
      </c>
    </row>
    <row r="121" customFormat="false" ht="18" hidden="false" customHeight="true" outlineLevel="0" collapsed="false">
      <c r="A121" s="98"/>
      <c r="B121" s="106" t="s">
        <v>428</v>
      </c>
      <c r="C121" s="100" t="s">
        <v>429</v>
      </c>
      <c r="D121" s="106" t="s">
        <v>430</v>
      </c>
      <c r="E121" s="101" t="s">
        <v>431</v>
      </c>
      <c r="F121" s="107" t="s">
        <v>204</v>
      </c>
      <c r="G121" s="103" t="n">
        <v>1</v>
      </c>
      <c r="H121" s="104" t="n">
        <f aca="false">G121*IF(K121="Antes de sublimar",Supuestos!$B$63*1.125,IFERROR(VLOOKUP(F121,Supuestos!$A$29:$B$56,2,0),Supuestos!$C$17))</f>
        <v>6750</v>
      </c>
      <c r="I121" s="106" t="s">
        <v>16</v>
      </c>
      <c r="J121" s="105" t="s">
        <v>199</v>
      </c>
      <c r="K121" s="106" t="s">
        <v>114</v>
      </c>
    </row>
    <row r="122" customFormat="false" ht="18" hidden="false" customHeight="true" outlineLevel="0" collapsed="false">
      <c r="A122" s="90"/>
      <c r="B122" s="108" t="s">
        <v>428</v>
      </c>
      <c r="C122" s="92" t="s">
        <v>432</v>
      </c>
      <c r="D122" s="108" t="s">
        <v>433</v>
      </c>
      <c r="E122" s="93" t="s">
        <v>434</v>
      </c>
      <c r="F122" s="109" t="s">
        <v>204</v>
      </c>
      <c r="G122" s="95" t="n">
        <v>16</v>
      </c>
      <c r="H122" s="96" t="n">
        <f aca="false">G122*IF(K122="Antes de sublimar",Supuestos!$B$63*1.125,IFERROR(VLOOKUP(F122,Supuestos!$A$29:$B$56,2,0),Supuestos!$C$17))</f>
        <v>108000</v>
      </c>
      <c r="I122" s="108" t="s">
        <v>16</v>
      </c>
      <c r="J122" s="97" t="s">
        <v>212</v>
      </c>
      <c r="K122" s="108" t="s">
        <v>114</v>
      </c>
    </row>
    <row r="123" customFormat="false" ht="18" hidden="false" customHeight="true" outlineLevel="0" collapsed="false">
      <c r="A123" s="98"/>
      <c r="B123" s="106" t="s">
        <v>435</v>
      </c>
      <c r="C123" s="100" t="s">
        <v>436</v>
      </c>
      <c r="D123" s="106" t="s">
        <v>188</v>
      </c>
      <c r="E123" s="101" t="s">
        <v>437</v>
      </c>
      <c r="F123" s="107" t="s">
        <v>32</v>
      </c>
      <c r="G123" s="103" t="n">
        <v>1</v>
      </c>
      <c r="H123" s="104" t="n">
        <f aca="false">G123*IF(K123="Antes de sublimar",Supuestos!$B$63*1.125,IFERROR(VLOOKUP(F123,Supuestos!$A$29:$B$56,2,0),Supuestos!$C$17))</f>
        <v>6750</v>
      </c>
      <c r="I123" s="106" t="s">
        <v>16</v>
      </c>
      <c r="J123" s="105" t="s">
        <v>199</v>
      </c>
      <c r="K123" s="106" t="s">
        <v>114</v>
      </c>
    </row>
    <row r="124" customFormat="false" ht="18" hidden="false" customHeight="true" outlineLevel="0" collapsed="false">
      <c r="A124" s="90"/>
      <c r="B124" s="108" t="s">
        <v>438</v>
      </c>
      <c r="C124" s="92" t="s">
        <v>439</v>
      </c>
      <c r="D124" s="108" t="s">
        <v>440</v>
      </c>
      <c r="E124" s="93" t="s">
        <v>441</v>
      </c>
      <c r="F124" s="109" t="s">
        <v>31</v>
      </c>
      <c r="G124" s="95" t="n">
        <v>1</v>
      </c>
      <c r="H124" s="96" t="n">
        <f aca="false">G124*IF(K124="Antes de sublimar",Supuestos!$B$63*1.125,IFERROR(VLOOKUP(F124,Supuestos!$A$29:$B$56,2,0),Supuestos!$C$17))</f>
        <v>2700</v>
      </c>
      <c r="I124" s="108" t="s">
        <v>16</v>
      </c>
      <c r="J124" s="97" t="s">
        <v>195</v>
      </c>
      <c r="K124" s="108" t="s">
        <v>126</v>
      </c>
    </row>
    <row r="125" customFormat="false" ht="18" hidden="false" customHeight="true" outlineLevel="0" collapsed="false">
      <c r="A125" s="98"/>
      <c r="B125" s="106" t="s">
        <v>442</v>
      </c>
      <c r="C125" s="100" t="s">
        <v>439</v>
      </c>
      <c r="D125" s="106" t="s">
        <v>440</v>
      </c>
      <c r="E125" s="101" t="s">
        <v>443</v>
      </c>
      <c r="F125" s="107" t="s">
        <v>32</v>
      </c>
      <c r="G125" s="103" t="n">
        <v>1</v>
      </c>
      <c r="H125" s="104" t="n">
        <f aca="false">G125*IF(K125="Antes de sublimar",Supuestos!$B$63*1.125,IFERROR(VLOOKUP(F125,Supuestos!$A$29:$B$56,2,0),Supuestos!$C$17))</f>
        <v>6750</v>
      </c>
      <c r="I125" s="106" t="s">
        <v>16</v>
      </c>
      <c r="J125" s="105" t="s">
        <v>195</v>
      </c>
      <c r="K125" s="106" t="s">
        <v>114</v>
      </c>
    </row>
    <row r="126" customFormat="false" ht="18" hidden="false" customHeight="true" outlineLevel="0" collapsed="false">
      <c r="A126" s="90"/>
      <c r="B126" s="108" t="s">
        <v>444</v>
      </c>
      <c r="C126" s="92" t="s">
        <v>445</v>
      </c>
      <c r="D126" s="108" t="s">
        <v>188</v>
      </c>
      <c r="E126" s="93" t="s">
        <v>446</v>
      </c>
      <c r="F126" s="109" t="s">
        <v>204</v>
      </c>
      <c r="G126" s="95" t="n">
        <v>1</v>
      </c>
      <c r="H126" s="96" t="n">
        <f aca="false">G126*IF(K126="Antes de sublimar",Supuestos!$B$63*1.125,IFERROR(VLOOKUP(F126,Supuestos!$A$29:$B$56,2,0),Supuestos!$C$17))</f>
        <v>6750</v>
      </c>
      <c r="I126" s="108" t="s">
        <v>16</v>
      </c>
      <c r="J126" s="97" t="s">
        <v>199</v>
      </c>
      <c r="K126" s="108" t="s">
        <v>114</v>
      </c>
    </row>
    <row r="127" customFormat="false" ht="18" hidden="false" customHeight="true" outlineLevel="0" collapsed="false">
      <c r="A127" s="98"/>
      <c r="B127" s="106" t="s">
        <v>444</v>
      </c>
      <c r="C127" s="100" t="s">
        <v>447</v>
      </c>
      <c r="D127" s="106" t="s">
        <v>188</v>
      </c>
      <c r="E127" s="101" t="s">
        <v>448</v>
      </c>
      <c r="F127" s="107" t="s">
        <v>32</v>
      </c>
      <c r="G127" s="103" t="n">
        <v>1</v>
      </c>
      <c r="H127" s="104" t="n">
        <f aca="false">G127*IF(K127="Antes de sublimar",Supuestos!$B$63*1.125,IFERROR(VLOOKUP(F127,Supuestos!$A$29:$B$56,2,0),Supuestos!$C$17))</f>
        <v>6750</v>
      </c>
      <c r="I127" s="106" t="s">
        <v>16</v>
      </c>
      <c r="J127" s="105" t="s">
        <v>199</v>
      </c>
      <c r="K127" s="106" t="s">
        <v>114</v>
      </c>
    </row>
    <row r="128" customFormat="false" ht="18" hidden="false" customHeight="true" outlineLevel="0" collapsed="false">
      <c r="A128" s="90"/>
      <c r="B128" s="108" t="s">
        <v>444</v>
      </c>
      <c r="C128" s="92" t="s">
        <v>360</v>
      </c>
      <c r="D128" s="108" t="s">
        <v>202</v>
      </c>
      <c r="E128" s="93" t="s">
        <v>449</v>
      </c>
      <c r="F128" s="109" t="s">
        <v>112</v>
      </c>
      <c r="G128" s="95" t="n">
        <v>9</v>
      </c>
      <c r="H128" s="96" t="n">
        <f aca="false">G128*IF(K128="Antes de sublimar",Supuestos!$B$63*1.125,IFERROR(VLOOKUP(F128,Supuestos!$A$29:$B$56,2,0),Supuestos!$C$17))</f>
        <v>60750</v>
      </c>
      <c r="I128" s="108" t="s">
        <v>16</v>
      </c>
      <c r="J128" s="97" t="s">
        <v>195</v>
      </c>
      <c r="K128" s="108" t="s">
        <v>114</v>
      </c>
    </row>
    <row r="129" customFormat="false" ht="18" hidden="false" customHeight="true" outlineLevel="0" collapsed="false">
      <c r="A129" s="98"/>
      <c r="B129" s="106" t="s">
        <v>444</v>
      </c>
      <c r="C129" s="100" t="s">
        <v>360</v>
      </c>
      <c r="D129" s="106" t="s">
        <v>450</v>
      </c>
      <c r="E129" s="101" t="s">
        <v>451</v>
      </c>
      <c r="F129" s="107" t="s">
        <v>147</v>
      </c>
      <c r="G129" s="103" t="n">
        <v>28</v>
      </c>
      <c r="H129" s="104" t="n">
        <f aca="false">G129*IF(K129="Antes de sublimar",Supuestos!$B$63*1.125,IFERROR(VLOOKUP(F129,Supuestos!$A$29:$B$56,2,0),Supuestos!$C$17))</f>
        <v>189000</v>
      </c>
      <c r="I129" s="106" t="s">
        <v>16</v>
      </c>
      <c r="J129" s="105" t="s">
        <v>195</v>
      </c>
      <c r="K129" s="106" t="s">
        <v>114</v>
      </c>
    </row>
    <row r="130" customFormat="false" ht="18" hidden="false" customHeight="true" outlineLevel="0" collapsed="false">
      <c r="A130" s="90"/>
      <c r="B130" s="108" t="s">
        <v>452</v>
      </c>
      <c r="C130" s="92" t="s">
        <v>404</v>
      </c>
      <c r="D130" s="108" t="s">
        <v>405</v>
      </c>
      <c r="E130" s="93" t="s">
        <v>453</v>
      </c>
      <c r="F130" s="109" t="s">
        <v>124</v>
      </c>
      <c r="G130" s="95" t="n">
        <v>5</v>
      </c>
      <c r="H130" s="96" t="n">
        <f aca="false">G130*IF(K130="Antes de sublimar",Supuestos!$B$63*1.125,IFERROR(VLOOKUP(F130,Supuestos!$A$29:$B$56,2,0),Supuestos!$C$17))</f>
        <v>13500</v>
      </c>
      <c r="I130" s="108" t="s">
        <v>17</v>
      </c>
      <c r="J130" s="97" t="s">
        <v>199</v>
      </c>
      <c r="K130" s="108" t="s">
        <v>126</v>
      </c>
    </row>
    <row r="131" customFormat="false" ht="18" hidden="false" customHeight="true" outlineLevel="0" collapsed="false">
      <c r="A131" s="98"/>
      <c r="B131" s="106" t="s">
        <v>454</v>
      </c>
      <c r="C131" s="100" t="s">
        <v>455</v>
      </c>
      <c r="D131" s="106" t="s">
        <v>456</v>
      </c>
      <c r="E131" s="101" t="s">
        <v>457</v>
      </c>
      <c r="F131" s="107" t="s">
        <v>124</v>
      </c>
      <c r="G131" s="103" t="n">
        <v>10</v>
      </c>
      <c r="H131" s="104" t="n">
        <f aca="false">G131*IF(K131="Antes de sublimar",Supuestos!$B$63*1.125,IFERROR(VLOOKUP(F131,Supuestos!$A$29:$B$56,2,0),Supuestos!$C$17))</f>
        <v>27000</v>
      </c>
      <c r="I131" s="106" t="s">
        <v>17</v>
      </c>
      <c r="J131" s="105" t="s">
        <v>195</v>
      </c>
      <c r="K131" s="106" t="s">
        <v>126</v>
      </c>
    </row>
    <row r="132" customFormat="false" ht="18" hidden="false" customHeight="true" outlineLevel="0" collapsed="false">
      <c r="A132" s="90"/>
      <c r="B132" s="108" t="s">
        <v>454</v>
      </c>
      <c r="C132" s="92" t="s">
        <v>458</v>
      </c>
      <c r="D132" s="108" t="s">
        <v>459</v>
      </c>
      <c r="E132" s="93" t="s">
        <v>460</v>
      </c>
      <c r="F132" s="109" t="s">
        <v>172</v>
      </c>
      <c r="G132" s="95" t="n">
        <v>2</v>
      </c>
      <c r="H132" s="96" t="n">
        <f aca="false">G132*IF(K132="Antes de sublimar",Supuestos!$B$63*1.125,IFERROR(VLOOKUP(F132,Supuestos!$A$29:$B$56,2,0),Supuestos!$C$17))</f>
        <v>13500</v>
      </c>
      <c r="I132" s="108" t="s">
        <v>17</v>
      </c>
      <c r="J132" s="97" t="s">
        <v>195</v>
      </c>
      <c r="K132" s="108" t="s">
        <v>114</v>
      </c>
    </row>
    <row r="133" customFormat="false" ht="18" hidden="false" customHeight="true" outlineLevel="0" collapsed="false">
      <c r="A133" s="98"/>
      <c r="B133" s="106" t="s">
        <v>454</v>
      </c>
      <c r="C133" s="100" t="s">
        <v>461</v>
      </c>
      <c r="D133" s="106" t="s">
        <v>462</v>
      </c>
      <c r="E133" s="101" t="s">
        <v>463</v>
      </c>
      <c r="F133" s="107" t="s">
        <v>204</v>
      </c>
      <c r="G133" s="103" t="n">
        <v>1</v>
      </c>
      <c r="H133" s="104" t="n">
        <f aca="false">G133*IF(K133="Antes de sublimar",Supuestos!$B$63*1.125,IFERROR(VLOOKUP(F133,Supuestos!$A$29:$B$56,2,0),Supuestos!$C$17))</f>
        <v>6750</v>
      </c>
      <c r="I133" s="106" t="s">
        <v>17</v>
      </c>
      <c r="J133" s="105" t="s">
        <v>195</v>
      </c>
      <c r="K133" s="106" t="s">
        <v>114</v>
      </c>
    </row>
    <row r="134" customFormat="false" ht="18" hidden="false" customHeight="true" outlineLevel="0" collapsed="false">
      <c r="A134" s="90"/>
      <c r="B134" s="108" t="s">
        <v>464</v>
      </c>
      <c r="C134" s="92" t="s">
        <v>455</v>
      </c>
      <c r="D134" s="108" t="s">
        <v>456</v>
      </c>
      <c r="E134" s="93" t="s">
        <v>465</v>
      </c>
      <c r="F134" s="109" t="s">
        <v>172</v>
      </c>
      <c r="G134" s="95" t="n">
        <v>2</v>
      </c>
      <c r="H134" s="96" t="n">
        <f aca="false">G134*IF(K134="Antes de sublimar",Supuestos!$B$63*1.125,IFERROR(VLOOKUP(F134,Supuestos!$A$29:$B$56,2,0),Supuestos!$C$17))</f>
        <v>13500</v>
      </c>
      <c r="I134" s="108" t="s">
        <v>17</v>
      </c>
      <c r="J134" s="97" t="s">
        <v>195</v>
      </c>
      <c r="K134" s="108" t="s">
        <v>114</v>
      </c>
    </row>
    <row r="135" customFormat="false" ht="18" hidden="false" customHeight="true" outlineLevel="0" collapsed="false">
      <c r="A135" s="98"/>
      <c r="B135" s="106" t="s">
        <v>464</v>
      </c>
      <c r="C135" s="100" t="s">
        <v>466</v>
      </c>
      <c r="D135" s="106" t="s">
        <v>467</v>
      </c>
      <c r="E135" s="101" t="s">
        <v>468</v>
      </c>
      <c r="F135" s="107" t="s">
        <v>204</v>
      </c>
      <c r="G135" s="103" t="n">
        <v>2</v>
      </c>
      <c r="H135" s="104" t="n">
        <f aca="false">G135*IF(K135="Antes de sublimar",Supuestos!$B$63*1.125,IFERROR(VLOOKUP(F135,Supuestos!$A$29:$B$56,2,0),Supuestos!$C$17))</f>
        <v>13500</v>
      </c>
      <c r="I135" s="106" t="s">
        <v>17</v>
      </c>
      <c r="J135" s="105" t="s">
        <v>199</v>
      </c>
      <c r="K135" s="106" t="s">
        <v>114</v>
      </c>
    </row>
    <row r="136" customFormat="false" ht="18" hidden="false" customHeight="true" outlineLevel="0" collapsed="false">
      <c r="A136" s="90"/>
      <c r="B136" s="108" t="s">
        <v>464</v>
      </c>
      <c r="C136" s="92" t="s">
        <v>466</v>
      </c>
      <c r="D136" s="108" t="s">
        <v>467</v>
      </c>
      <c r="E136" s="93" t="s">
        <v>469</v>
      </c>
      <c r="F136" s="109" t="s">
        <v>181</v>
      </c>
      <c r="G136" s="95" t="n">
        <v>2</v>
      </c>
      <c r="H136" s="96" t="n">
        <f aca="false">G136*IF(K136="Antes de sublimar",Supuestos!$B$63*1.125,IFERROR(VLOOKUP(F136,Supuestos!$A$29:$B$56,2,0),Supuestos!$C$17))</f>
        <v>13500</v>
      </c>
      <c r="I136" s="108" t="s">
        <v>17</v>
      </c>
      <c r="J136" s="97" t="s">
        <v>199</v>
      </c>
      <c r="K136" s="108" t="s">
        <v>114</v>
      </c>
    </row>
    <row r="137" customFormat="false" ht="18" hidden="false" customHeight="true" outlineLevel="0" collapsed="false">
      <c r="A137" s="98"/>
      <c r="B137" s="106" t="s">
        <v>464</v>
      </c>
      <c r="C137" s="100" t="s">
        <v>470</v>
      </c>
      <c r="D137" s="106" t="s">
        <v>471</v>
      </c>
      <c r="E137" s="101" t="s">
        <v>472</v>
      </c>
      <c r="F137" s="107" t="s">
        <v>147</v>
      </c>
      <c r="G137" s="103" t="n">
        <v>1</v>
      </c>
      <c r="H137" s="104" t="n">
        <f aca="false">G137*IF(K137="Antes de sublimar",Supuestos!$B$63*1.125,IFERROR(VLOOKUP(F137,Supuestos!$A$29:$B$56,2,0),Supuestos!$C$17))</f>
        <v>6750</v>
      </c>
      <c r="I137" s="106" t="s">
        <v>17</v>
      </c>
      <c r="J137" s="105" t="s">
        <v>195</v>
      </c>
      <c r="K137" s="106" t="s">
        <v>114</v>
      </c>
    </row>
    <row r="138" customFormat="false" ht="18" hidden="false" customHeight="true" outlineLevel="0" collapsed="false">
      <c r="A138" s="90"/>
      <c r="B138" s="108" t="s">
        <v>464</v>
      </c>
      <c r="C138" s="92" t="s">
        <v>473</v>
      </c>
      <c r="D138" s="108" t="s">
        <v>188</v>
      </c>
      <c r="E138" s="93" t="s">
        <v>474</v>
      </c>
      <c r="F138" s="109" t="s">
        <v>124</v>
      </c>
      <c r="G138" s="95" t="n">
        <v>2</v>
      </c>
      <c r="H138" s="96" t="n">
        <f aca="false">G138*IF(K138="Antes de sublimar",Supuestos!$B$63*1.125,IFERROR(VLOOKUP(F138,Supuestos!$A$29:$B$56,2,0),Supuestos!$C$17))</f>
        <v>5400</v>
      </c>
      <c r="I138" s="108" t="s">
        <v>17</v>
      </c>
      <c r="J138" s="97" t="s">
        <v>195</v>
      </c>
      <c r="K138" s="108" t="s">
        <v>126</v>
      </c>
    </row>
    <row r="139" customFormat="false" ht="18" hidden="false" customHeight="true" outlineLevel="0" collapsed="false">
      <c r="A139" s="98"/>
      <c r="B139" s="106" t="s">
        <v>464</v>
      </c>
      <c r="C139" s="100" t="s">
        <v>475</v>
      </c>
      <c r="D139" s="106" t="s">
        <v>476</v>
      </c>
      <c r="E139" s="101" t="s">
        <v>477</v>
      </c>
      <c r="F139" s="107" t="s">
        <v>32</v>
      </c>
      <c r="G139" s="103" t="n">
        <v>2</v>
      </c>
      <c r="H139" s="104" t="n">
        <f aca="false">G139*IF(K139="Antes de sublimar",Supuestos!$B$63*1.125,IFERROR(VLOOKUP(F139,Supuestos!$A$29:$B$56,2,0),Supuestos!$C$17))</f>
        <v>13500</v>
      </c>
      <c r="I139" s="106" t="s">
        <v>17</v>
      </c>
      <c r="J139" s="105" t="s">
        <v>199</v>
      </c>
      <c r="K139" s="106" t="s">
        <v>114</v>
      </c>
    </row>
    <row r="140" customFormat="false" ht="18" hidden="false" customHeight="true" outlineLevel="0" collapsed="false">
      <c r="A140" s="90"/>
      <c r="B140" s="108" t="s">
        <v>478</v>
      </c>
      <c r="C140" s="92" t="s">
        <v>475</v>
      </c>
      <c r="D140" s="108" t="s">
        <v>476</v>
      </c>
      <c r="E140" s="93" t="s">
        <v>479</v>
      </c>
      <c r="F140" s="109" t="s">
        <v>31</v>
      </c>
      <c r="G140" s="95" t="n">
        <v>11</v>
      </c>
      <c r="H140" s="96" t="n">
        <f aca="false">G140*IF(K140="Antes de sublimar",Supuestos!$B$63*1.125,IFERROR(VLOOKUP(F140,Supuestos!$A$29:$B$56,2,0),Supuestos!$C$17))</f>
        <v>74250</v>
      </c>
      <c r="I140" s="108" t="s">
        <v>17</v>
      </c>
      <c r="J140" s="97" t="s">
        <v>212</v>
      </c>
      <c r="K140" s="108" t="s">
        <v>114</v>
      </c>
    </row>
    <row r="141" customFormat="false" ht="18" hidden="false" customHeight="true" outlineLevel="0" collapsed="false">
      <c r="A141" s="98"/>
      <c r="B141" s="106" t="s">
        <v>478</v>
      </c>
      <c r="C141" s="100" t="s">
        <v>480</v>
      </c>
      <c r="D141" s="106" t="s">
        <v>481</v>
      </c>
      <c r="E141" s="101" t="s">
        <v>482</v>
      </c>
      <c r="F141" s="107" t="s">
        <v>172</v>
      </c>
      <c r="G141" s="103" t="n">
        <v>2</v>
      </c>
      <c r="H141" s="104" t="n">
        <f aca="false">G141*IF(K141="Antes de sublimar",Supuestos!$B$63*1.125,IFERROR(VLOOKUP(F141,Supuestos!$A$29:$B$56,2,0),Supuestos!$C$17))</f>
        <v>13500</v>
      </c>
      <c r="I141" s="106" t="s">
        <v>17</v>
      </c>
      <c r="J141" s="105" t="s">
        <v>195</v>
      </c>
      <c r="K141" s="106" t="s">
        <v>114</v>
      </c>
    </row>
    <row r="142" customFormat="false" ht="18" hidden="false" customHeight="true" outlineLevel="0" collapsed="false">
      <c r="A142" s="90"/>
      <c r="B142" s="108" t="s">
        <v>483</v>
      </c>
      <c r="C142" s="92" t="s">
        <v>484</v>
      </c>
      <c r="D142" s="108" t="s">
        <v>188</v>
      </c>
      <c r="E142" s="93" t="s">
        <v>485</v>
      </c>
      <c r="F142" s="109" t="s">
        <v>32</v>
      </c>
      <c r="G142" s="95" t="n">
        <v>1</v>
      </c>
      <c r="H142" s="96" t="n">
        <f aca="false">G142*IF(K142="Antes de sublimar",Supuestos!$B$63*1.125,IFERROR(VLOOKUP(F142,Supuestos!$A$29:$B$56,2,0),Supuestos!$C$17))</f>
        <v>6750</v>
      </c>
      <c r="I142" s="108" t="s">
        <v>17</v>
      </c>
      <c r="J142" s="97" t="s">
        <v>199</v>
      </c>
      <c r="K142" s="108" t="s">
        <v>114</v>
      </c>
    </row>
    <row r="143" customFormat="false" ht="18" hidden="false" customHeight="true" outlineLevel="0" collapsed="false">
      <c r="A143" s="98"/>
      <c r="B143" s="106" t="s">
        <v>483</v>
      </c>
      <c r="C143" s="100" t="s">
        <v>218</v>
      </c>
      <c r="D143" s="106" t="s">
        <v>486</v>
      </c>
      <c r="E143" s="101" t="s">
        <v>487</v>
      </c>
      <c r="F143" s="107" t="s">
        <v>172</v>
      </c>
      <c r="G143" s="103" t="n">
        <v>2</v>
      </c>
      <c r="H143" s="104" t="n">
        <f aca="false">G143*IF(K143="Antes de sublimar",Supuestos!$B$63*1.125,IFERROR(VLOOKUP(F143,Supuestos!$A$29:$B$56,2,0),Supuestos!$C$17))</f>
        <v>13500</v>
      </c>
      <c r="I143" s="106" t="s">
        <v>17</v>
      </c>
      <c r="J143" s="105" t="s">
        <v>195</v>
      </c>
      <c r="K143" s="106" t="s">
        <v>114</v>
      </c>
    </row>
    <row r="144" customFormat="false" ht="18" hidden="false" customHeight="true" outlineLevel="0" collapsed="false">
      <c r="A144" s="90"/>
      <c r="B144" s="108" t="s">
        <v>488</v>
      </c>
      <c r="C144" s="92" t="s">
        <v>489</v>
      </c>
      <c r="D144" s="108" t="s">
        <v>490</v>
      </c>
      <c r="E144" s="93" t="s">
        <v>491</v>
      </c>
      <c r="F144" s="109" t="s">
        <v>31</v>
      </c>
      <c r="G144" s="95" t="n">
        <v>23</v>
      </c>
      <c r="H144" s="96" t="n">
        <f aca="false">G144*IF(K144="Antes de sublimar",Supuestos!$B$63*1.125,IFERROR(VLOOKUP(F144,Supuestos!$A$29:$B$56,2,0),Supuestos!$C$17))</f>
        <v>155250</v>
      </c>
      <c r="I144" s="108" t="s">
        <v>17</v>
      </c>
      <c r="J144" s="97" t="s">
        <v>195</v>
      </c>
      <c r="K144" s="108" t="s">
        <v>114</v>
      </c>
    </row>
    <row r="145" customFormat="false" ht="18" hidden="false" customHeight="true" outlineLevel="0" collapsed="false">
      <c r="A145" s="98"/>
      <c r="B145" s="106" t="s">
        <v>488</v>
      </c>
      <c r="C145" s="100" t="s">
        <v>492</v>
      </c>
      <c r="D145" s="106" t="s">
        <v>493</v>
      </c>
      <c r="E145" s="101" t="s">
        <v>494</v>
      </c>
      <c r="F145" s="107" t="s">
        <v>31</v>
      </c>
      <c r="G145" s="103" t="n">
        <v>5</v>
      </c>
      <c r="H145" s="104" t="n">
        <f aca="false">G145*IF(K145="Antes de sublimar",Supuestos!$B$63*1.125,IFERROR(VLOOKUP(F145,Supuestos!$A$29:$B$56,2,0),Supuestos!$C$17))</f>
        <v>13500</v>
      </c>
      <c r="I145" s="106" t="s">
        <v>17</v>
      </c>
      <c r="J145" s="105" t="s">
        <v>195</v>
      </c>
      <c r="K145" s="106" t="s">
        <v>126</v>
      </c>
    </row>
    <row r="146" customFormat="false" ht="18" hidden="false" customHeight="true" outlineLevel="0" collapsed="false">
      <c r="A146" s="90"/>
      <c r="B146" s="108" t="s">
        <v>495</v>
      </c>
      <c r="C146" s="92" t="s">
        <v>466</v>
      </c>
      <c r="D146" s="108" t="s">
        <v>467</v>
      </c>
      <c r="E146" s="93" t="s">
        <v>496</v>
      </c>
      <c r="F146" s="109" t="s">
        <v>31</v>
      </c>
      <c r="G146" s="95" t="n">
        <v>3</v>
      </c>
      <c r="H146" s="96" t="n">
        <f aca="false">G146*IF(K146="Antes de sublimar",Supuestos!$B$63*1.125,IFERROR(VLOOKUP(F146,Supuestos!$A$29:$B$56,2,0),Supuestos!$C$17))</f>
        <v>20250</v>
      </c>
      <c r="I146" s="108" t="s">
        <v>17</v>
      </c>
      <c r="J146" s="97" t="s">
        <v>195</v>
      </c>
      <c r="K146" s="108" t="s">
        <v>114</v>
      </c>
    </row>
    <row r="147" customFormat="false" ht="18" hidden="false" customHeight="true" outlineLevel="0" collapsed="false">
      <c r="A147" s="98"/>
      <c r="B147" s="106" t="s">
        <v>495</v>
      </c>
      <c r="C147" s="100" t="s">
        <v>497</v>
      </c>
      <c r="D147" s="106" t="s">
        <v>498</v>
      </c>
      <c r="E147" s="101" t="s">
        <v>499</v>
      </c>
      <c r="F147" s="107" t="s">
        <v>31</v>
      </c>
      <c r="G147" s="103" t="n">
        <v>4</v>
      </c>
      <c r="H147" s="104" t="n">
        <f aca="false">G147*IF(K147="Antes de sublimar",Supuestos!$B$63*1.125,IFERROR(VLOOKUP(F147,Supuestos!$A$29:$B$56,2,0),Supuestos!$C$17))</f>
        <v>27000</v>
      </c>
      <c r="I147" s="106" t="s">
        <v>17</v>
      </c>
      <c r="J147" s="105" t="s">
        <v>212</v>
      </c>
      <c r="K147" s="106" t="s">
        <v>114</v>
      </c>
    </row>
    <row r="148" customFormat="false" ht="18" hidden="false" customHeight="true" outlineLevel="0" collapsed="false">
      <c r="A148" s="90"/>
      <c r="B148" s="108" t="s">
        <v>495</v>
      </c>
      <c r="C148" s="92" t="s">
        <v>500</v>
      </c>
      <c r="D148" s="108" t="s">
        <v>188</v>
      </c>
      <c r="E148" s="93" t="s">
        <v>501</v>
      </c>
      <c r="F148" s="109" t="s">
        <v>32</v>
      </c>
      <c r="G148" s="95" t="n">
        <v>7</v>
      </c>
      <c r="H148" s="96" t="n">
        <f aca="false">G148*IF(K148="Antes de sublimar",Supuestos!$B$63*1.125,IFERROR(VLOOKUP(F148,Supuestos!$A$29:$B$56,2,0),Supuestos!$C$17))</f>
        <v>47250</v>
      </c>
      <c r="I148" s="108" t="s">
        <v>17</v>
      </c>
      <c r="J148" s="97" t="s">
        <v>199</v>
      </c>
      <c r="K148" s="108" t="s">
        <v>114</v>
      </c>
    </row>
    <row r="149" customFormat="false" ht="18" hidden="false" customHeight="true" outlineLevel="0" collapsed="false">
      <c r="A149" s="98"/>
      <c r="B149" s="106" t="s">
        <v>495</v>
      </c>
      <c r="C149" s="100" t="s">
        <v>502</v>
      </c>
      <c r="D149" s="106" t="s">
        <v>503</v>
      </c>
      <c r="E149" s="101" t="s">
        <v>504</v>
      </c>
      <c r="F149" s="107" t="s">
        <v>150</v>
      </c>
      <c r="G149" s="103" t="n">
        <v>1</v>
      </c>
      <c r="H149" s="104" t="n">
        <f aca="false">G149*IF(K149="Antes de sublimar",Supuestos!$B$63*1.125,IFERROR(VLOOKUP(F149,Supuestos!$A$29:$B$56,2,0),Supuestos!$C$17))</f>
        <v>6750</v>
      </c>
      <c r="I149" s="106" t="s">
        <v>17</v>
      </c>
      <c r="J149" s="105" t="s">
        <v>195</v>
      </c>
      <c r="K149" s="106" t="s">
        <v>114</v>
      </c>
    </row>
    <row r="150" customFormat="false" ht="18" hidden="false" customHeight="true" outlineLevel="0" collapsed="false">
      <c r="A150" s="90"/>
      <c r="B150" s="108" t="s">
        <v>505</v>
      </c>
      <c r="C150" s="92" t="s">
        <v>506</v>
      </c>
      <c r="D150" s="108" t="s">
        <v>507</v>
      </c>
      <c r="E150" s="93" t="s">
        <v>508</v>
      </c>
      <c r="F150" s="109" t="s">
        <v>32</v>
      </c>
      <c r="G150" s="95" t="n">
        <v>1</v>
      </c>
      <c r="H150" s="96" t="n">
        <f aca="false">G150*IF(K150="Antes de sublimar",Supuestos!$B$63*1.125,IFERROR(VLOOKUP(F150,Supuestos!$A$29:$B$56,2,0),Supuestos!$C$17))</f>
        <v>6750</v>
      </c>
      <c r="I150" s="108" t="s">
        <v>17</v>
      </c>
      <c r="J150" s="97" t="s">
        <v>195</v>
      </c>
      <c r="K150" s="108" t="s">
        <v>114</v>
      </c>
    </row>
    <row r="151" customFormat="false" ht="18" hidden="false" customHeight="true" outlineLevel="0" collapsed="false">
      <c r="A151" s="98"/>
      <c r="B151" s="106" t="s">
        <v>509</v>
      </c>
      <c r="C151" s="100" t="s">
        <v>510</v>
      </c>
      <c r="D151" s="106" t="s">
        <v>511</v>
      </c>
      <c r="E151" s="101" t="s">
        <v>512</v>
      </c>
      <c r="F151" s="107" t="s">
        <v>31</v>
      </c>
      <c r="G151" s="103" t="n">
        <v>1</v>
      </c>
      <c r="H151" s="104" t="n">
        <f aca="false">G151*IF(K151="Antes de sublimar",Supuestos!$B$63*1.125,IFERROR(VLOOKUP(F151,Supuestos!$A$29:$B$56,2,0),Supuestos!$C$17))</f>
        <v>6750</v>
      </c>
      <c r="I151" s="106" t="s">
        <v>17</v>
      </c>
      <c r="J151" s="105" t="s">
        <v>212</v>
      </c>
      <c r="K151" s="106" t="s">
        <v>114</v>
      </c>
    </row>
    <row r="152" customFormat="false" ht="18" hidden="false" customHeight="true" outlineLevel="0" collapsed="false">
      <c r="A152" s="90"/>
      <c r="B152" s="108" t="s">
        <v>509</v>
      </c>
      <c r="C152" s="92" t="s">
        <v>461</v>
      </c>
      <c r="D152" s="108" t="s">
        <v>462</v>
      </c>
      <c r="E152" s="93" t="s">
        <v>513</v>
      </c>
      <c r="F152" s="109" t="s">
        <v>172</v>
      </c>
      <c r="G152" s="95" t="n">
        <v>1</v>
      </c>
      <c r="H152" s="96" t="n">
        <f aca="false">G152*IF(K152="Antes de sublimar",Supuestos!$B$63*1.125,IFERROR(VLOOKUP(F152,Supuestos!$A$29:$B$56,2,0),Supuestos!$C$17))</f>
        <v>6750</v>
      </c>
      <c r="I152" s="108" t="s">
        <v>17</v>
      </c>
      <c r="J152" s="97" t="s">
        <v>195</v>
      </c>
      <c r="K152" s="108" t="s">
        <v>114</v>
      </c>
    </row>
    <row r="153" customFormat="false" ht="18" hidden="false" customHeight="true" outlineLevel="0" collapsed="false">
      <c r="A153" s="98"/>
      <c r="B153" s="106" t="s">
        <v>509</v>
      </c>
      <c r="C153" s="100" t="s">
        <v>514</v>
      </c>
      <c r="D153" s="106" t="s">
        <v>188</v>
      </c>
      <c r="E153" s="101" t="s">
        <v>515</v>
      </c>
      <c r="F153" s="107" t="s">
        <v>32</v>
      </c>
      <c r="G153" s="103" t="n">
        <v>1</v>
      </c>
      <c r="H153" s="104" t="n">
        <f aca="false">G153*IF(K153="Antes de sublimar",Supuestos!$B$63*1.125,IFERROR(VLOOKUP(F153,Supuestos!$A$29:$B$56,2,0),Supuestos!$C$17))</f>
        <v>6750</v>
      </c>
      <c r="I153" s="106" t="s">
        <v>17</v>
      </c>
      <c r="J153" s="105" t="s">
        <v>516</v>
      </c>
      <c r="K153" s="106" t="s">
        <v>114</v>
      </c>
    </row>
    <row r="154" customFormat="false" ht="18" hidden="false" customHeight="true" outlineLevel="0" collapsed="false">
      <c r="A154" s="90"/>
      <c r="B154" s="108" t="s">
        <v>517</v>
      </c>
      <c r="C154" s="92" t="s">
        <v>518</v>
      </c>
      <c r="D154" s="108" t="s">
        <v>519</v>
      </c>
      <c r="E154" s="93" t="s">
        <v>520</v>
      </c>
      <c r="F154" s="109" t="s">
        <v>32</v>
      </c>
      <c r="G154" s="95" t="n">
        <v>1</v>
      </c>
      <c r="H154" s="96" t="n">
        <f aca="false">G154*IF(K154="Antes de sublimar",Supuestos!$B$63*1.125,IFERROR(VLOOKUP(F154,Supuestos!$A$29:$B$56,2,0),Supuestos!$C$17))</f>
        <v>6750</v>
      </c>
      <c r="I154" s="108" t="s">
        <v>17</v>
      </c>
      <c r="J154" s="97" t="s">
        <v>195</v>
      </c>
      <c r="K154" s="108" t="s">
        <v>114</v>
      </c>
    </row>
    <row r="155" customFormat="false" ht="18" hidden="false" customHeight="true" outlineLevel="0" collapsed="false">
      <c r="A155" s="98"/>
      <c r="B155" s="106" t="s">
        <v>517</v>
      </c>
      <c r="C155" s="100" t="s">
        <v>466</v>
      </c>
      <c r="D155" s="106" t="s">
        <v>467</v>
      </c>
      <c r="E155" s="101" t="s">
        <v>521</v>
      </c>
      <c r="F155" s="107" t="s">
        <v>172</v>
      </c>
      <c r="G155" s="103" t="n">
        <v>1</v>
      </c>
      <c r="H155" s="104" t="n">
        <f aca="false">G155*IF(K155="Antes de sublimar",Supuestos!$B$63*1.125,IFERROR(VLOOKUP(F155,Supuestos!$A$29:$B$56,2,0),Supuestos!$C$17))</f>
        <v>6750</v>
      </c>
      <c r="I155" s="106" t="s">
        <v>17</v>
      </c>
      <c r="J155" s="105" t="s">
        <v>195</v>
      </c>
      <c r="K155" s="106" t="s">
        <v>114</v>
      </c>
    </row>
    <row r="156" customFormat="false" ht="18" hidden="false" customHeight="true" outlineLevel="0" collapsed="false">
      <c r="A156" s="90"/>
      <c r="B156" s="108" t="s">
        <v>517</v>
      </c>
      <c r="C156" s="92" t="s">
        <v>522</v>
      </c>
      <c r="D156" s="108" t="s">
        <v>523</v>
      </c>
      <c r="E156" s="93" t="s">
        <v>524</v>
      </c>
      <c r="F156" s="109" t="s">
        <v>32</v>
      </c>
      <c r="G156" s="95" t="n">
        <v>1</v>
      </c>
      <c r="H156" s="96" t="n">
        <f aca="false">G156*IF(K156="Antes de sublimar",Supuestos!$B$63*1.125,IFERROR(VLOOKUP(F156,Supuestos!$A$29:$B$56,2,0),Supuestos!$C$17))</f>
        <v>6750</v>
      </c>
      <c r="I156" s="108" t="s">
        <v>17</v>
      </c>
      <c r="J156" s="97" t="s">
        <v>195</v>
      </c>
      <c r="K156" s="108" t="s">
        <v>114</v>
      </c>
    </row>
    <row r="157" customFormat="false" ht="18" hidden="false" customHeight="true" outlineLevel="0" collapsed="false">
      <c r="A157" s="98"/>
      <c r="B157" s="106" t="s">
        <v>517</v>
      </c>
      <c r="C157" s="100" t="s">
        <v>510</v>
      </c>
      <c r="D157" s="106" t="s">
        <v>511</v>
      </c>
      <c r="E157" s="101" t="s">
        <v>525</v>
      </c>
      <c r="F157" s="107" t="s">
        <v>172</v>
      </c>
      <c r="G157" s="103" t="n">
        <v>1</v>
      </c>
      <c r="H157" s="104" t="n">
        <f aca="false">G157*IF(K157="Antes de sublimar",Supuestos!$B$63*1.125,IFERROR(VLOOKUP(F157,Supuestos!$A$29:$B$56,2,0),Supuestos!$C$17))</f>
        <v>6750</v>
      </c>
      <c r="I157" s="106" t="s">
        <v>17</v>
      </c>
      <c r="J157" s="105" t="s">
        <v>195</v>
      </c>
      <c r="K157" s="106" t="s">
        <v>114</v>
      </c>
    </row>
    <row r="158" customFormat="false" ht="18" hidden="false" customHeight="true" outlineLevel="0" collapsed="false">
      <c r="A158" s="90"/>
      <c r="B158" s="108" t="s">
        <v>517</v>
      </c>
      <c r="C158" s="92" t="s">
        <v>526</v>
      </c>
      <c r="D158" s="108" t="s">
        <v>527</v>
      </c>
      <c r="E158" s="93" t="s">
        <v>528</v>
      </c>
      <c r="F158" s="109" t="s">
        <v>31</v>
      </c>
      <c r="G158" s="95" t="n">
        <v>2</v>
      </c>
      <c r="H158" s="96" t="n">
        <f aca="false">G158*IF(K158="Antes de sublimar",Supuestos!$B$63*1.125,IFERROR(VLOOKUP(F158,Supuestos!$A$29:$B$56,2,0),Supuestos!$C$17))</f>
        <v>13500</v>
      </c>
      <c r="I158" s="108" t="s">
        <v>17</v>
      </c>
      <c r="J158" s="97" t="s">
        <v>212</v>
      </c>
      <c r="K158" s="108" t="s">
        <v>114</v>
      </c>
    </row>
    <row r="159" customFormat="false" ht="18" hidden="false" customHeight="true" outlineLevel="0" collapsed="false">
      <c r="A159" s="98"/>
      <c r="B159" s="106" t="s">
        <v>517</v>
      </c>
      <c r="C159" s="100" t="s">
        <v>522</v>
      </c>
      <c r="D159" s="106" t="s">
        <v>523</v>
      </c>
      <c r="E159" s="101" t="s">
        <v>529</v>
      </c>
      <c r="F159" s="107" t="s">
        <v>181</v>
      </c>
      <c r="G159" s="103" t="n">
        <v>1</v>
      </c>
      <c r="H159" s="104" t="n">
        <f aca="false">G159*IF(K159="Antes de sublimar",Supuestos!$B$63*1.125,IFERROR(VLOOKUP(F159,Supuestos!$A$29:$B$56,2,0),Supuestos!$C$17))</f>
        <v>6750</v>
      </c>
      <c r="I159" s="106" t="s">
        <v>17</v>
      </c>
      <c r="J159" s="105" t="s">
        <v>212</v>
      </c>
      <c r="K159" s="106" t="s">
        <v>114</v>
      </c>
    </row>
    <row r="160" customFormat="false" ht="18" hidden="false" customHeight="true" outlineLevel="0" collapsed="false">
      <c r="A160" s="90"/>
      <c r="B160" s="108" t="s">
        <v>530</v>
      </c>
      <c r="C160" s="92" t="s">
        <v>522</v>
      </c>
      <c r="D160" s="108" t="s">
        <v>523</v>
      </c>
      <c r="E160" s="93" t="s">
        <v>531</v>
      </c>
      <c r="F160" s="109" t="s">
        <v>150</v>
      </c>
      <c r="G160" s="95" t="n">
        <v>1</v>
      </c>
      <c r="H160" s="96" t="n">
        <f aca="false">G160*IF(K160="Antes de sublimar",Supuestos!$B$63*1.125,IFERROR(VLOOKUP(F160,Supuestos!$A$29:$B$56,2,0),Supuestos!$C$17))</f>
        <v>6750</v>
      </c>
      <c r="I160" s="108" t="s">
        <v>17</v>
      </c>
      <c r="J160" s="97" t="s">
        <v>195</v>
      </c>
      <c r="K160" s="108" t="s">
        <v>114</v>
      </c>
    </row>
    <row r="161" customFormat="false" ht="18" hidden="false" customHeight="true" outlineLevel="0" collapsed="false">
      <c r="A161" s="98"/>
      <c r="B161" s="106" t="s">
        <v>530</v>
      </c>
      <c r="C161" s="100" t="s">
        <v>532</v>
      </c>
      <c r="D161" s="106" t="s">
        <v>533</v>
      </c>
      <c r="E161" s="101" t="s">
        <v>534</v>
      </c>
      <c r="F161" s="107" t="s">
        <v>172</v>
      </c>
      <c r="G161" s="103" t="n">
        <v>1</v>
      </c>
      <c r="H161" s="104" t="n">
        <f aca="false">G161*IF(K161="Antes de sublimar",Supuestos!$B$63*1.125,IFERROR(VLOOKUP(F161,Supuestos!$A$29:$B$56,2,0),Supuestos!$C$17))</f>
        <v>6750</v>
      </c>
      <c r="I161" s="106" t="s">
        <v>17</v>
      </c>
      <c r="J161" s="105" t="s">
        <v>195</v>
      </c>
      <c r="K161" s="106" t="s">
        <v>114</v>
      </c>
    </row>
    <row r="162" customFormat="false" ht="18" hidden="false" customHeight="true" outlineLevel="0" collapsed="false">
      <c r="A162" s="90"/>
      <c r="B162" s="108" t="s">
        <v>530</v>
      </c>
      <c r="C162" s="92" t="s">
        <v>535</v>
      </c>
      <c r="D162" s="108" t="s">
        <v>188</v>
      </c>
      <c r="E162" s="93" t="s">
        <v>536</v>
      </c>
      <c r="F162" s="109" t="s">
        <v>32</v>
      </c>
      <c r="G162" s="95" t="n">
        <v>1</v>
      </c>
      <c r="H162" s="96" t="n">
        <f aca="false">G162*IF(K162="Antes de sublimar",Supuestos!$B$63*1.125,IFERROR(VLOOKUP(F162,Supuestos!$A$29:$B$56,2,0),Supuestos!$C$17))</f>
        <v>6750</v>
      </c>
      <c r="I162" s="108" t="s">
        <v>17</v>
      </c>
      <c r="J162" s="97" t="s">
        <v>199</v>
      </c>
      <c r="K162" s="108" t="s">
        <v>114</v>
      </c>
    </row>
    <row r="163" customFormat="false" ht="18" hidden="false" customHeight="true" outlineLevel="0" collapsed="false">
      <c r="A163" s="98"/>
      <c r="B163" s="106" t="s">
        <v>530</v>
      </c>
      <c r="C163" s="100" t="s">
        <v>522</v>
      </c>
      <c r="D163" s="106" t="s">
        <v>523</v>
      </c>
      <c r="E163" s="101" t="s">
        <v>537</v>
      </c>
      <c r="F163" s="107" t="s">
        <v>147</v>
      </c>
      <c r="G163" s="103" t="n">
        <v>2</v>
      </c>
      <c r="H163" s="104" t="n">
        <f aca="false">G163*IF(K163="Antes de sublimar",Supuestos!$B$63*1.125,IFERROR(VLOOKUP(F163,Supuestos!$A$29:$B$56,2,0),Supuestos!$C$17))</f>
        <v>13500</v>
      </c>
      <c r="I163" s="106" t="s">
        <v>17</v>
      </c>
      <c r="J163" s="105" t="s">
        <v>195</v>
      </c>
      <c r="K163" s="106" t="s">
        <v>114</v>
      </c>
    </row>
    <row r="164" customFormat="false" ht="18" hidden="false" customHeight="true" outlineLevel="0" collapsed="false">
      <c r="A164" s="90"/>
      <c r="B164" s="108" t="s">
        <v>538</v>
      </c>
      <c r="C164" s="92" t="s">
        <v>539</v>
      </c>
      <c r="D164" s="108" t="s">
        <v>540</v>
      </c>
      <c r="E164" s="93" t="s">
        <v>541</v>
      </c>
      <c r="F164" s="109" t="s">
        <v>32</v>
      </c>
      <c r="G164" s="95" t="n">
        <v>1</v>
      </c>
      <c r="H164" s="96" t="n">
        <f aca="false">G164*IF(K164="Antes de sublimar",Supuestos!$B$63*1.125,IFERROR(VLOOKUP(F164,Supuestos!$A$29:$B$56,2,0),Supuestos!$C$17))</f>
        <v>6750</v>
      </c>
      <c r="I164" s="108" t="s">
        <v>17</v>
      </c>
      <c r="J164" s="97" t="s">
        <v>195</v>
      </c>
      <c r="K164" s="108" t="s">
        <v>114</v>
      </c>
    </row>
    <row r="165" customFormat="false" ht="18" hidden="false" customHeight="true" outlineLevel="0" collapsed="false">
      <c r="A165" s="98"/>
      <c r="B165" s="106" t="s">
        <v>538</v>
      </c>
      <c r="C165" s="100" t="s">
        <v>542</v>
      </c>
      <c r="D165" s="106" t="s">
        <v>543</v>
      </c>
      <c r="E165" s="101" t="s">
        <v>544</v>
      </c>
      <c r="F165" s="107" t="s">
        <v>32</v>
      </c>
      <c r="G165" s="103" t="n">
        <v>1</v>
      </c>
      <c r="H165" s="104" t="n">
        <f aca="false">G165*IF(K165="Antes de sublimar",Supuestos!$B$63*1.125,IFERROR(VLOOKUP(F165,Supuestos!$A$29:$B$56,2,0),Supuestos!$C$17))</f>
        <v>6750</v>
      </c>
      <c r="I165" s="106" t="s">
        <v>17</v>
      </c>
      <c r="J165" s="105" t="s">
        <v>212</v>
      </c>
      <c r="K165" s="106" t="s">
        <v>114</v>
      </c>
    </row>
    <row r="166" customFormat="false" ht="18" hidden="false" customHeight="true" outlineLevel="0" collapsed="false">
      <c r="A166" s="90"/>
      <c r="B166" s="108" t="s">
        <v>538</v>
      </c>
      <c r="C166" s="92" t="s">
        <v>545</v>
      </c>
      <c r="D166" s="108" t="s">
        <v>188</v>
      </c>
      <c r="E166" s="93" t="s">
        <v>546</v>
      </c>
      <c r="F166" s="109" t="s">
        <v>31</v>
      </c>
      <c r="G166" s="95" t="n">
        <v>6</v>
      </c>
      <c r="H166" s="96" t="n">
        <f aca="false">G166*IF(K166="Antes de sublimar",Supuestos!$B$63*1.125,IFERROR(VLOOKUP(F166,Supuestos!$A$29:$B$56,2,0),Supuestos!$C$17))</f>
        <v>40500</v>
      </c>
      <c r="I166" s="108" t="s">
        <v>17</v>
      </c>
      <c r="J166" s="97" t="s">
        <v>212</v>
      </c>
      <c r="K166" s="108" t="s">
        <v>114</v>
      </c>
    </row>
    <row r="167" customFormat="false" ht="18" hidden="false" customHeight="true" outlineLevel="0" collapsed="false">
      <c r="A167" s="98"/>
      <c r="B167" s="106" t="s">
        <v>538</v>
      </c>
      <c r="C167" s="100" t="s">
        <v>545</v>
      </c>
      <c r="D167" s="106" t="s">
        <v>188</v>
      </c>
      <c r="E167" s="101" t="s">
        <v>547</v>
      </c>
      <c r="F167" s="107" t="s">
        <v>204</v>
      </c>
      <c r="G167" s="103" t="n">
        <v>2</v>
      </c>
      <c r="H167" s="104" t="n">
        <f aca="false">G167*IF(K167="Antes de sublimar",Supuestos!$B$63*1.125,IFERROR(VLOOKUP(F167,Supuestos!$A$29:$B$56,2,0),Supuestos!$C$17))</f>
        <v>13500</v>
      </c>
      <c r="I167" s="106" t="s">
        <v>17</v>
      </c>
      <c r="J167" s="105" t="s">
        <v>212</v>
      </c>
      <c r="K167" s="106" t="s">
        <v>114</v>
      </c>
    </row>
    <row r="168" customFormat="false" ht="18" hidden="false" customHeight="true" outlineLevel="0" collapsed="false">
      <c r="A168" s="90"/>
      <c r="B168" s="108" t="s">
        <v>538</v>
      </c>
      <c r="C168" s="92" t="s">
        <v>548</v>
      </c>
      <c r="D168" s="108" t="s">
        <v>549</v>
      </c>
      <c r="E168" s="93" t="s">
        <v>550</v>
      </c>
      <c r="F168" s="109" t="s">
        <v>31</v>
      </c>
      <c r="G168" s="95" t="n">
        <v>36</v>
      </c>
      <c r="H168" s="96" t="n">
        <f aca="false">G168*IF(K168="Antes de sublimar",Supuestos!$B$63*1.125,IFERROR(VLOOKUP(F168,Supuestos!$A$29:$B$56,2,0),Supuestos!$C$17))</f>
        <v>243000</v>
      </c>
      <c r="I168" s="108" t="s">
        <v>17</v>
      </c>
      <c r="J168" s="97" t="s">
        <v>195</v>
      </c>
      <c r="K168" s="108" t="s">
        <v>114</v>
      </c>
    </row>
    <row r="169" customFormat="false" ht="18" hidden="false" customHeight="true" outlineLevel="0" collapsed="false">
      <c r="A169" s="98"/>
      <c r="B169" s="106" t="s">
        <v>551</v>
      </c>
      <c r="C169" s="100" t="s">
        <v>552</v>
      </c>
      <c r="D169" s="106" t="s">
        <v>493</v>
      </c>
      <c r="E169" s="101" t="s">
        <v>553</v>
      </c>
      <c r="F169" s="107" t="s">
        <v>172</v>
      </c>
      <c r="G169" s="103" t="n">
        <v>1</v>
      </c>
      <c r="H169" s="104" t="n">
        <f aca="false">G169*IF(K169="Antes de sublimar",Supuestos!$B$63*1.125,IFERROR(VLOOKUP(F169,Supuestos!$A$29:$B$56,2,0),Supuestos!$C$17))</f>
        <v>6750</v>
      </c>
      <c r="I169" s="106" t="s">
        <v>17</v>
      </c>
      <c r="J169" s="105" t="s">
        <v>195</v>
      </c>
      <c r="K169" s="106" t="s">
        <v>114</v>
      </c>
    </row>
    <row r="170" customFormat="false" ht="18" hidden="false" customHeight="true" outlineLevel="0" collapsed="false">
      <c r="A170" s="90"/>
      <c r="B170" s="108" t="s">
        <v>551</v>
      </c>
      <c r="C170" s="92" t="s">
        <v>554</v>
      </c>
      <c r="D170" s="108" t="s">
        <v>493</v>
      </c>
      <c r="E170" s="93" t="s">
        <v>555</v>
      </c>
      <c r="F170" s="109" t="s">
        <v>204</v>
      </c>
      <c r="G170" s="95" t="n">
        <v>2</v>
      </c>
      <c r="H170" s="96" t="n">
        <f aca="false">G170*IF(K170="Antes de sublimar",Supuestos!$B$63*1.125,IFERROR(VLOOKUP(F170,Supuestos!$A$29:$B$56,2,0),Supuestos!$C$17))</f>
        <v>13500</v>
      </c>
      <c r="I170" s="108" t="s">
        <v>17</v>
      </c>
      <c r="J170" s="97" t="s">
        <v>199</v>
      </c>
      <c r="K170" s="108" t="s">
        <v>114</v>
      </c>
    </row>
    <row r="171" customFormat="false" ht="18" hidden="false" customHeight="true" outlineLevel="0" collapsed="false">
      <c r="A171" s="98"/>
      <c r="B171" s="106" t="s">
        <v>556</v>
      </c>
      <c r="C171" s="100" t="s">
        <v>542</v>
      </c>
      <c r="D171" s="106" t="s">
        <v>543</v>
      </c>
      <c r="E171" s="101" t="s">
        <v>557</v>
      </c>
      <c r="F171" s="107" t="s">
        <v>150</v>
      </c>
      <c r="G171" s="103" t="n">
        <v>8</v>
      </c>
      <c r="H171" s="104" t="n">
        <f aca="false">G171*IF(K171="Antes de sublimar",Supuestos!$B$63*1.125,IFERROR(VLOOKUP(F171,Supuestos!$A$29:$B$56,2,0),Supuestos!$C$17))</f>
        <v>54000</v>
      </c>
      <c r="I171" s="106" t="s">
        <v>17</v>
      </c>
      <c r="J171" s="105" t="s">
        <v>195</v>
      </c>
      <c r="K171" s="106" t="s">
        <v>114</v>
      </c>
    </row>
    <row r="172" customFormat="false" ht="18" hidden="false" customHeight="true" outlineLevel="0" collapsed="false">
      <c r="A172" s="90"/>
      <c r="B172" s="108" t="s">
        <v>558</v>
      </c>
      <c r="C172" s="92" t="s">
        <v>497</v>
      </c>
      <c r="D172" s="108" t="s">
        <v>498</v>
      </c>
      <c r="E172" s="93" t="s">
        <v>559</v>
      </c>
      <c r="F172" s="109" t="s">
        <v>172</v>
      </c>
      <c r="G172" s="95" t="n">
        <v>1</v>
      </c>
      <c r="H172" s="96" t="n">
        <f aca="false">G172*IF(K172="Antes de sublimar",Supuestos!$B$63*1.125,IFERROR(VLOOKUP(F172,Supuestos!$A$29:$B$56,2,0),Supuestos!$C$17))</f>
        <v>6750</v>
      </c>
      <c r="I172" s="108" t="s">
        <v>17</v>
      </c>
      <c r="J172" s="97" t="s">
        <v>195</v>
      </c>
      <c r="K172" s="108" t="s">
        <v>114</v>
      </c>
    </row>
    <row r="173" customFormat="false" ht="18" hidden="false" customHeight="true" outlineLevel="0" collapsed="false">
      <c r="A173" s="98"/>
      <c r="B173" s="106" t="s">
        <v>558</v>
      </c>
      <c r="C173" s="100" t="s">
        <v>560</v>
      </c>
      <c r="D173" s="106" t="s">
        <v>561</v>
      </c>
      <c r="E173" s="101" t="s">
        <v>562</v>
      </c>
      <c r="F173" s="107" t="s">
        <v>172</v>
      </c>
      <c r="G173" s="103" t="n">
        <v>1</v>
      </c>
      <c r="H173" s="104" t="n">
        <f aca="false">G173*IF(K173="Antes de sublimar",Supuestos!$B$63*1.125,IFERROR(VLOOKUP(F173,Supuestos!$A$29:$B$56,2,0),Supuestos!$C$17))</f>
        <v>2700</v>
      </c>
      <c r="I173" s="106" t="s">
        <v>17</v>
      </c>
      <c r="J173" s="105" t="s">
        <v>195</v>
      </c>
      <c r="K173" s="106" t="s">
        <v>126</v>
      </c>
    </row>
    <row r="174" customFormat="false" ht="18" hidden="false" customHeight="true" outlineLevel="0" collapsed="false">
      <c r="A174" s="90"/>
      <c r="B174" s="108" t="s">
        <v>558</v>
      </c>
      <c r="C174" s="92" t="s">
        <v>563</v>
      </c>
      <c r="D174" s="108" t="s">
        <v>188</v>
      </c>
      <c r="E174" s="93" t="s">
        <v>564</v>
      </c>
      <c r="F174" s="109" t="s">
        <v>124</v>
      </c>
      <c r="G174" s="95" t="n">
        <v>1</v>
      </c>
      <c r="H174" s="96" t="n">
        <f aca="false">G174*IF(K174="Antes de sublimar",Supuestos!$B$63*1.125,IFERROR(VLOOKUP(F174,Supuestos!$A$29:$B$56,2,0),Supuestos!$C$17))</f>
        <v>2700</v>
      </c>
      <c r="I174" s="108" t="s">
        <v>17</v>
      </c>
      <c r="J174" s="97" t="s">
        <v>199</v>
      </c>
      <c r="K174" s="108" t="s">
        <v>126</v>
      </c>
    </row>
    <row r="175" customFormat="false" ht="18" hidden="false" customHeight="true" outlineLevel="0" collapsed="false">
      <c r="A175" s="98"/>
      <c r="B175" s="106" t="s">
        <v>558</v>
      </c>
      <c r="C175" s="100" t="s">
        <v>565</v>
      </c>
      <c r="D175" s="106" t="s">
        <v>566</v>
      </c>
      <c r="E175" s="101" t="s">
        <v>567</v>
      </c>
      <c r="F175" s="107" t="s">
        <v>147</v>
      </c>
      <c r="G175" s="103" t="n">
        <v>12</v>
      </c>
      <c r="H175" s="104" t="n">
        <f aca="false">G175*IF(K175="Antes de sublimar",Supuestos!$B$63*1.125,IFERROR(VLOOKUP(F175,Supuestos!$A$29:$B$56,2,0),Supuestos!$C$17))</f>
        <v>81000</v>
      </c>
      <c r="I175" s="106" t="s">
        <v>17</v>
      </c>
      <c r="J175" s="105" t="s">
        <v>212</v>
      </c>
      <c r="K175" s="106" t="s">
        <v>114</v>
      </c>
    </row>
    <row r="176" customFormat="false" ht="18" hidden="false" customHeight="true" outlineLevel="0" collapsed="false">
      <c r="A176" s="90"/>
      <c r="B176" s="108" t="s">
        <v>558</v>
      </c>
      <c r="C176" s="92" t="s">
        <v>568</v>
      </c>
      <c r="D176" s="108" t="s">
        <v>188</v>
      </c>
      <c r="E176" s="93" t="s">
        <v>569</v>
      </c>
      <c r="F176" s="109" t="s">
        <v>147</v>
      </c>
      <c r="G176" s="95" t="n">
        <v>5</v>
      </c>
      <c r="H176" s="96" t="n">
        <f aca="false">G176*IF(K176="Antes de sublimar",Supuestos!$B$63*1.125,IFERROR(VLOOKUP(F176,Supuestos!$A$29:$B$56,2,0),Supuestos!$C$17))</f>
        <v>33750</v>
      </c>
      <c r="I176" s="108" t="s">
        <v>17</v>
      </c>
      <c r="J176" s="97" t="s">
        <v>199</v>
      </c>
      <c r="K176" s="108" t="s">
        <v>114</v>
      </c>
    </row>
    <row r="177" customFormat="false" ht="18" hidden="false" customHeight="true" outlineLevel="0" collapsed="false">
      <c r="A177" s="98"/>
      <c r="B177" s="106" t="s">
        <v>570</v>
      </c>
      <c r="C177" s="100" t="s">
        <v>560</v>
      </c>
      <c r="D177" s="106" t="s">
        <v>561</v>
      </c>
      <c r="E177" s="101" t="s">
        <v>571</v>
      </c>
      <c r="F177" s="107" t="s">
        <v>32</v>
      </c>
      <c r="G177" s="103" t="n">
        <v>2</v>
      </c>
      <c r="H177" s="104" t="n">
        <f aca="false">G177*IF(K177="Antes de sublimar",Supuestos!$B$63*1.125,IFERROR(VLOOKUP(F177,Supuestos!$A$29:$B$56,2,0),Supuestos!$C$17))</f>
        <v>13500</v>
      </c>
      <c r="I177" s="106" t="s">
        <v>17</v>
      </c>
      <c r="J177" s="105" t="s">
        <v>195</v>
      </c>
      <c r="K177" s="106" t="s">
        <v>114</v>
      </c>
    </row>
    <row r="178" customFormat="false" ht="18" hidden="false" customHeight="true" outlineLevel="0" collapsed="false">
      <c r="A178" s="90"/>
      <c r="B178" s="108" t="s">
        <v>570</v>
      </c>
      <c r="C178" s="92" t="s">
        <v>497</v>
      </c>
      <c r="D178" s="108" t="s">
        <v>498</v>
      </c>
      <c r="E178" s="93" t="s">
        <v>572</v>
      </c>
      <c r="F178" s="109" t="s">
        <v>181</v>
      </c>
      <c r="G178" s="95" t="n">
        <v>1</v>
      </c>
      <c r="H178" s="96" t="n">
        <f aca="false">G178*IF(K178="Antes de sublimar",Supuestos!$B$63*1.125,IFERROR(VLOOKUP(F178,Supuestos!$A$29:$B$56,2,0),Supuestos!$C$17))</f>
        <v>6750</v>
      </c>
      <c r="I178" s="108" t="s">
        <v>17</v>
      </c>
      <c r="J178" s="97" t="s">
        <v>195</v>
      </c>
      <c r="K178" s="108" t="s">
        <v>114</v>
      </c>
    </row>
    <row r="179" customFormat="false" ht="18" hidden="false" customHeight="true" outlineLevel="0" collapsed="false">
      <c r="A179" s="98"/>
      <c r="B179" s="106" t="s">
        <v>570</v>
      </c>
      <c r="C179" s="100" t="s">
        <v>506</v>
      </c>
      <c r="D179" s="106" t="s">
        <v>507</v>
      </c>
      <c r="E179" s="101" t="s">
        <v>573</v>
      </c>
      <c r="F179" s="107" t="s">
        <v>124</v>
      </c>
      <c r="G179" s="103" t="n">
        <v>1</v>
      </c>
      <c r="H179" s="104" t="n">
        <f aca="false">G179*IF(K179="Antes de sublimar",Supuestos!$B$63*1.125,IFERROR(VLOOKUP(F179,Supuestos!$A$29:$B$56,2,0),Supuestos!$C$17))</f>
        <v>2700</v>
      </c>
      <c r="I179" s="106" t="s">
        <v>17</v>
      </c>
      <c r="J179" s="105" t="s">
        <v>195</v>
      </c>
      <c r="K179" s="106" t="s">
        <v>126</v>
      </c>
    </row>
    <row r="180" customFormat="false" ht="18" hidden="false" customHeight="true" outlineLevel="0" collapsed="false">
      <c r="A180" s="90"/>
      <c r="B180" s="108" t="s">
        <v>574</v>
      </c>
      <c r="C180" s="92" t="s">
        <v>575</v>
      </c>
      <c r="D180" s="108" t="s">
        <v>576</v>
      </c>
      <c r="E180" s="93" t="s">
        <v>577</v>
      </c>
      <c r="F180" s="109" t="s">
        <v>578</v>
      </c>
      <c r="G180" s="95" t="n">
        <v>2</v>
      </c>
      <c r="H180" s="96" t="n">
        <f aca="false">G180*IF(K180="Antes de sublimar",Supuestos!$B$63*1.125,IFERROR(VLOOKUP(F180,Supuestos!$A$29:$B$56,2,0),Supuestos!$C$17))</f>
        <v>13500</v>
      </c>
      <c r="I180" s="108" t="s">
        <v>17</v>
      </c>
      <c r="J180" s="97" t="s">
        <v>195</v>
      </c>
      <c r="K180" s="108" t="s">
        <v>114</v>
      </c>
    </row>
    <row r="181" customFormat="false" ht="18" hidden="false" customHeight="true" outlineLevel="0" collapsed="false">
      <c r="A181" s="98"/>
      <c r="B181" s="106" t="s">
        <v>574</v>
      </c>
      <c r="C181" s="100" t="s">
        <v>579</v>
      </c>
      <c r="D181" s="106" t="s">
        <v>580</v>
      </c>
      <c r="E181" s="101" t="s">
        <v>581</v>
      </c>
      <c r="F181" s="107" t="s">
        <v>578</v>
      </c>
      <c r="G181" s="103" t="n">
        <v>2</v>
      </c>
      <c r="H181" s="104" t="n">
        <f aca="false">G181*IF(K181="Antes de sublimar",Supuestos!$B$63*1.125,IFERROR(VLOOKUP(F181,Supuestos!$A$29:$B$56,2,0),Supuestos!$C$17))</f>
        <v>13500</v>
      </c>
      <c r="I181" s="106" t="s">
        <v>17</v>
      </c>
      <c r="J181" s="105" t="s">
        <v>195</v>
      </c>
      <c r="K181" s="106" t="s">
        <v>114</v>
      </c>
    </row>
    <row r="182" customFormat="false" ht="18" hidden="false" customHeight="true" outlineLevel="0" collapsed="false">
      <c r="A182" s="90"/>
      <c r="B182" s="108" t="s">
        <v>582</v>
      </c>
      <c r="C182" s="92" t="s">
        <v>583</v>
      </c>
      <c r="D182" s="108" t="s">
        <v>188</v>
      </c>
      <c r="E182" s="93" t="s">
        <v>584</v>
      </c>
      <c r="F182" s="109" t="s">
        <v>32</v>
      </c>
      <c r="G182" s="95" t="n">
        <v>4</v>
      </c>
      <c r="H182" s="96" t="n">
        <f aca="false">G182*IF(K182="Antes de sublimar",Supuestos!$B$63*1.125,IFERROR(VLOOKUP(F182,Supuestos!$A$29:$B$56,2,0),Supuestos!$C$17))</f>
        <v>27000</v>
      </c>
      <c r="I182" s="108" t="s">
        <v>17</v>
      </c>
      <c r="J182" s="97" t="s">
        <v>199</v>
      </c>
      <c r="K182" s="108" t="s">
        <v>114</v>
      </c>
    </row>
    <row r="183" customFormat="false" ht="18" hidden="false" customHeight="true" outlineLevel="0" collapsed="false">
      <c r="A183" s="98"/>
      <c r="B183" s="106" t="s">
        <v>582</v>
      </c>
      <c r="C183" s="100" t="s">
        <v>585</v>
      </c>
      <c r="D183" s="106" t="s">
        <v>188</v>
      </c>
      <c r="E183" s="101" t="s">
        <v>586</v>
      </c>
      <c r="F183" s="107" t="s">
        <v>32</v>
      </c>
      <c r="G183" s="103" t="n">
        <v>1</v>
      </c>
      <c r="H183" s="104" t="n">
        <f aca="false">G183*IF(K183="Antes de sublimar",Supuestos!$B$63*1.125,IFERROR(VLOOKUP(F183,Supuestos!$A$29:$B$56,2,0),Supuestos!$C$17))</f>
        <v>6750</v>
      </c>
      <c r="I183" s="106" t="s">
        <v>17</v>
      </c>
      <c r="J183" s="105" t="s">
        <v>199</v>
      </c>
      <c r="K183" s="106" t="s">
        <v>114</v>
      </c>
    </row>
    <row r="184" customFormat="false" ht="18" hidden="false" customHeight="true" outlineLevel="0" collapsed="false">
      <c r="A184" s="90"/>
      <c r="B184" s="108" t="s">
        <v>587</v>
      </c>
      <c r="C184" s="92" t="s">
        <v>560</v>
      </c>
      <c r="D184" s="108" t="s">
        <v>561</v>
      </c>
      <c r="E184" s="93" t="s">
        <v>588</v>
      </c>
      <c r="F184" s="109" t="s">
        <v>31</v>
      </c>
      <c r="G184" s="95" t="n">
        <v>1</v>
      </c>
      <c r="H184" s="96" t="n">
        <f aca="false">G184*IF(K184="Antes de sublimar",Supuestos!$B$63*1.125,IFERROR(VLOOKUP(F184,Supuestos!$A$29:$B$56,2,0),Supuestos!$C$17))</f>
        <v>2700</v>
      </c>
      <c r="I184" s="108" t="s">
        <v>17</v>
      </c>
      <c r="J184" s="97" t="s">
        <v>195</v>
      </c>
      <c r="K184" s="108" t="s">
        <v>126</v>
      </c>
    </row>
    <row r="185" customFormat="false" ht="18" hidden="false" customHeight="true" outlineLevel="0" collapsed="false">
      <c r="A185" s="98"/>
      <c r="B185" s="106" t="s">
        <v>587</v>
      </c>
      <c r="C185" s="100" t="s">
        <v>589</v>
      </c>
      <c r="D185" s="106" t="s">
        <v>188</v>
      </c>
      <c r="E185" s="101" t="s">
        <v>590</v>
      </c>
      <c r="F185" s="107" t="s">
        <v>32</v>
      </c>
      <c r="G185" s="103" t="n">
        <v>2</v>
      </c>
      <c r="H185" s="104" t="n">
        <f aca="false">G185*IF(K185="Antes de sublimar",Supuestos!$B$63*1.125,IFERROR(VLOOKUP(F185,Supuestos!$A$29:$B$56,2,0),Supuestos!$C$17))</f>
        <v>13500</v>
      </c>
      <c r="I185" s="106" t="s">
        <v>17</v>
      </c>
      <c r="J185" s="105" t="s">
        <v>199</v>
      </c>
      <c r="K185" s="106" t="s">
        <v>114</v>
      </c>
    </row>
    <row r="186" customFormat="false" ht="18" hidden="false" customHeight="true" outlineLevel="0" collapsed="false">
      <c r="A186" s="90"/>
      <c r="B186" s="108" t="s">
        <v>587</v>
      </c>
      <c r="C186" s="92" t="s">
        <v>591</v>
      </c>
      <c r="D186" s="108" t="s">
        <v>592</v>
      </c>
      <c r="E186" s="93" t="s">
        <v>593</v>
      </c>
      <c r="F186" s="109" t="s">
        <v>150</v>
      </c>
      <c r="G186" s="95" t="n">
        <v>1</v>
      </c>
      <c r="H186" s="96" t="n">
        <f aca="false">G186*IF(K186="Antes de sublimar",Supuestos!$B$63*1.125,IFERROR(VLOOKUP(F186,Supuestos!$A$29:$B$56,2,0),Supuestos!$C$17))</f>
        <v>6750</v>
      </c>
      <c r="I186" s="108" t="s">
        <v>17</v>
      </c>
      <c r="J186" s="97" t="s">
        <v>195</v>
      </c>
      <c r="K186" s="108" t="s">
        <v>114</v>
      </c>
    </row>
    <row r="187" customFormat="false" ht="18" hidden="false" customHeight="true" outlineLevel="0" collapsed="false">
      <c r="A187" s="98"/>
      <c r="B187" s="106" t="s">
        <v>594</v>
      </c>
      <c r="C187" s="100" t="s">
        <v>595</v>
      </c>
      <c r="D187" s="106" t="s">
        <v>596</v>
      </c>
      <c r="E187" s="101" t="s">
        <v>597</v>
      </c>
      <c r="F187" s="107" t="s">
        <v>150</v>
      </c>
      <c r="G187" s="103" t="n">
        <v>12</v>
      </c>
      <c r="H187" s="104" t="n">
        <f aca="false">G187*IF(K187="Antes de sublimar",Supuestos!$B$63*1.125,IFERROR(VLOOKUP(F187,Supuestos!$A$29:$B$56,2,0),Supuestos!$C$17))</f>
        <v>81000</v>
      </c>
      <c r="I187" s="106" t="s">
        <v>18</v>
      </c>
      <c r="J187" s="105" t="s">
        <v>195</v>
      </c>
      <c r="K187" s="106" t="s">
        <v>114</v>
      </c>
    </row>
    <row r="188" customFormat="false" ht="18" hidden="false" customHeight="true" outlineLevel="0" collapsed="false">
      <c r="A188" s="90"/>
      <c r="B188" s="108" t="s">
        <v>594</v>
      </c>
      <c r="C188" s="92" t="s">
        <v>598</v>
      </c>
      <c r="D188" s="108" t="s">
        <v>599</v>
      </c>
      <c r="E188" s="93" t="s">
        <v>600</v>
      </c>
      <c r="F188" s="109" t="s">
        <v>181</v>
      </c>
      <c r="G188" s="95" t="n">
        <v>70</v>
      </c>
      <c r="H188" s="96" t="n">
        <f aca="false">G188*IF(K188="Antes de sublimar",Supuestos!$B$63*1.125,IFERROR(VLOOKUP(F188,Supuestos!$A$29:$B$56,2,0),Supuestos!$C$17))</f>
        <v>472500</v>
      </c>
      <c r="I188" s="108" t="s">
        <v>18</v>
      </c>
      <c r="J188" s="97" t="s">
        <v>195</v>
      </c>
      <c r="K188" s="108" t="s">
        <v>114</v>
      </c>
    </row>
    <row r="189" customFormat="false" ht="18" hidden="false" customHeight="true" outlineLevel="0" collapsed="false">
      <c r="A189" s="98"/>
      <c r="B189" s="106" t="s">
        <v>594</v>
      </c>
      <c r="C189" s="100" t="s">
        <v>601</v>
      </c>
      <c r="D189" s="106" t="s">
        <v>602</v>
      </c>
      <c r="E189" s="101" t="s">
        <v>603</v>
      </c>
      <c r="F189" s="107" t="s">
        <v>578</v>
      </c>
      <c r="G189" s="103" t="n">
        <v>1</v>
      </c>
      <c r="H189" s="104" t="n">
        <f aca="false">G189*IF(K189="Antes de sublimar",Supuestos!$B$63*1.125,IFERROR(VLOOKUP(F189,Supuestos!$A$29:$B$56,2,0),Supuestos!$C$17))</f>
        <v>6750</v>
      </c>
      <c r="I189" s="106" t="s">
        <v>18</v>
      </c>
      <c r="J189" s="105" t="s">
        <v>195</v>
      </c>
      <c r="K189" s="106" t="s">
        <v>114</v>
      </c>
    </row>
    <row r="190" customFormat="false" ht="18" hidden="false" customHeight="true" outlineLevel="0" collapsed="false">
      <c r="A190" s="90"/>
      <c r="B190" s="108" t="s">
        <v>594</v>
      </c>
      <c r="C190" s="92" t="s">
        <v>604</v>
      </c>
      <c r="D190" s="108" t="s">
        <v>605</v>
      </c>
      <c r="E190" s="93" t="s">
        <v>606</v>
      </c>
      <c r="F190" s="109" t="s">
        <v>181</v>
      </c>
      <c r="G190" s="95" t="n">
        <v>1</v>
      </c>
      <c r="H190" s="96" t="n">
        <f aca="false">G190*IF(K190="Antes de sublimar",Supuestos!$B$63*1.125,IFERROR(VLOOKUP(F190,Supuestos!$A$29:$B$56,2,0),Supuestos!$C$17))</f>
        <v>6750</v>
      </c>
      <c r="I190" s="108" t="s">
        <v>18</v>
      </c>
      <c r="J190" s="97" t="s">
        <v>195</v>
      </c>
      <c r="K190" s="108" t="s">
        <v>114</v>
      </c>
    </row>
    <row r="191" customFormat="false" ht="18" hidden="false" customHeight="true" outlineLevel="0" collapsed="false">
      <c r="A191" s="98"/>
      <c r="B191" s="106" t="s">
        <v>594</v>
      </c>
      <c r="C191" s="100" t="s">
        <v>548</v>
      </c>
      <c r="D191" s="106" t="s">
        <v>549</v>
      </c>
      <c r="E191" s="101" t="s">
        <v>607</v>
      </c>
      <c r="F191" s="107" t="s">
        <v>124</v>
      </c>
      <c r="G191" s="103" t="n">
        <v>1</v>
      </c>
      <c r="H191" s="104" t="n">
        <f aca="false">G191*IF(K191="Antes de sublimar",Supuestos!$B$63*1.125,IFERROR(VLOOKUP(F191,Supuestos!$A$29:$B$56,2,0),Supuestos!$C$17))</f>
        <v>2700</v>
      </c>
      <c r="I191" s="106" t="s">
        <v>18</v>
      </c>
      <c r="J191" s="105" t="s">
        <v>195</v>
      </c>
      <c r="K191" s="106" t="s">
        <v>126</v>
      </c>
    </row>
    <row r="192" customFormat="false" ht="18" hidden="false" customHeight="true" outlineLevel="0" collapsed="false">
      <c r="A192" s="90"/>
      <c r="B192" s="108" t="s">
        <v>608</v>
      </c>
      <c r="C192" s="92" t="s">
        <v>591</v>
      </c>
      <c r="D192" s="108" t="s">
        <v>592</v>
      </c>
      <c r="E192" s="93" t="s">
        <v>609</v>
      </c>
      <c r="F192" s="109" t="s">
        <v>150</v>
      </c>
      <c r="G192" s="95" t="n">
        <v>14</v>
      </c>
      <c r="H192" s="96" t="n">
        <f aca="false">G192*IF(K192="Antes de sublimar",Supuestos!$B$63*1.125,IFERROR(VLOOKUP(F192,Supuestos!$A$29:$B$56,2,0),Supuestos!$C$17))</f>
        <v>94500</v>
      </c>
      <c r="I192" s="108" t="s">
        <v>18</v>
      </c>
      <c r="J192" s="97" t="s">
        <v>195</v>
      </c>
      <c r="K192" s="108" t="s">
        <v>114</v>
      </c>
    </row>
    <row r="193" customFormat="false" ht="18" hidden="false" customHeight="true" outlineLevel="0" collapsed="false">
      <c r="A193" s="98"/>
      <c r="B193" s="106" t="s">
        <v>608</v>
      </c>
      <c r="C193" s="100" t="s">
        <v>610</v>
      </c>
      <c r="D193" s="106" t="s">
        <v>611</v>
      </c>
      <c r="E193" s="101" t="s">
        <v>612</v>
      </c>
      <c r="F193" s="107" t="s">
        <v>172</v>
      </c>
      <c r="G193" s="103" t="n">
        <v>10</v>
      </c>
      <c r="H193" s="104" t="n">
        <f aca="false">G193*IF(K193="Antes de sublimar",Supuestos!$B$63*1.125,IFERROR(VLOOKUP(F193,Supuestos!$A$29:$B$56,2,0),Supuestos!$C$17))</f>
        <v>67500</v>
      </c>
      <c r="I193" s="106" t="s">
        <v>18</v>
      </c>
      <c r="J193" s="105" t="s">
        <v>195</v>
      </c>
      <c r="K193" s="106" t="s">
        <v>114</v>
      </c>
    </row>
    <row r="194" customFormat="false" ht="18" hidden="false" customHeight="true" outlineLevel="0" collapsed="false">
      <c r="A194" s="90"/>
      <c r="B194" s="108" t="s">
        <v>608</v>
      </c>
      <c r="C194" s="92" t="s">
        <v>613</v>
      </c>
      <c r="D194" s="108" t="s">
        <v>614</v>
      </c>
      <c r="E194" s="93" t="s">
        <v>615</v>
      </c>
      <c r="F194" s="109" t="s">
        <v>32</v>
      </c>
      <c r="G194" s="95" t="n">
        <v>1</v>
      </c>
      <c r="H194" s="96" t="n">
        <f aca="false">G194*IF(K194="Antes de sublimar",Supuestos!$B$63*1.125,IFERROR(VLOOKUP(F194,Supuestos!$A$29:$B$56,2,0),Supuestos!$C$17))</f>
        <v>6750</v>
      </c>
      <c r="I194" s="108" t="s">
        <v>18</v>
      </c>
      <c r="J194" s="97" t="s">
        <v>195</v>
      </c>
      <c r="K194" s="108" t="s">
        <v>114</v>
      </c>
    </row>
    <row r="195" customFormat="false" ht="18" hidden="false" customHeight="true" outlineLevel="0" collapsed="false">
      <c r="A195" s="98"/>
      <c r="B195" s="106" t="s">
        <v>616</v>
      </c>
      <c r="C195" s="100" t="s">
        <v>617</v>
      </c>
      <c r="D195" s="106" t="s">
        <v>618</v>
      </c>
      <c r="E195" s="101" t="s">
        <v>619</v>
      </c>
      <c r="F195" s="107" t="s">
        <v>32</v>
      </c>
      <c r="G195" s="103" t="n">
        <v>2</v>
      </c>
      <c r="H195" s="104" t="n">
        <f aca="false">G195*IF(K195="Antes de sublimar",Supuestos!$B$63*1.125,IFERROR(VLOOKUP(F195,Supuestos!$A$29:$B$56,2,0),Supuestos!$C$17))</f>
        <v>13500</v>
      </c>
      <c r="I195" s="106" t="s">
        <v>18</v>
      </c>
      <c r="J195" s="105" t="s">
        <v>195</v>
      </c>
      <c r="K195" s="106" t="s">
        <v>114</v>
      </c>
    </row>
    <row r="196" customFormat="false" ht="18" hidden="false" customHeight="true" outlineLevel="0" collapsed="false">
      <c r="A196" s="90"/>
      <c r="B196" s="108" t="s">
        <v>616</v>
      </c>
      <c r="C196" s="92" t="s">
        <v>620</v>
      </c>
      <c r="D196" s="108" t="s">
        <v>621</v>
      </c>
      <c r="E196" s="93" t="s">
        <v>622</v>
      </c>
      <c r="F196" s="109" t="s">
        <v>32</v>
      </c>
      <c r="G196" s="95" t="n">
        <v>1</v>
      </c>
      <c r="H196" s="96" t="n">
        <f aca="false">G196*IF(K196="Antes de sublimar",Supuestos!$B$63*1.125,IFERROR(VLOOKUP(F196,Supuestos!$A$29:$B$56,2,0),Supuestos!$C$17))</f>
        <v>6750</v>
      </c>
      <c r="I196" s="108" t="s">
        <v>18</v>
      </c>
      <c r="J196" s="97" t="s">
        <v>195</v>
      </c>
      <c r="K196" s="108" t="s">
        <v>114</v>
      </c>
    </row>
    <row r="197" customFormat="false" ht="18" hidden="false" customHeight="true" outlineLevel="0" collapsed="false">
      <c r="A197" s="98"/>
      <c r="B197" s="106" t="s">
        <v>616</v>
      </c>
      <c r="C197" s="100" t="s">
        <v>598</v>
      </c>
      <c r="D197" s="106" t="s">
        <v>599</v>
      </c>
      <c r="E197" s="101" t="s">
        <v>623</v>
      </c>
      <c r="F197" s="107" t="s">
        <v>32</v>
      </c>
      <c r="G197" s="103" t="n">
        <v>1</v>
      </c>
      <c r="H197" s="104" t="n">
        <f aca="false">G197*IF(K197="Antes de sublimar",Supuestos!$B$63*1.125,IFERROR(VLOOKUP(F197,Supuestos!$A$29:$B$56,2,0),Supuestos!$C$17))</f>
        <v>6750</v>
      </c>
      <c r="I197" s="106" t="s">
        <v>18</v>
      </c>
      <c r="J197" s="105" t="s">
        <v>195</v>
      </c>
      <c r="K197" s="106" t="s">
        <v>114</v>
      </c>
    </row>
    <row r="198" customFormat="false" ht="18" hidden="false" customHeight="true" outlineLevel="0" collapsed="false">
      <c r="A198" s="90"/>
      <c r="B198" s="108" t="s">
        <v>624</v>
      </c>
      <c r="C198" s="92" t="s">
        <v>625</v>
      </c>
      <c r="D198" s="108" t="s">
        <v>611</v>
      </c>
      <c r="E198" s="93" t="s">
        <v>626</v>
      </c>
      <c r="F198" s="109" t="s">
        <v>181</v>
      </c>
      <c r="G198" s="95" t="n">
        <v>1</v>
      </c>
      <c r="H198" s="96" t="n">
        <f aca="false">G198*IF(K198="Antes de sublimar",Supuestos!$B$63*1.125,IFERROR(VLOOKUP(F198,Supuestos!$A$29:$B$56,2,0),Supuestos!$C$17))</f>
        <v>6750</v>
      </c>
      <c r="I198" s="108" t="s">
        <v>18</v>
      </c>
      <c r="J198" s="97" t="s">
        <v>195</v>
      </c>
      <c r="K198" s="108" t="s">
        <v>114</v>
      </c>
    </row>
    <row r="199" customFormat="false" ht="18" hidden="false" customHeight="true" outlineLevel="0" collapsed="false">
      <c r="A199" s="98"/>
      <c r="B199" s="106" t="s">
        <v>624</v>
      </c>
      <c r="C199" s="100" t="s">
        <v>627</v>
      </c>
      <c r="D199" s="106" t="s">
        <v>628</v>
      </c>
      <c r="E199" s="101" t="s">
        <v>629</v>
      </c>
      <c r="F199" s="107" t="s">
        <v>31</v>
      </c>
      <c r="G199" s="103" t="n">
        <v>1</v>
      </c>
      <c r="H199" s="104" t="n">
        <f aca="false">G199*IF(K199="Antes de sublimar",Supuestos!$B$63*1.125,IFERROR(VLOOKUP(F199,Supuestos!$A$29:$B$56,2,0),Supuestos!$C$17))</f>
        <v>6750</v>
      </c>
      <c r="I199" s="106" t="s">
        <v>18</v>
      </c>
      <c r="J199" s="105" t="s">
        <v>195</v>
      </c>
      <c r="K199" s="106" t="s">
        <v>114</v>
      </c>
    </row>
    <row r="200" customFormat="false" ht="18" hidden="false" customHeight="true" outlineLevel="0" collapsed="false">
      <c r="A200" s="90"/>
      <c r="B200" s="108" t="s">
        <v>630</v>
      </c>
      <c r="C200" s="92" t="s">
        <v>631</v>
      </c>
      <c r="D200" s="108" t="s">
        <v>632</v>
      </c>
      <c r="E200" s="93" t="s">
        <v>633</v>
      </c>
      <c r="F200" s="109" t="s">
        <v>32</v>
      </c>
      <c r="G200" s="95" t="n">
        <v>1</v>
      </c>
      <c r="H200" s="96" t="n">
        <f aca="false">G200*IF(K200="Antes de sublimar",Supuestos!$B$63*1.125,IFERROR(VLOOKUP(F200,Supuestos!$A$29:$B$56,2,0),Supuestos!$C$17))</f>
        <v>6750</v>
      </c>
      <c r="I200" s="108" t="s">
        <v>18</v>
      </c>
      <c r="J200" s="97" t="s">
        <v>195</v>
      </c>
      <c r="K200" s="108" t="s">
        <v>114</v>
      </c>
    </row>
    <row r="201" customFormat="false" ht="18" hidden="false" customHeight="true" outlineLevel="0" collapsed="false">
      <c r="A201" s="98"/>
      <c r="B201" s="106" t="s">
        <v>630</v>
      </c>
      <c r="C201" s="100" t="s">
        <v>425</v>
      </c>
      <c r="D201" s="106" t="s">
        <v>632</v>
      </c>
      <c r="E201" s="101" t="s">
        <v>634</v>
      </c>
      <c r="F201" s="107" t="s">
        <v>147</v>
      </c>
      <c r="G201" s="103" t="n">
        <v>2</v>
      </c>
      <c r="H201" s="104" t="n">
        <f aca="false">G201*IF(K201="Antes de sublimar",Supuestos!$B$63*1.125,IFERROR(VLOOKUP(F201,Supuestos!$A$29:$B$56,2,0),Supuestos!$C$17))</f>
        <v>13500</v>
      </c>
      <c r="I201" s="106" t="s">
        <v>18</v>
      </c>
      <c r="J201" s="105" t="s">
        <v>195</v>
      </c>
      <c r="K201" s="106" t="s">
        <v>114</v>
      </c>
    </row>
    <row r="202" customFormat="false" ht="18" hidden="false" customHeight="true" outlineLevel="0" collapsed="false">
      <c r="A202" s="90"/>
      <c r="B202" s="108" t="s">
        <v>635</v>
      </c>
      <c r="C202" s="92" t="s">
        <v>636</v>
      </c>
      <c r="D202" s="108" t="s">
        <v>637</v>
      </c>
      <c r="E202" s="93" t="s">
        <v>638</v>
      </c>
      <c r="F202" s="109" t="s">
        <v>31</v>
      </c>
      <c r="G202" s="95" t="n">
        <v>1</v>
      </c>
      <c r="H202" s="96" t="n">
        <f aca="false">G202*IF(K202="Antes de sublimar",Supuestos!$B$63*1.125,IFERROR(VLOOKUP(F202,Supuestos!$A$29:$B$56,2,0),Supuestos!$C$17))</f>
        <v>6750</v>
      </c>
      <c r="I202" s="108" t="s">
        <v>18</v>
      </c>
      <c r="J202" s="97" t="s">
        <v>195</v>
      </c>
      <c r="K202" s="108" t="s">
        <v>114</v>
      </c>
    </row>
    <row r="203" customFormat="false" ht="18" hidden="false" customHeight="true" outlineLevel="0" collapsed="false">
      <c r="A203" s="98"/>
      <c r="B203" s="106" t="s">
        <v>630</v>
      </c>
      <c r="C203" s="100" t="s">
        <v>639</v>
      </c>
      <c r="D203" s="106" t="s">
        <v>632</v>
      </c>
      <c r="E203" s="101" t="s">
        <v>640</v>
      </c>
      <c r="F203" s="107" t="s">
        <v>204</v>
      </c>
      <c r="G203" s="103" t="n">
        <v>5</v>
      </c>
      <c r="H203" s="104" t="n">
        <f aca="false">G203*IF(K203="Antes de sublimar",Supuestos!$B$63*1.125,IFERROR(VLOOKUP(F203,Supuestos!$A$29:$B$56,2,0),Supuestos!$C$17))</f>
        <v>33750</v>
      </c>
      <c r="I203" s="106" t="s">
        <v>18</v>
      </c>
      <c r="J203" s="105" t="s">
        <v>199</v>
      </c>
      <c r="K203" s="106" t="s">
        <v>114</v>
      </c>
    </row>
    <row r="204" customFormat="false" ht="18" hidden="false" customHeight="true" outlineLevel="0" collapsed="false">
      <c r="A204" s="90"/>
      <c r="B204" s="108" t="s">
        <v>635</v>
      </c>
      <c r="C204" s="92" t="s">
        <v>583</v>
      </c>
      <c r="D204" s="108" t="s">
        <v>641</v>
      </c>
      <c r="E204" s="93" t="s">
        <v>642</v>
      </c>
      <c r="F204" s="109" t="s">
        <v>32</v>
      </c>
      <c r="G204" s="95" t="n">
        <v>1</v>
      </c>
      <c r="H204" s="96" t="n">
        <f aca="false">G204*IF(K204="Antes de sublimar",Supuestos!$B$63*1.125,IFERROR(VLOOKUP(F204,Supuestos!$A$29:$B$56,2,0),Supuestos!$C$17))</f>
        <v>6750</v>
      </c>
      <c r="I204" s="108" t="s">
        <v>18</v>
      </c>
      <c r="J204" s="97" t="s">
        <v>195</v>
      </c>
      <c r="K204" s="108" t="s">
        <v>114</v>
      </c>
    </row>
    <row r="205" customFormat="false" ht="18" hidden="false" customHeight="true" outlineLevel="0" collapsed="false">
      <c r="A205" s="98"/>
      <c r="B205" s="106" t="s">
        <v>635</v>
      </c>
      <c r="C205" s="100" t="s">
        <v>643</v>
      </c>
      <c r="D205" s="106" t="s">
        <v>188</v>
      </c>
      <c r="E205" s="101" t="s">
        <v>644</v>
      </c>
      <c r="F205" s="107" t="s">
        <v>32</v>
      </c>
      <c r="G205" s="103" t="n">
        <v>1</v>
      </c>
      <c r="H205" s="104" t="n">
        <f aca="false">G205*IF(K205="Antes de sublimar",Supuestos!$B$63*1.125,IFERROR(VLOOKUP(F205,Supuestos!$A$29:$B$56,2,0),Supuestos!$C$17))</f>
        <v>6750</v>
      </c>
      <c r="I205" s="106" t="s">
        <v>18</v>
      </c>
      <c r="J205" s="105" t="s">
        <v>199</v>
      </c>
      <c r="K205" s="106" t="s">
        <v>114</v>
      </c>
    </row>
    <row r="206" customFormat="false" ht="18" hidden="false" customHeight="true" outlineLevel="0" collapsed="false">
      <c r="A206" s="90"/>
      <c r="B206" s="108" t="s">
        <v>645</v>
      </c>
      <c r="C206" s="92" t="s">
        <v>646</v>
      </c>
      <c r="D206" s="108" t="s">
        <v>188</v>
      </c>
      <c r="E206" s="93" t="s">
        <v>647</v>
      </c>
      <c r="F206" s="109" t="s">
        <v>181</v>
      </c>
      <c r="G206" s="95" t="n">
        <v>1</v>
      </c>
      <c r="H206" s="96" t="n">
        <f aca="false">G206*IF(K206="Antes de sublimar",Supuestos!$B$63*1.125,IFERROR(VLOOKUP(F206,Supuestos!$A$29:$B$56,2,0),Supuestos!$C$17))</f>
        <v>6750</v>
      </c>
      <c r="I206" s="108" t="s">
        <v>18</v>
      </c>
      <c r="J206" s="97" t="s">
        <v>195</v>
      </c>
      <c r="K206" s="108" t="s">
        <v>114</v>
      </c>
    </row>
    <row r="207" customFormat="false" ht="18" hidden="false" customHeight="true" outlineLevel="0" collapsed="false">
      <c r="A207" s="98"/>
      <c r="B207" s="106" t="s">
        <v>645</v>
      </c>
      <c r="C207" s="100" t="s">
        <v>625</v>
      </c>
      <c r="D207" s="106" t="s">
        <v>611</v>
      </c>
      <c r="E207" s="101" t="s">
        <v>648</v>
      </c>
      <c r="F207" s="107" t="s">
        <v>150</v>
      </c>
      <c r="G207" s="103" t="n">
        <v>1</v>
      </c>
      <c r="H207" s="104" t="n">
        <f aca="false">G207*IF(K207="Antes de sublimar",Supuestos!$B$63*1.125,IFERROR(VLOOKUP(F207,Supuestos!$A$29:$B$56,2,0),Supuestos!$C$17))</f>
        <v>6750</v>
      </c>
      <c r="I207" s="106" t="s">
        <v>18</v>
      </c>
      <c r="J207" s="105" t="s">
        <v>195</v>
      </c>
      <c r="K207" s="106" t="s">
        <v>114</v>
      </c>
    </row>
    <row r="208" customFormat="false" ht="18" hidden="false" customHeight="true" outlineLevel="0" collapsed="false">
      <c r="A208" s="90"/>
      <c r="B208" s="108" t="s">
        <v>645</v>
      </c>
      <c r="C208" s="92" t="s">
        <v>649</v>
      </c>
      <c r="D208" s="108" t="s">
        <v>650</v>
      </c>
      <c r="E208" s="93" t="s">
        <v>651</v>
      </c>
      <c r="F208" s="109" t="s">
        <v>31</v>
      </c>
      <c r="G208" s="95" t="n">
        <v>10</v>
      </c>
      <c r="H208" s="96" t="n">
        <f aca="false">G208*IF(K208="Antes de sublimar",Supuestos!$B$63*1.125,IFERROR(VLOOKUP(F208,Supuestos!$A$29:$B$56,2,0),Supuestos!$C$17))</f>
        <v>67500</v>
      </c>
      <c r="I208" s="108" t="s">
        <v>18</v>
      </c>
      <c r="J208" s="97" t="s">
        <v>212</v>
      </c>
      <c r="K208" s="108" t="s">
        <v>114</v>
      </c>
    </row>
    <row r="209" customFormat="false" ht="18" hidden="false" customHeight="true" outlineLevel="0" collapsed="false">
      <c r="A209" s="98"/>
      <c r="B209" s="106" t="s">
        <v>645</v>
      </c>
      <c r="C209" s="100" t="s">
        <v>646</v>
      </c>
      <c r="D209" s="106" t="s">
        <v>188</v>
      </c>
      <c r="E209" s="101" t="s">
        <v>652</v>
      </c>
      <c r="F209" s="107" t="s">
        <v>31</v>
      </c>
      <c r="G209" s="103" t="n">
        <v>1</v>
      </c>
      <c r="H209" s="104" t="n">
        <f aca="false">G209*IF(K209="Antes de sublimar",Supuestos!$B$63*1.125,IFERROR(VLOOKUP(F209,Supuestos!$A$29:$B$56,2,0),Supuestos!$C$17))</f>
        <v>2700</v>
      </c>
      <c r="I209" s="106" t="s">
        <v>18</v>
      </c>
      <c r="J209" s="105" t="s">
        <v>195</v>
      </c>
      <c r="K209" s="106" t="s">
        <v>126</v>
      </c>
    </row>
    <row r="210" customFormat="false" ht="18" hidden="false" customHeight="true" outlineLevel="0" collapsed="false">
      <c r="A210" s="90"/>
      <c r="B210" s="108" t="s">
        <v>653</v>
      </c>
      <c r="C210" s="92" t="s">
        <v>583</v>
      </c>
      <c r="D210" s="108" t="s">
        <v>641</v>
      </c>
      <c r="E210" s="93" t="s">
        <v>654</v>
      </c>
      <c r="F210" s="109" t="s">
        <v>150</v>
      </c>
      <c r="G210" s="95" t="n">
        <v>1</v>
      </c>
      <c r="H210" s="96" t="n">
        <f aca="false">G210*IF(K210="Antes de sublimar",Supuestos!$B$63*1.125,IFERROR(VLOOKUP(F210,Supuestos!$A$29:$B$56,2,0),Supuestos!$C$17))</f>
        <v>6750</v>
      </c>
      <c r="I210" s="108" t="s">
        <v>18</v>
      </c>
      <c r="J210" s="97" t="s">
        <v>195</v>
      </c>
      <c r="K210" s="108" t="s">
        <v>114</v>
      </c>
    </row>
    <row r="211" customFormat="false" ht="18" hidden="false" customHeight="true" outlineLevel="0" collapsed="false">
      <c r="A211" s="98"/>
      <c r="B211" s="106" t="s">
        <v>653</v>
      </c>
      <c r="C211" s="100" t="s">
        <v>613</v>
      </c>
      <c r="D211" s="106" t="s">
        <v>188</v>
      </c>
      <c r="E211" s="101" t="s">
        <v>655</v>
      </c>
      <c r="F211" s="107" t="s">
        <v>31</v>
      </c>
      <c r="G211" s="103" t="n">
        <v>1</v>
      </c>
      <c r="H211" s="104" t="n">
        <f aca="false">G211*IF(K211="Antes de sublimar",Supuestos!$B$63*1.125,IFERROR(VLOOKUP(F211,Supuestos!$A$29:$B$56,2,0),Supuestos!$C$17))</f>
        <v>2700</v>
      </c>
      <c r="I211" s="106" t="s">
        <v>18</v>
      </c>
      <c r="J211" s="105" t="s">
        <v>195</v>
      </c>
      <c r="K211" s="106" t="s">
        <v>126</v>
      </c>
    </row>
    <row r="212" customFormat="false" ht="18" hidden="false" customHeight="true" outlineLevel="0" collapsed="false">
      <c r="A212" s="90"/>
      <c r="B212" s="108" t="s">
        <v>653</v>
      </c>
      <c r="C212" s="92" t="s">
        <v>656</v>
      </c>
      <c r="D212" s="108" t="s">
        <v>637</v>
      </c>
      <c r="E212" s="93" t="s">
        <v>657</v>
      </c>
      <c r="F212" s="109" t="s">
        <v>31</v>
      </c>
      <c r="G212" s="95" t="n">
        <v>1</v>
      </c>
      <c r="H212" s="96" t="n">
        <f aca="false">G212*IF(K212="Antes de sublimar",Supuestos!$B$63*1.125,IFERROR(VLOOKUP(F212,Supuestos!$A$29:$B$56,2,0),Supuestos!$C$17))</f>
        <v>6750</v>
      </c>
      <c r="I212" s="108" t="s">
        <v>18</v>
      </c>
      <c r="J212" s="97" t="s">
        <v>195</v>
      </c>
      <c r="K212" s="108" t="s">
        <v>114</v>
      </c>
    </row>
    <row r="213" customFormat="false" ht="18" hidden="false" customHeight="true" outlineLevel="0" collapsed="false">
      <c r="A213" s="98"/>
      <c r="B213" s="106" t="s">
        <v>658</v>
      </c>
      <c r="C213" s="100" t="s">
        <v>659</v>
      </c>
      <c r="D213" s="106" t="s">
        <v>660</v>
      </c>
      <c r="E213" s="101" t="s">
        <v>661</v>
      </c>
      <c r="F213" s="107" t="s">
        <v>31</v>
      </c>
      <c r="G213" s="103" t="n">
        <v>5</v>
      </c>
      <c r="H213" s="104" t="n">
        <f aca="false">G213*IF(K213="Antes de sublimar",Supuestos!$B$63*1.125,IFERROR(VLOOKUP(F213,Supuestos!$A$29:$B$56,2,0),Supuestos!$C$17))</f>
        <v>13500</v>
      </c>
      <c r="I213" s="106" t="s">
        <v>18</v>
      </c>
      <c r="J213" s="105" t="s">
        <v>195</v>
      </c>
      <c r="K213" s="106" t="s">
        <v>126</v>
      </c>
    </row>
    <row r="214" customFormat="false" ht="18" hidden="false" customHeight="true" outlineLevel="0" collapsed="false">
      <c r="A214" s="90"/>
      <c r="B214" s="108" t="s">
        <v>658</v>
      </c>
      <c r="C214" s="92" t="s">
        <v>662</v>
      </c>
      <c r="D214" s="108" t="s">
        <v>663</v>
      </c>
      <c r="E214" s="93" t="s">
        <v>664</v>
      </c>
      <c r="F214" s="109" t="s">
        <v>147</v>
      </c>
      <c r="G214" s="95" t="n">
        <v>12</v>
      </c>
      <c r="H214" s="96" t="n">
        <f aca="false">G214*IF(K214="Antes de sublimar",Supuestos!$B$63*1.125,IFERROR(VLOOKUP(F214,Supuestos!$A$29:$B$56,2,0),Supuestos!$C$17))</f>
        <v>81000</v>
      </c>
      <c r="I214" s="108" t="s">
        <v>18</v>
      </c>
      <c r="J214" s="97" t="s">
        <v>195</v>
      </c>
      <c r="K214" s="108" t="s">
        <v>114</v>
      </c>
    </row>
    <row r="215" customFormat="false" ht="18" hidden="false" customHeight="true" outlineLevel="0" collapsed="false">
      <c r="A215" s="98"/>
      <c r="B215" s="106" t="s">
        <v>658</v>
      </c>
      <c r="C215" s="100" t="s">
        <v>665</v>
      </c>
      <c r="D215" s="106" t="s">
        <v>666</v>
      </c>
      <c r="E215" s="101" t="s">
        <v>667</v>
      </c>
      <c r="F215" s="107" t="s">
        <v>31</v>
      </c>
      <c r="G215" s="103" t="n">
        <v>12</v>
      </c>
      <c r="H215" s="104" t="n">
        <f aca="false">G215*IF(K215="Antes de sublimar",Supuestos!$B$63*1.125,IFERROR(VLOOKUP(F215,Supuestos!$A$29:$B$56,2,0),Supuestos!$C$17))</f>
        <v>32400</v>
      </c>
      <c r="I215" s="106" t="s">
        <v>18</v>
      </c>
      <c r="J215" s="105" t="s">
        <v>195</v>
      </c>
      <c r="K215" s="106" t="s">
        <v>126</v>
      </c>
    </row>
    <row r="216" customFormat="false" ht="18" hidden="false" customHeight="true" outlineLevel="0" collapsed="false">
      <c r="A216" s="90"/>
      <c r="B216" s="108" t="s">
        <v>668</v>
      </c>
      <c r="C216" s="92" t="s">
        <v>669</v>
      </c>
      <c r="D216" s="108" t="s">
        <v>666</v>
      </c>
      <c r="E216" s="93" t="s">
        <v>670</v>
      </c>
      <c r="F216" s="109" t="s">
        <v>32</v>
      </c>
      <c r="G216" s="95" t="n">
        <v>1</v>
      </c>
      <c r="H216" s="96" t="n">
        <f aca="false">G216*IF(K216="Antes de sublimar",Supuestos!$B$63*1.125,IFERROR(VLOOKUP(F216,Supuestos!$A$29:$B$56,2,0),Supuestos!$C$17))</f>
        <v>6750</v>
      </c>
      <c r="I216" s="108" t="s">
        <v>18</v>
      </c>
      <c r="J216" s="97" t="s">
        <v>195</v>
      </c>
      <c r="K216" s="108" t="s">
        <v>114</v>
      </c>
    </row>
    <row r="217" customFormat="false" ht="18" hidden="false" customHeight="true" outlineLevel="0" collapsed="false">
      <c r="A217" s="98"/>
      <c r="B217" s="106" t="s">
        <v>668</v>
      </c>
      <c r="C217" s="100" t="s">
        <v>671</v>
      </c>
      <c r="D217" s="106" t="s">
        <v>672</v>
      </c>
      <c r="E217" s="101" t="s">
        <v>673</v>
      </c>
      <c r="F217" s="107" t="s">
        <v>181</v>
      </c>
      <c r="G217" s="103" t="n">
        <v>31</v>
      </c>
      <c r="H217" s="104" t="n">
        <f aca="false">G217*IF(K217="Antes de sublimar",Supuestos!$B$63*1.125,IFERROR(VLOOKUP(F217,Supuestos!$A$29:$B$56,2,0),Supuestos!$C$17))</f>
        <v>209250</v>
      </c>
      <c r="I217" s="106" t="s">
        <v>18</v>
      </c>
      <c r="J217" s="105" t="s">
        <v>195</v>
      </c>
      <c r="K217" s="106" t="s">
        <v>114</v>
      </c>
    </row>
    <row r="218" customFormat="false" ht="18" hidden="false" customHeight="true" outlineLevel="0" collapsed="false">
      <c r="A218" s="90"/>
      <c r="B218" s="108" t="s">
        <v>674</v>
      </c>
      <c r="C218" s="92" t="s">
        <v>675</v>
      </c>
      <c r="D218" s="108" t="s">
        <v>188</v>
      </c>
      <c r="E218" s="93" t="s">
        <v>676</v>
      </c>
      <c r="F218" s="109" t="s">
        <v>147</v>
      </c>
      <c r="G218" s="95" t="n">
        <v>4</v>
      </c>
      <c r="H218" s="96" t="n">
        <f aca="false">G218*IF(K218="Antes de sublimar",Supuestos!$B$63*1.125,IFERROR(VLOOKUP(F218,Supuestos!$A$29:$B$56,2,0),Supuestos!$C$17))</f>
        <v>27000</v>
      </c>
      <c r="I218" s="108" t="s">
        <v>18</v>
      </c>
      <c r="J218" s="97" t="s">
        <v>199</v>
      </c>
      <c r="K218" s="108" t="s">
        <v>114</v>
      </c>
    </row>
    <row r="219" customFormat="false" ht="18" hidden="false" customHeight="true" outlineLevel="0" collapsed="false">
      <c r="A219" s="98"/>
      <c r="B219" s="106" t="s">
        <v>674</v>
      </c>
      <c r="C219" s="100" t="s">
        <v>677</v>
      </c>
      <c r="D219" s="106" t="s">
        <v>188</v>
      </c>
      <c r="E219" s="101" t="s">
        <v>678</v>
      </c>
      <c r="F219" s="107" t="s">
        <v>32</v>
      </c>
      <c r="G219" s="103" t="n">
        <v>1</v>
      </c>
      <c r="H219" s="104" t="n">
        <f aca="false">G219*IF(K219="Antes de sublimar",Supuestos!$B$63*1.125,IFERROR(VLOOKUP(F219,Supuestos!$A$29:$B$56,2,0),Supuestos!$C$17))</f>
        <v>6750</v>
      </c>
      <c r="I219" s="106" t="s">
        <v>18</v>
      </c>
      <c r="J219" s="105" t="s">
        <v>199</v>
      </c>
      <c r="K219" s="106" t="s">
        <v>114</v>
      </c>
    </row>
    <row r="220" customFormat="false" ht="18" hidden="false" customHeight="true" outlineLevel="0" collapsed="false">
      <c r="A220" s="90"/>
      <c r="B220" s="108" t="s">
        <v>674</v>
      </c>
      <c r="C220" s="92" t="s">
        <v>679</v>
      </c>
      <c r="D220" s="108" t="s">
        <v>188</v>
      </c>
      <c r="E220" s="93" t="s">
        <v>680</v>
      </c>
      <c r="F220" s="109" t="s">
        <v>32</v>
      </c>
      <c r="G220" s="95" t="n">
        <v>1</v>
      </c>
      <c r="H220" s="96" t="n">
        <f aca="false">G220*IF(K220="Antes de sublimar",Supuestos!$B$63*1.125,IFERROR(VLOOKUP(F220,Supuestos!$A$29:$B$56,2,0),Supuestos!$C$17))</f>
        <v>6750</v>
      </c>
      <c r="I220" s="108" t="s">
        <v>18</v>
      </c>
      <c r="J220" s="97" t="s">
        <v>199</v>
      </c>
      <c r="K220" s="108" t="s">
        <v>114</v>
      </c>
    </row>
    <row r="221" customFormat="false" ht="18" hidden="false" customHeight="true" outlineLevel="0" collapsed="false">
      <c r="A221" s="98"/>
      <c r="B221" s="106" t="s">
        <v>674</v>
      </c>
      <c r="C221" s="100" t="s">
        <v>497</v>
      </c>
      <c r="D221" s="106" t="s">
        <v>681</v>
      </c>
      <c r="E221" s="101" t="s">
        <v>682</v>
      </c>
      <c r="F221" s="107" t="s">
        <v>578</v>
      </c>
      <c r="G221" s="103" t="n">
        <v>58</v>
      </c>
      <c r="H221" s="104" t="n">
        <f aca="false">G221*IF(K221="Antes de sublimar",Supuestos!$B$63*1.125,IFERROR(VLOOKUP(F221,Supuestos!$A$29:$B$56,2,0),Supuestos!$C$17))</f>
        <v>391500</v>
      </c>
      <c r="I221" s="106" t="s">
        <v>18</v>
      </c>
      <c r="J221" s="105" t="s">
        <v>683</v>
      </c>
      <c r="K221" s="106" t="s">
        <v>114</v>
      </c>
    </row>
    <row r="222" customFormat="false" ht="18" hidden="false" customHeight="true" outlineLevel="0" collapsed="false">
      <c r="A222" s="90"/>
      <c r="B222" s="108" t="s">
        <v>684</v>
      </c>
      <c r="C222" s="92" t="s">
        <v>685</v>
      </c>
      <c r="D222" s="108" t="s">
        <v>686</v>
      </c>
      <c r="E222" s="93" t="s">
        <v>687</v>
      </c>
      <c r="F222" s="109" t="s">
        <v>147</v>
      </c>
      <c r="G222" s="95" t="n">
        <v>50</v>
      </c>
      <c r="H222" s="96" t="n">
        <f aca="false">G222*IF(K222="Antes de sublimar",Supuestos!$B$63*1.125,IFERROR(VLOOKUP(F222,Supuestos!$A$29:$B$56,2,0),Supuestos!$C$17))</f>
        <v>337500</v>
      </c>
      <c r="I222" s="108" t="s">
        <v>18</v>
      </c>
      <c r="J222" s="97" t="s">
        <v>212</v>
      </c>
      <c r="K222" s="108" t="s">
        <v>114</v>
      </c>
    </row>
    <row r="223" customFormat="false" ht="18" hidden="false" customHeight="true" outlineLevel="0" collapsed="false">
      <c r="A223" s="98"/>
      <c r="B223" s="106" t="s">
        <v>684</v>
      </c>
      <c r="C223" s="100" t="s">
        <v>688</v>
      </c>
      <c r="D223" s="106" t="s">
        <v>689</v>
      </c>
      <c r="E223" s="101" t="s">
        <v>690</v>
      </c>
      <c r="F223" s="107" t="s">
        <v>172</v>
      </c>
      <c r="G223" s="103" t="n">
        <v>1</v>
      </c>
      <c r="H223" s="104" t="n">
        <f aca="false">G223*IF(K223="Antes de sublimar",Supuestos!$B$63*1.125,IFERROR(VLOOKUP(F223,Supuestos!$A$29:$B$56,2,0),Supuestos!$C$17))</f>
        <v>6750</v>
      </c>
      <c r="I223" s="106" t="s">
        <v>18</v>
      </c>
      <c r="J223" s="105" t="s">
        <v>195</v>
      </c>
      <c r="K223" s="106" t="s">
        <v>114</v>
      </c>
    </row>
    <row r="224" customFormat="false" ht="18" hidden="false" customHeight="true" outlineLevel="0" collapsed="false">
      <c r="A224" s="90"/>
      <c r="B224" s="108" t="s">
        <v>691</v>
      </c>
      <c r="C224" s="92" t="s">
        <v>692</v>
      </c>
      <c r="D224" s="108" t="s">
        <v>188</v>
      </c>
      <c r="E224" s="93" t="s">
        <v>693</v>
      </c>
      <c r="F224" s="109" t="s">
        <v>147</v>
      </c>
      <c r="G224" s="95" t="n">
        <v>3</v>
      </c>
      <c r="H224" s="96" t="n">
        <f aca="false">G224*IF(K224="Antes de sublimar",Supuestos!$B$63*1.125,IFERROR(VLOOKUP(F224,Supuestos!$A$29:$B$56,2,0),Supuestos!$C$17))</f>
        <v>20250</v>
      </c>
      <c r="I224" s="108" t="s">
        <v>18</v>
      </c>
      <c r="J224" s="97" t="s">
        <v>199</v>
      </c>
      <c r="K224" s="108" t="s">
        <v>114</v>
      </c>
    </row>
    <row r="225" customFormat="false" ht="18" hidden="false" customHeight="true" outlineLevel="0" collapsed="false">
      <c r="A225" s="98"/>
      <c r="B225" s="106" t="s">
        <v>691</v>
      </c>
      <c r="C225" s="100" t="s">
        <v>694</v>
      </c>
      <c r="D225" s="106" t="s">
        <v>695</v>
      </c>
      <c r="E225" s="101" t="s">
        <v>696</v>
      </c>
      <c r="F225" s="107" t="s">
        <v>172</v>
      </c>
      <c r="G225" s="103" t="n">
        <v>1</v>
      </c>
      <c r="H225" s="104" t="n">
        <f aca="false">G225*IF(K225="Antes de sublimar",Supuestos!$B$63*1.125,IFERROR(VLOOKUP(F225,Supuestos!$A$29:$B$56,2,0),Supuestos!$C$17))</f>
        <v>6750</v>
      </c>
      <c r="I225" s="106" t="s">
        <v>18</v>
      </c>
      <c r="J225" s="105" t="s">
        <v>195</v>
      </c>
      <c r="K225" s="106" t="s">
        <v>114</v>
      </c>
    </row>
    <row r="226" customFormat="false" ht="18" hidden="false" customHeight="true" outlineLevel="0" collapsed="false">
      <c r="A226" s="90"/>
      <c r="B226" s="108" t="s">
        <v>697</v>
      </c>
      <c r="C226" s="92" t="s">
        <v>698</v>
      </c>
      <c r="D226" s="108" t="s">
        <v>699</v>
      </c>
      <c r="E226" s="93" t="s">
        <v>700</v>
      </c>
      <c r="F226" s="109" t="s">
        <v>150</v>
      </c>
      <c r="G226" s="95" t="n">
        <v>1</v>
      </c>
      <c r="H226" s="96" t="n">
        <f aca="false">G226*IF(K226="Antes de sublimar",Supuestos!$B$63*1.125,IFERROR(VLOOKUP(F226,Supuestos!$A$29:$B$56,2,0),Supuestos!$C$17))</f>
        <v>6750</v>
      </c>
      <c r="I226" s="108" t="s">
        <v>18</v>
      </c>
      <c r="J226" s="97" t="s">
        <v>195</v>
      </c>
      <c r="K226" s="108" t="s">
        <v>114</v>
      </c>
    </row>
    <row r="227" customFormat="false" ht="18" hidden="false" customHeight="true" outlineLevel="0" collapsed="false">
      <c r="A227" s="98"/>
      <c r="B227" s="106" t="s">
        <v>701</v>
      </c>
      <c r="C227" s="100" t="s">
        <v>702</v>
      </c>
      <c r="D227" s="106" t="s">
        <v>188</v>
      </c>
      <c r="E227" s="101" t="s">
        <v>703</v>
      </c>
      <c r="F227" s="107" t="s">
        <v>32</v>
      </c>
      <c r="G227" s="103" t="n">
        <v>4</v>
      </c>
      <c r="H227" s="104" t="n">
        <f aca="false">G227*IF(K227="Antes de sublimar",Supuestos!$B$63*1.125,IFERROR(VLOOKUP(F227,Supuestos!$A$29:$B$56,2,0),Supuestos!$C$17))</f>
        <v>27000</v>
      </c>
      <c r="I227" s="106" t="s">
        <v>18</v>
      </c>
      <c r="J227" s="105" t="s">
        <v>199</v>
      </c>
      <c r="K227" s="106" t="s">
        <v>114</v>
      </c>
    </row>
    <row r="228" customFormat="false" ht="18" hidden="false" customHeight="true" outlineLevel="0" collapsed="false">
      <c r="A228" s="90"/>
      <c r="B228" s="108" t="s">
        <v>701</v>
      </c>
      <c r="C228" s="92" t="s">
        <v>704</v>
      </c>
      <c r="D228" s="108" t="s">
        <v>705</v>
      </c>
      <c r="E228" s="93" t="s">
        <v>706</v>
      </c>
      <c r="F228" s="109" t="s">
        <v>150</v>
      </c>
      <c r="G228" s="95" t="n">
        <v>4</v>
      </c>
      <c r="H228" s="96" t="n">
        <f aca="false">G228*IF(K228="Antes de sublimar",Supuestos!$B$63*1.125,IFERROR(VLOOKUP(F228,Supuestos!$A$29:$B$56,2,0),Supuestos!$C$17))</f>
        <v>27000</v>
      </c>
      <c r="I228" s="108" t="s">
        <v>18</v>
      </c>
      <c r="J228" s="97" t="s">
        <v>195</v>
      </c>
      <c r="K228" s="108" t="s">
        <v>114</v>
      </c>
    </row>
    <row r="229" customFormat="false" ht="18" hidden="false" customHeight="true" outlineLevel="0" collapsed="false">
      <c r="A229" s="98"/>
      <c r="B229" s="106" t="s">
        <v>701</v>
      </c>
      <c r="C229" s="100" t="s">
        <v>707</v>
      </c>
      <c r="D229" s="106" t="s">
        <v>188</v>
      </c>
      <c r="E229" s="101" t="s">
        <v>708</v>
      </c>
      <c r="F229" s="107" t="s">
        <v>124</v>
      </c>
      <c r="G229" s="103" t="n">
        <v>1</v>
      </c>
      <c r="H229" s="104" t="n">
        <f aca="false">G229*IF(K229="Antes de sublimar",Supuestos!$B$63*1.125,IFERROR(VLOOKUP(F229,Supuestos!$A$29:$B$56,2,0),Supuestos!$C$17))</f>
        <v>2700</v>
      </c>
      <c r="I229" s="106" t="s">
        <v>18</v>
      </c>
      <c r="J229" s="105" t="s">
        <v>199</v>
      </c>
      <c r="K229" s="106" t="s">
        <v>126</v>
      </c>
    </row>
    <row r="230" customFormat="false" ht="18" hidden="false" customHeight="true" outlineLevel="0" collapsed="false">
      <c r="A230" s="90"/>
      <c r="B230" s="108" t="s">
        <v>701</v>
      </c>
      <c r="C230" s="92" t="s">
        <v>707</v>
      </c>
      <c r="D230" s="108" t="s">
        <v>188</v>
      </c>
      <c r="E230" s="93" t="s">
        <v>709</v>
      </c>
      <c r="F230" s="109" t="s">
        <v>32</v>
      </c>
      <c r="G230" s="95" t="n">
        <v>1</v>
      </c>
      <c r="H230" s="96" t="n">
        <f aca="false">G230*IF(K230="Antes de sublimar",Supuestos!$B$63*1.125,IFERROR(VLOOKUP(F230,Supuestos!$A$29:$B$56,2,0),Supuestos!$C$17))</f>
        <v>6750</v>
      </c>
      <c r="I230" s="108" t="s">
        <v>18</v>
      </c>
      <c r="J230" s="97" t="s">
        <v>199</v>
      </c>
      <c r="K230" s="108" t="s">
        <v>114</v>
      </c>
    </row>
    <row r="231" customFormat="false" ht="18" hidden="false" customHeight="true" outlineLevel="0" collapsed="false">
      <c r="A231" s="98"/>
      <c r="B231" s="106" t="s">
        <v>701</v>
      </c>
      <c r="C231" s="100" t="s">
        <v>710</v>
      </c>
      <c r="D231" s="106" t="s">
        <v>711</v>
      </c>
      <c r="E231" s="101" t="s">
        <v>712</v>
      </c>
      <c r="F231" s="107" t="s">
        <v>147</v>
      </c>
      <c r="G231" s="103" t="n">
        <v>2</v>
      </c>
      <c r="H231" s="104" t="n">
        <f aca="false">G231*IF(K231="Antes de sublimar",Supuestos!$B$63*1.125,IFERROR(VLOOKUP(F231,Supuestos!$A$29:$B$56,2,0),Supuestos!$C$17))</f>
        <v>13500</v>
      </c>
      <c r="I231" s="106" t="s">
        <v>18</v>
      </c>
      <c r="J231" s="105" t="s">
        <v>195</v>
      </c>
      <c r="K231" s="106" t="s">
        <v>114</v>
      </c>
    </row>
    <row r="232" customFormat="false" ht="18" hidden="false" customHeight="true" outlineLevel="0" collapsed="false">
      <c r="A232" s="90"/>
      <c r="B232" s="108" t="s">
        <v>713</v>
      </c>
      <c r="C232" s="92" t="s">
        <v>714</v>
      </c>
      <c r="D232" s="108" t="s">
        <v>715</v>
      </c>
      <c r="E232" s="93" t="s">
        <v>716</v>
      </c>
      <c r="F232" s="109" t="s">
        <v>172</v>
      </c>
      <c r="G232" s="95" t="n">
        <v>5</v>
      </c>
      <c r="H232" s="96" t="n">
        <f aca="false">G232*IF(K232="Antes de sublimar",Supuestos!$B$63*1.125,IFERROR(VLOOKUP(F232,Supuestos!$A$29:$B$56,2,0),Supuestos!$C$17))</f>
        <v>33750</v>
      </c>
      <c r="I232" s="108" t="s">
        <v>18</v>
      </c>
      <c r="J232" s="97" t="s">
        <v>195</v>
      </c>
      <c r="K232" s="108" t="s">
        <v>114</v>
      </c>
    </row>
    <row r="233" customFormat="false" ht="18" hidden="false" customHeight="true" outlineLevel="0" collapsed="false">
      <c r="A233" s="98"/>
      <c r="B233" s="106" t="s">
        <v>713</v>
      </c>
      <c r="C233" s="100" t="s">
        <v>717</v>
      </c>
      <c r="D233" s="106" t="s">
        <v>705</v>
      </c>
      <c r="E233" s="101" t="s">
        <v>718</v>
      </c>
      <c r="F233" s="107" t="s">
        <v>31</v>
      </c>
      <c r="G233" s="103" t="n">
        <v>5</v>
      </c>
      <c r="H233" s="104" t="n">
        <f aca="false">G233*IF(K233="Antes de sublimar",Supuestos!$B$63*1.125,IFERROR(VLOOKUP(F233,Supuestos!$A$29:$B$56,2,0),Supuestos!$C$17))</f>
        <v>33750</v>
      </c>
      <c r="I233" s="106" t="s">
        <v>18</v>
      </c>
      <c r="J233" s="105" t="s">
        <v>195</v>
      </c>
      <c r="K233" s="106" t="s">
        <v>114</v>
      </c>
    </row>
    <row r="234" customFormat="false" ht="18" hidden="false" customHeight="true" outlineLevel="0" collapsed="false">
      <c r="A234" s="90"/>
      <c r="B234" s="108" t="s">
        <v>713</v>
      </c>
      <c r="C234" s="92" t="s">
        <v>719</v>
      </c>
      <c r="D234" s="108" t="s">
        <v>705</v>
      </c>
      <c r="E234" s="93" t="s">
        <v>720</v>
      </c>
      <c r="F234" s="109" t="s">
        <v>172</v>
      </c>
      <c r="G234" s="95" t="n">
        <v>2</v>
      </c>
      <c r="H234" s="96" t="n">
        <f aca="false">G234*IF(K234="Antes de sublimar",Supuestos!$B$63*1.125,IFERROR(VLOOKUP(F234,Supuestos!$A$29:$B$56,2,0),Supuestos!$C$17))</f>
        <v>13500</v>
      </c>
      <c r="I234" s="108" t="s">
        <v>18</v>
      </c>
      <c r="J234" s="97" t="s">
        <v>195</v>
      </c>
      <c r="K234" s="108" t="s">
        <v>114</v>
      </c>
    </row>
    <row r="235" customFormat="false" ht="18" hidden="false" customHeight="true" outlineLevel="0" collapsed="false">
      <c r="A235" s="98"/>
      <c r="B235" s="106" t="s">
        <v>713</v>
      </c>
      <c r="C235" s="100" t="s">
        <v>721</v>
      </c>
      <c r="D235" s="106" t="s">
        <v>695</v>
      </c>
      <c r="E235" s="101" t="s">
        <v>722</v>
      </c>
      <c r="F235" s="107" t="s">
        <v>172</v>
      </c>
      <c r="G235" s="103" t="n">
        <v>1</v>
      </c>
      <c r="H235" s="104" t="n">
        <f aca="false">G235*IF(K235="Antes de sublimar",Supuestos!$B$63*1.125,IFERROR(VLOOKUP(F235,Supuestos!$A$29:$B$56,2,0),Supuestos!$C$17))</f>
        <v>6750</v>
      </c>
      <c r="I235" s="106" t="s">
        <v>18</v>
      </c>
      <c r="J235" s="105" t="s">
        <v>195</v>
      </c>
      <c r="K235" s="106" t="s">
        <v>114</v>
      </c>
    </row>
    <row r="236" customFormat="false" ht="18" hidden="false" customHeight="true" outlineLevel="0" collapsed="false">
      <c r="A236" s="90"/>
      <c r="B236" s="108" t="s">
        <v>713</v>
      </c>
      <c r="C236" s="92" t="s">
        <v>723</v>
      </c>
      <c r="D236" s="108" t="s">
        <v>188</v>
      </c>
      <c r="E236" s="93" t="s">
        <v>724</v>
      </c>
      <c r="F236" s="109" t="s">
        <v>147</v>
      </c>
      <c r="G236" s="95" t="n">
        <v>4</v>
      </c>
      <c r="H236" s="96" t="n">
        <f aca="false">G236*IF(K236="Antes de sublimar",Supuestos!$B$63*1.125,IFERROR(VLOOKUP(F236,Supuestos!$A$29:$B$56,2,0),Supuestos!$C$17))</f>
        <v>27000</v>
      </c>
      <c r="I236" s="108" t="s">
        <v>18</v>
      </c>
      <c r="J236" s="97" t="s">
        <v>199</v>
      </c>
      <c r="K236" s="108" t="s">
        <v>114</v>
      </c>
    </row>
    <row r="237" customFormat="false" ht="18" hidden="false" customHeight="true" outlineLevel="0" collapsed="false">
      <c r="A237" s="98"/>
      <c r="B237" s="106" t="s">
        <v>713</v>
      </c>
      <c r="C237" s="100" t="s">
        <v>725</v>
      </c>
      <c r="D237" s="106" t="s">
        <v>695</v>
      </c>
      <c r="E237" s="101" t="s">
        <v>726</v>
      </c>
      <c r="F237" s="107" t="s">
        <v>172</v>
      </c>
      <c r="G237" s="103" t="n">
        <v>1</v>
      </c>
      <c r="H237" s="104" t="n">
        <f aca="false">G237*IF(K237="Antes de sublimar",Supuestos!$B$63*1.125,IFERROR(VLOOKUP(F237,Supuestos!$A$29:$B$56,2,0),Supuestos!$C$17))</f>
        <v>6750</v>
      </c>
      <c r="I237" s="106" t="s">
        <v>18</v>
      </c>
      <c r="J237" s="105" t="s">
        <v>195</v>
      </c>
      <c r="K237" s="106" t="s">
        <v>114</v>
      </c>
    </row>
  </sheetData>
  <dataValidations count="1">
    <dataValidation allowBlank="true" errorStyle="stop" operator="between" showDropDown="false" showErrorMessage="true" showInputMessage="false" sqref="K2:K1000" type="list">
      <formula1>"Antes de sublimar,Después de sublimar"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0"/>
    <col collapsed="false" customWidth="true" hidden="false" outlineLevel="0" max="4" min="4" style="1" width="36"/>
  </cols>
  <sheetData>
    <row r="1" customFormat="false" ht="30" hidden="false" customHeight="true" outlineLevel="0" collapsed="false">
      <c r="A1" s="110" t="s">
        <v>727</v>
      </c>
      <c r="B1" s="110"/>
      <c r="C1" s="110"/>
      <c r="D1" s="110"/>
    </row>
    <row r="2" customFormat="false" ht="9.75" hidden="false" customHeight="true" outlineLevel="0" collapsed="false"/>
    <row r="3" customFormat="false" ht="21.75" hidden="false" customHeight="true" outlineLevel="0" collapsed="false">
      <c r="A3" s="111" t="s">
        <v>728</v>
      </c>
      <c r="B3" s="111"/>
      <c r="C3" s="111"/>
      <c r="D3" s="111"/>
    </row>
    <row r="4" customFormat="false" ht="21" hidden="false" customHeight="true" outlineLevel="0" collapsed="false">
      <c r="A4" s="94" t="s">
        <v>729</v>
      </c>
      <c r="B4" s="35" t="n">
        <v>6000</v>
      </c>
      <c r="C4" s="112" t="s">
        <v>730</v>
      </c>
      <c r="D4" s="112"/>
    </row>
    <row r="5" customFormat="false" ht="21" hidden="false" customHeight="true" outlineLevel="0" collapsed="false">
      <c r="A5" s="102" t="s">
        <v>731</v>
      </c>
      <c r="B5" s="113" t="n">
        <v>4</v>
      </c>
      <c r="C5" s="114" t="s">
        <v>732</v>
      </c>
      <c r="D5" s="114"/>
    </row>
    <row r="6" customFormat="false" ht="21" hidden="false" customHeight="true" outlineLevel="0" collapsed="false">
      <c r="A6" s="94" t="s">
        <v>733</v>
      </c>
      <c r="B6" s="115" t="n">
        <f aca="false">B4/B5</f>
        <v>1500</v>
      </c>
      <c r="C6" s="112" t="s">
        <v>734</v>
      </c>
      <c r="D6" s="112"/>
    </row>
    <row r="7" customFormat="false" ht="9.75" hidden="false" customHeight="true" outlineLevel="0" collapsed="false"/>
    <row r="8" customFormat="false" ht="21.75" hidden="false" customHeight="true" outlineLevel="0" collapsed="false">
      <c r="A8" s="111" t="s">
        <v>735</v>
      </c>
      <c r="B8" s="111"/>
      <c r="C8" s="111"/>
      <c r="D8" s="111"/>
    </row>
    <row r="9" customFormat="false" ht="19.5" hidden="false" customHeight="true" outlineLevel="0" collapsed="false">
      <c r="A9" s="116" t="s">
        <v>736</v>
      </c>
      <c r="B9" s="116" t="s">
        <v>737</v>
      </c>
      <c r="C9" s="116" t="s">
        <v>738</v>
      </c>
      <c r="D9" s="116" t="s">
        <v>739</v>
      </c>
    </row>
    <row r="10" customFormat="false" ht="18.75" hidden="false" customHeight="true" outlineLevel="0" collapsed="false">
      <c r="A10" s="92" t="s">
        <v>740</v>
      </c>
      <c r="B10" s="117" t="n">
        <v>0.5</v>
      </c>
      <c r="C10" s="96" t="n">
        <f aca="false">$B$4*0.5</f>
        <v>3000</v>
      </c>
      <c r="D10" s="118" t="s">
        <v>741</v>
      </c>
    </row>
    <row r="11" customFormat="false" ht="18.75" hidden="false" customHeight="true" outlineLevel="0" collapsed="false">
      <c r="A11" s="100" t="s">
        <v>742</v>
      </c>
      <c r="B11" s="119" t="n">
        <v>0.5</v>
      </c>
      <c r="C11" s="104" t="n">
        <f aca="false">$B$4*0.5</f>
        <v>3000</v>
      </c>
      <c r="D11" s="120" t="s">
        <v>743</v>
      </c>
    </row>
    <row r="12" customFormat="false" ht="18.75" hidden="false" customHeight="true" outlineLevel="0" collapsed="false">
      <c r="A12" s="92" t="s">
        <v>744</v>
      </c>
      <c r="B12" s="117" t="n">
        <v>0.125</v>
      </c>
      <c r="C12" s="96" t="n">
        <f aca="false">$B$4*0.125</f>
        <v>750</v>
      </c>
      <c r="D12" s="118" t="s">
        <v>745</v>
      </c>
    </row>
    <row r="13" customFormat="false" ht="18.75" hidden="false" customHeight="true" outlineLevel="0" collapsed="false">
      <c r="A13" s="100" t="s">
        <v>746</v>
      </c>
      <c r="B13" s="119" t="n">
        <v>0.05</v>
      </c>
      <c r="C13" s="104" t="n">
        <f aca="false">$B$4*0.05</f>
        <v>300</v>
      </c>
      <c r="D13" s="120" t="s">
        <v>747</v>
      </c>
    </row>
    <row r="14" customFormat="false" ht="18.75" hidden="false" customHeight="true" outlineLevel="0" collapsed="false">
      <c r="A14" s="92" t="s">
        <v>748</v>
      </c>
      <c r="B14" s="117" t="n">
        <v>0.5</v>
      </c>
      <c r="C14" s="96" t="n">
        <f aca="false">$B$4*0.5</f>
        <v>3000</v>
      </c>
      <c r="D14" s="118" t="s">
        <v>749</v>
      </c>
    </row>
    <row r="15" customFormat="false" ht="18.75" hidden="false" customHeight="true" outlineLevel="0" collapsed="false">
      <c r="A15" s="100" t="s">
        <v>750</v>
      </c>
      <c r="B15" s="119" t="n">
        <v>0.5</v>
      </c>
      <c r="C15" s="104" t="n">
        <f aca="false">$B$4*0.5</f>
        <v>3000</v>
      </c>
      <c r="D15" s="120" t="s">
        <v>751</v>
      </c>
    </row>
    <row r="16" customFormat="false" ht="18.75" hidden="false" customHeight="true" outlineLevel="0" collapsed="false">
      <c r="A16" s="92" t="s">
        <v>752</v>
      </c>
      <c r="B16" s="117" t="n">
        <v>1</v>
      </c>
      <c r="C16" s="96" t="n">
        <f aca="false">$B$4*1</f>
        <v>6000</v>
      </c>
      <c r="D16" s="118" t="s">
        <v>753</v>
      </c>
    </row>
    <row r="17" customFormat="false" ht="18.75" hidden="false" customHeight="true" outlineLevel="0" collapsed="false">
      <c r="A17" s="100" t="s">
        <v>754</v>
      </c>
      <c r="B17" s="119" t="n">
        <v>1.125</v>
      </c>
      <c r="C17" s="104" t="n">
        <f aca="false">$B$4*1.125</f>
        <v>6750</v>
      </c>
      <c r="D17" s="120" t="s">
        <v>755</v>
      </c>
    </row>
    <row r="18" customFormat="false" ht="18.75" hidden="false" customHeight="true" outlineLevel="0" collapsed="false">
      <c r="A18" s="92" t="s">
        <v>756</v>
      </c>
      <c r="B18" s="117" t="n">
        <v>1</v>
      </c>
      <c r="C18" s="96" t="n">
        <f aca="false">$B$4*1</f>
        <v>6000</v>
      </c>
      <c r="D18" s="118" t="s">
        <v>757</v>
      </c>
    </row>
    <row r="19" customFormat="false" ht="18.75" hidden="false" customHeight="true" outlineLevel="0" collapsed="false">
      <c r="A19" s="100" t="s">
        <v>758</v>
      </c>
      <c r="B19" s="119" t="n">
        <v>0.25</v>
      </c>
      <c r="C19" s="104" t="n">
        <f aca="false">$B$4*0.25</f>
        <v>1500</v>
      </c>
      <c r="D19" s="120" t="s">
        <v>759</v>
      </c>
    </row>
    <row r="20" customFormat="false" ht="18.75" hidden="false" customHeight="true" outlineLevel="0" collapsed="false">
      <c r="A20" s="92" t="s">
        <v>760</v>
      </c>
      <c r="B20" s="117" t="n">
        <v>0.25</v>
      </c>
      <c r="C20" s="96" t="n">
        <f aca="false">$B$4*0.25</f>
        <v>1500</v>
      </c>
      <c r="D20" s="118" t="s">
        <v>761</v>
      </c>
    </row>
    <row r="21" customFormat="false" ht="18.75" hidden="false" customHeight="true" outlineLevel="0" collapsed="false">
      <c r="A21" s="100" t="s">
        <v>762</v>
      </c>
      <c r="B21" s="119" t="n">
        <v>2</v>
      </c>
      <c r="C21" s="104" t="n">
        <f aca="false">$B$4*2</f>
        <v>12000</v>
      </c>
      <c r="D21" s="120" t="s">
        <v>763</v>
      </c>
    </row>
    <row r="22" customFormat="false" ht="12" hidden="false" customHeight="true" outlineLevel="0" collapsed="false"/>
    <row r="23" customFormat="false" ht="15.75" hidden="false" customHeight="true" outlineLevel="0" collapsed="false">
      <c r="A23" s="88" t="s">
        <v>764</v>
      </c>
      <c r="B23" s="88"/>
      <c r="C23" s="88"/>
      <c r="D23" s="88"/>
    </row>
    <row r="26" customFormat="false" ht="13.5" hidden="false" customHeight="true" outlineLevel="0" collapsed="false"/>
    <row r="27" customFormat="false" ht="21.75" hidden="false" customHeight="true" outlineLevel="0" collapsed="false">
      <c r="A27" s="121" t="s">
        <v>765</v>
      </c>
      <c r="B27" s="121"/>
      <c r="C27" s="121"/>
      <c r="D27" s="121"/>
    </row>
    <row r="28" customFormat="false" ht="19.5" hidden="false" customHeight="true" outlineLevel="0" collapsed="false">
      <c r="A28" s="116" t="s">
        <v>87</v>
      </c>
      <c r="B28" s="116" t="s">
        <v>738</v>
      </c>
      <c r="C28" s="116" t="s">
        <v>766</v>
      </c>
      <c r="D28" s="116" t="s">
        <v>767</v>
      </c>
    </row>
    <row r="29" customFormat="false" ht="18" hidden="false" customHeight="true" outlineLevel="0" collapsed="false">
      <c r="A29" s="122" t="s">
        <v>31</v>
      </c>
      <c r="B29" s="123" t="n">
        <f aca="false">Supuestos!$C$17</f>
        <v>6750</v>
      </c>
      <c r="C29" s="120" t="s">
        <v>768</v>
      </c>
      <c r="D29" s="105" t="s">
        <v>769</v>
      </c>
    </row>
    <row r="30" customFormat="false" ht="18" hidden="false" customHeight="true" outlineLevel="0" collapsed="false">
      <c r="A30" s="124" t="s">
        <v>159</v>
      </c>
      <c r="B30" s="125" t="n">
        <f aca="false">Supuestos!$C$17</f>
        <v>6750</v>
      </c>
      <c r="C30" s="118" t="s">
        <v>768</v>
      </c>
      <c r="D30" s="97" t="s">
        <v>769</v>
      </c>
    </row>
    <row r="31" customFormat="false" ht="18" hidden="false" customHeight="true" outlineLevel="0" collapsed="false">
      <c r="A31" s="122" t="s">
        <v>112</v>
      </c>
      <c r="B31" s="123" t="n">
        <f aca="false">Supuestos!$C$17</f>
        <v>6750</v>
      </c>
      <c r="C31" s="120" t="s">
        <v>768</v>
      </c>
      <c r="D31" s="105" t="s">
        <v>769</v>
      </c>
    </row>
    <row r="32" customFormat="false" ht="18" hidden="false" customHeight="true" outlineLevel="0" collapsed="false">
      <c r="A32" s="124" t="s">
        <v>162</v>
      </c>
      <c r="B32" s="125" t="n">
        <f aca="false">Supuestos!$C$17</f>
        <v>6750</v>
      </c>
      <c r="C32" s="118" t="s">
        <v>768</v>
      </c>
      <c r="D32" s="97" t="s">
        <v>769</v>
      </c>
    </row>
    <row r="33" customFormat="false" ht="18" hidden="false" customHeight="true" outlineLevel="0" collapsed="false">
      <c r="A33" s="122" t="s">
        <v>236</v>
      </c>
      <c r="B33" s="123" t="n">
        <f aca="false">Supuestos!$C$17</f>
        <v>6750</v>
      </c>
      <c r="C33" s="120" t="s">
        <v>770</v>
      </c>
      <c r="D33" s="105" t="s">
        <v>769</v>
      </c>
    </row>
    <row r="34" customFormat="false" ht="18" hidden="false" customHeight="true" outlineLevel="0" collapsed="false">
      <c r="A34" s="124" t="s">
        <v>135</v>
      </c>
      <c r="B34" s="125" t="n">
        <f aca="false">Supuestos!$C$17</f>
        <v>6750</v>
      </c>
      <c r="C34" s="118" t="s">
        <v>768</v>
      </c>
      <c r="D34" s="97" t="s">
        <v>769</v>
      </c>
    </row>
    <row r="35" customFormat="false" ht="18" hidden="false" customHeight="true" outlineLevel="0" collapsed="false">
      <c r="A35" s="122" t="s">
        <v>216</v>
      </c>
      <c r="B35" s="123" t="n">
        <f aca="false">Supuestos!$C$17</f>
        <v>6750</v>
      </c>
      <c r="C35" s="120" t="s">
        <v>768</v>
      </c>
      <c r="D35" s="105" t="s">
        <v>769</v>
      </c>
    </row>
    <row r="36" customFormat="false" ht="18" hidden="false" customHeight="true" outlineLevel="0" collapsed="false">
      <c r="A36" s="124" t="s">
        <v>224</v>
      </c>
      <c r="B36" s="125" t="n">
        <f aca="false">Supuestos!$C$13*10</f>
        <v>3000</v>
      </c>
      <c r="C36" s="118" t="s">
        <v>771</v>
      </c>
      <c r="D36" s="97" t="s">
        <v>769</v>
      </c>
    </row>
    <row r="37" customFormat="false" ht="18" hidden="false" customHeight="true" outlineLevel="0" collapsed="false">
      <c r="A37" s="122" t="s">
        <v>308</v>
      </c>
      <c r="B37" s="123" t="n">
        <f aca="false">Supuestos!$C$17</f>
        <v>6750</v>
      </c>
      <c r="C37" s="120" t="s">
        <v>768</v>
      </c>
      <c r="D37" s="105" t="s">
        <v>769</v>
      </c>
    </row>
    <row r="38" customFormat="false" ht="18" hidden="false" customHeight="true" outlineLevel="0" collapsed="false">
      <c r="A38" s="124" t="s">
        <v>351</v>
      </c>
      <c r="B38" s="125" t="n">
        <f aca="false">Supuestos!$C$17</f>
        <v>6750</v>
      </c>
      <c r="C38" s="118" t="s">
        <v>768</v>
      </c>
      <c r="D38" s="97" t="s">
        <v>769</v>
      </c>
    </row>
    <row r="39" customFormat="false" ht="18" hidden="false" customHeight="true" outlineLevel="0" collapsed="false">
      <c r="A39" s="122" t="s">
        <v>32</v>
      </c>
      <c r="B39" s="123" t="n">
        <f aca="false">Supuestos!$C$17</f>
        <v>6750</v>
      </c>
      <c r="C39" s="120" t="s">
        <v>768</v>
      </c>
      <c r="D39" s="105" t="s">
        <v>769</v>
      </c>
    </row>
    <row r="40" customFormat="false" ht="18" hidden="false" customHeight="true" outlineLevel="0" collapsed="false">
      <c r="A40" s="124" t="s">
        <v>772</v>
      </c>
      <c r="B40" s="125" t="n">
        <f aca="false">Supuestos!$C$10</f>
        <v>3000</v>
      </c>
      <c r="C40" s="118" t="s">
        <v>773</v>
      </c>
      <c r="D40" s="97" t="s">
        <v>769</v>
      </c>
    </row>
    <row r="41" customFormat="false" ht="18" hidden="false" customHeight="true" outlineLevel="0" collapsed="false">
      <c r="A41" s="122" t="s">
        <v>774</v>
      </c>
      <c r="B41" s="123" t="n">
        <f aca="false">Supuestos!$C$17</f>
        <v>6750</v>
      </c>
      <c r="C41" s="120" t="s">
        <v>768</v>
      </c>
      <c r="D41" s="105" t="s">
        <v>769</v>
      </c>
    </row>
    <row r="42" customFormat="false" ht="18" hidden="false" customHeight="true" outlineLevel="0" collapsed="false">
      <c r="A42" s="124" t="s">
        <v>775</v>
      </c>
      <c r="B42" s="125" t="n">
        <f aca="false">Supuestos!$C$10</f>
        <v>3000</v>
      </c>
      <c r="C42" s="118" t="s">
        <v>773</v>
      </c>
      <c r="D42" s="97" t="s">
        <v>769</v>
      </c>
    </row>
    <row r="43" customFormat="false" ht="18" hidden="false" customHeight="true" outlineLevel="0" collapsed="false">
      <c r="A43" s="122" t="s">
        <v>172</v>
      </c>
      <c r="B43" s="123" t="n">
        <f aca="false">Supuestos!$C$17</f>
        <v>6750</v>
      </c>
      <c r="C43" s="120" t="s">
        <v>768</v>
      </c>
      <c r="D43" s="105" t="s">
        <v>769</v>
      </c>
    </row>
    <row r="44" customFormat="false" ht="18" hidden="false" customHeight="true" outlineLevel="0" collapsed="false">
      <c r="A44" s="124" t="s">
        <v>776</v>
      </c>
      <c r="B44" s="125" t="n">
        <f aca="false">Supuestos!$C$17</f>
        <v>6750</v>
      </c>
      <c r="C44" s="118" t="s">
        <v>768</v>
      </c>
      <c r="D44" s="97" t="s">
        <v>769</v>
      </c>
    </row>
    <row r="45" customFormat="false" ht="18" hidden="false" customHeight="true" outlineLevel="0" collapsed="false">
      <c r="A45" s="122" t="s">
        <v>150</v>
      </c>
      <c r="B45" s="123" t="n">
        <f aca="false">Supuestos!$C$17</f>
        <v>6750</v>
      </c>
      <c r="C45" s="120" t="s">
        <v>768</v>
      </c>
      <c r="D45" s="105" t="s">
        <v>769</v>
      </c>
    </row>
    <row r="46" customFormat="false" ht="18" hidden="false" customHeight="true" outlineLevel="0" collapsed="false">
      <c r="A46" s="124" t="s">
        <v>174</v>
      </c>
      <c r="B46" s="125" t="n">
        <f aca="false">Supuestos!$C$17</f>
        <v>6750</v>
      </c>
      <c r="C46" s="118" t="s">
        <v>768</v>
      </c>
      <c r="D46" s="97" t="s">
        <v>769</v>
      </c>
    </row>
    <row r="47" customFormat="false" ht="18" hidden="false" customHeight="true" outlineLevel="0" collapsed="false">
      <c r="A47" s="122" t="s">
        <v>124</v>
      </c>
      <c r="B47" s="123" t="n">
        <f aca="false">Supuestos!$C$17</f>
        <v>6750</v>
      </c>
      <c r="C47" s="120" t="s">
        <v>768</v>
      </c>
      <c r="D47" s="105" t="s">
        <v>769</v>
      </c>
    </row>
    <row r="48" customFormat="false" ht="18" hidden="false" customHeight="true" outlineLevel="0" collapsed="false">
      <c r="A48" s="124" t="s">
        <v>777</v>
      </c>
      <c r="B48" s="125" t="n">
        <f aca="false">Supuestos!$C$17</f>
        <v>6750</v>
      </c>
      <c r="C48" s="118" t="s">
        <v>768</v>
      </c>
      <c r="D48" s="97" t="s">
        <v>769</v>
      </c>
    </row>
    <row r="49" customFormat="false" ht="18" hidden="false" customHeight="true" outlineLevel="0" collapsed="false">
      <c r="A49" s="122" t="s">
        <v>147</v>
      </c>
      <c r="B49" s="123" t="n">
        <f aca="false">Supuestos!$C$17</f>
        <v>6750</v>
      </c>
      <c r="C49" s="120" t="s">
        <v>768</v>
      </c>
      <c r="D49" s="105" t="s">
        <v>769</v>
      </c>
    </row>
    <row r="50" customFormat="false" ht="18" hidden="false" customHeight="true" outlineLevel="0" collapsed="false">
      <c r="A50" s="124" t="s">
        <v>778</v>
      </c>
      <c r="B50" s="125" t="n">
        <f aca="false">Supuestos!$C$17</f>
        <v>6750</v>
      </c>
      <c r="C50" s="118" t="s">
        <v>768</v>
      </c>
      <c r="D50" s="97" t="s">
        <v>769</v>
      </c>
    </row>
    <row r="51" customFormat="false" ht="18" hidden="false" customHeight="true" outlineLevel="0" collapsed="false">
      <c r="A51" s="122" t="s">
        <v>181</v>
      </c>
      <c r="B51" s="123" t="n">
        <f aca="false">Supuestos!$C$17</f>
        <v>6750</v>
      </c>
      <c r="C51" s="120" t="s">
        <v>768</v>
      </c>
      <c r="D51" s="105" t="s">
        <v>769</v>
      </c>
    </row>
    <row r="52" customFormat="false" ht="18" hidden="false" customHeight="true" outlineLevel="0" collapsed="false">
      <c r="A52" s="124" t="s">
        <v>578</v>
      </c>
      <c r="B52" s="125" t="n">
        <f aca="false">Supuestos!$C$17</f>
        <v>6750</v>
      </c>
      <c r="C52" s="118" t="s">
        <v>768</v>
      </c>
      <c r="D52" s="97" t="s">
        <v>769</v>
      </c>
    </row>
    <row r="53" customFormat="false" ht="18" hidden="false" customHeight="true" outlineLevel="0" collapsed="false">
      <c r="A53" s="122" t="s">
        <v>779</v>
      </c>
      <c r="B53" s="123" t="n">
        <f aca="false">Supuestos!$C$17</f>
        <v>6750</v>
      </c>
      <c r="C53" s="120" t="s">
        <v>768</v>
      </c>
      <c r="D53" s="105" t="s">
        <v>769</v>
      </c>
    </row>
    <row r="54" customFormat="false" ht="18" hidden="false" customHeight="true" outlineLevel="0" collapsed="false">
      <c r="A54" s="124" t="s">
        <v>119</v>
      </c>
      <c r="B54" s="125" t="n">
        <f aca="false">Supuestos!$C$17</f>
        <v>6750</v>
      </c>
      <c r="C54" s="118" t="s">
        <v>768</v>
      </c>
      <c r="D54" s="97" t="s">
        <v>769</v>
      </c>
    </row>
    <row r="55" customFormat="false" ht="18" hidden="false" customHeight="true" outlineLevel="0" collapsed="false">
      <c r="A55" s="122" t="s">
        <v>349</v>
      </c>
      <c r="B55" s="126" t="n">
        <v>300000</v>
      </c>
      <c r="C55" s="120" t="s">
        <v>780</v>
      </c>
      <c r="D55" s="105" t="s">
        <v>781</v>
      </c>
    </row>
    <row r="56" customFormat="false" ht="18" hidden="false" customHeight="true" outlineLevel="0" collapsed="false">
      <c r="A56" s="124" t="s">
        <v>782</v>
      </c>
      <c r="B56" s="125" t="n">
        <f aca="false">Supuestos!$C$17</f>
        <v>6750</v>
      </c>
      <c r="C56" s="118" t="s">
        <v>768</v>
      </c>
      <c r="D56" s="97" t="s">
        <v>769</v>
      </c>
    </row>
    <row r="58" customFormat="false" ht="20" hidden="false" customHeight="true" outlineLevel="0" collapsed="false">
      <c r="A58" s="121" t="s">
        <v>783</v>
      </c>
      <c r="B58" s="121"/>
      <c r="C58" s="121"/>
      <c r="D58" s="121"/>
    </row>
    <row r="59" customFormat="false" ht="15" hidden="false" customHeight="false" outlineLevel="0" collapsed="false">
      <c r="A59" s="116" t="s">
        <v>784</v>
      </c>
      <c r="B59" s="116" t="s">
        <v>785</v>
      </c>
      <c r="C59" s="127" t="s">
        <v>739</v>
      </c>
      <c r="D59" s="127"/>
    </row>
    <row r="60" customFormat="false" ht="15" hidden="false" customHeight="false" outlineLevel="0" collapsed="false">
      <c r="A60" s="94" t="s">
        <v>786</v>
      </c>
      <c r="B60" s="128" t="n">
        <v>0.4</v>
      </c>
      <c r="C60" s="112" t="s">
        <v>787</v>
      </c>
      <c r="D60" s="112"/>
    </row>
    <row r="61" customFormat="false" ht="15" hidden="false" customHeight="false" outlineLevel="0" collapsed="false">
      <c r="A61" s="94" t="s">
        <v>788</v>
      </c>
      <c r="B61" s="128" t="n">
        <v>0.4</v>
      </c>
      <c r="C61" s="112" t="s">
        <v>789</v>
      </c>
      <c r="D61" s="112"/>
    </row>
    <row r="62" customFormat="false" ht="15" hidden="false" customHeight="false" outlineLevel="0" collapsed="false">
      <c r="A62" s="94" t="s">
        <v>790</v>
      </c>
      <c r="B62" s="128" t="n">
        <v>0.2</v>
      </c>
      <c r="C62" s="112" t="s">
        <v>791</v>
      </c>
      <c r="D62" s="112"/>
    </row>
    <row r="63" customFormat="false" ht="15" hidden="false" customHeight="false" outlineLevel="0" collapsed="false">
      <c r="A63" s="94" t="s">
        <v>792</v>
      </c>
      <c r="B63" s="35" t="n">
        <f aca="false">B4*B61</f>
        <v>2400</v>
      </c>
      <c r="C63" s="112" t="s">
        <v>793</v>
      </c>
      <c r="D63" s="112"/>
    </row>
    <row r="64" customFormat="false" ht="15" hidden="false" customHeight="false" outlineLevel="0" collapsed="false">
      <c r="A64" s="94" t="s">
        <v>794</v>
      </c>
      <c r="B64" s="35" t="n">
        <f aca="false">B4*(B60+B61+B62)</f>
        <v>6000</v>
      </c>
      <c r="C64" s="112" t="s">
        <v>795</v>
      </c>
      <c r="D64" s="112"/>
    </row>
    <row r="65" customFormat="false" ht="15" hidden="false" customHeight="false" outlineLevel="0" collapsed="false">
      <c r="A65" s="75" t="s">
        <v>796</v>
      </c>
      <c r="B65" s="75"/>
      <c r="C65" s="75"/>
      <c r="D65" s="75"/>
    </row>
  </sheetData>
  <mergeCells count="16">
    <mergeCell ref="A1:D1"/>
    <mergeCell ref="A3:D3"/>
    <mergeCell ref="C4:D4"/>
    <mergeCell ref="C5:D5"/>
    <mergeCell ref="C6:D6"/>
    <mergeCell ref="A8:D8"/>
    <mergeCell ref="A23:D23"/>
    <mergeCell ref="A27:D27"/>
    <mergeCell ref="A58:D58"/>
    <mergeCell ref="C59:D59"/>
    <mergeCell ref="C60:D60"/>
    <mergeCell ref="C61:D61"/>
    <mergeCell ref="C62:D62"/>
    <mergeCell ref="C63:D63"/>
    <mergeCell ref="C64:D64"/>
    <mergeCell ref="A65:D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4"/>
    <col collapsed="false" customWidth="true" hidden="false" outlineLevel="0" max="4" min="4" style="1" width="18"/>
  </cols>
  <sheetData>
    <row r="1" customFormat="false" ht="19.5" hidden="false" customHeight="true" outlineLevel="0" collapsed="false">
      <c r="A1" s="129" t="s">
        <v>87</v>
      </c>
      <c r="B1" s="129" t="s">
        <v>88</v>
      </c>
      <c r="C1" s="129" t="s">
        <v>89</v>
      </c>
      <c r="D1" s="129" t="s">
        <v>797</v>
      </c>
    </row>
    <row r="2" customFormat="false" ht="18" hidden="false" customHeight="true" outlineLevel="0" collapsed="false">
      <c r="A2" s="8" t="s">
        <v>798</v>
      </c>
      <c r="B2" s="130" t="n">
        <f aca="false">COUNTIF(Datos!F2:F1000,"Mesa / Rollo")+COUNTIF(Datos!F2:F1000,"Mesa / Sublimación")+COUNTIF(Datos!F2:F1000,"Mesa / Ploteo")+COUNTIF(Datos!F2:F1000,"Mesa / Diseño")+COUNTIF(Datos!F2:F1000,"Mesa / Diseño (molde incorrecto)")+COUNTIF(Datos!F2:F1000,"Mesa (talla incorrecta)")+COUNTIF(Datos!F2:F1000,"Mesa (texto girado en cuello)")+COUNTIF(Datos!F2:F1000,"Mesa incorrecta")+COUNTIF(Datos!F2:F1000,"Mesa")+COUNTIF(Datos!F2:F1000,"No venía en rollo")+COUNTIF(Datos!F2:F1000,"Falta de paño")+COUNTIF(Datos!F2:F1000,"Error en mesa")+COUNTIF(Datos!F2:F1000,"Mesa / Papel")</f>
        <v>78</v>
      </c>
      <c r="C2" s="130" t="n">
        <f aca="false">SUMIF(Datos!F2:F1000,"Mesa / Rollo",Datos!G2:G1000)+SUMIF(Datos!F2:F1000,"Mesa / Sublimación",Datos!G2:G1000)+SUMIF(Datos!F2:F1000,"Mesa / Ploteo",Datos!G2:G1000)+SUMIF(Datos!F2:F1000,"Mesa / Diseño",Datos!G2:G1000)+SUMIF(Datos!F2:F1000,"Mesa / Diseño (molde incorrecto)",Datos!G2:G1000)+SUMIF(Datos!F2:F1000,"Mesa (talla incorrecta)",Datos!G2:G1000)+SUMIF(Datos!F2:F1000,"Mesa (texto girado en cuello)",Datos!G2:G1000)+SUMIF(Datos!F2:F1000,"Mesa incorrecta",Datos!G2:G1000)+SUMIF(Datos!F2:F1000,"Mesa",Datos!G2:G1000)+SUMIF(Datos!F2:F1000,"No venía en rollo",Datos!G2:G1000)+SUMIF(Datos!F2:F1000,"Falta de paño",Datos!G2:G1000)+SUMIF(Datos!F2:F1000,"Error en mesa",Datos!G2:G1000)+SUMIF(Datos!F2:F1000,"Mesa / Papel",Datos!G2:G1000)</f>
        <v>437</v>
      </c>
      <c r="D2" s="96" t="n">
        <f aca="false">SUMIF(Datos!F2:F1000,"Mesa / Rollo",Datos!H2:H1000)+SUMIF(Datos!F2:F1000,"Mesa / Sublimación",Datos!H2:H1000)+SUMIF(Datos!F2:F1000,"Mesa / Ploteo",Datos!H2:H1000)+SUMIF(Datos!F2:F1000,"Mesa / Diseño",Datos!H2:H1000)+SUMIF(Datos!F2:F1000,"Mesa / Diseño (molde incorrecto)",Datos!H2:H1000)+SUMIF(Datos!F2:F1000,"Mesa (talla incorrecta)",Datos!H2:H1000)+SUMIF(Datos!F2:F1000,"Mesa (texto girado en cuello)",Datos!H2:H1000)+SUMIF(Datos!F2:F1000,"Mesa incorrecta",Datos!H2:H1000)+SUMIF(Datos!F2:F1000,"Mesa",Datos!H2:H1000)+SUMIF(Datos!F2:F1000,"No venía en rollo",Datos!H2:H1000)+SUMIF(Datos!F2:F1000,"Falta de paño",Datos!H2:H1000)+SUMIF(Datos!F2:F1000,"Error en mesa",Datos!H2:H1000)+SUMIF(Datos!F2:F1000,"Mesa / Papel",Datos!H2:H1000)</f>
        <v>2601750</v>
      </c>
    </row>
    <row r="3" customFormat="false" ht="18" hidden="false" customHeight="true" outlineLevel="0" collapsed="false">
      <c r="A3" s="131" t="s">
        <v>32</v>
      </c>
      <c r="B3" s="132" t="n">
        <f aca="false">COUNTIF(Datos!F2:F1000,"Sublimación")+COUNTIF(Datos!F2:F1000,"Mal sublimado")+COUNTIF(Datos!F2:F1000,"Sublimación (negro en papel)")+COUNTIF(Datos!F2:F1000,"manchitas en la sublimación")+COUNTIF(Datos!F2:F1000,"Sublimación con estrías")</f>
        <v>62</v>
      </c>
      <c r="C3" s="132" t="n">
        <f aca="false">SUMIF(Datos!F2:F1000,"Sublimación",Datos!G2:G1000)+SUMIF(Datos!F2:F1000,"Mal sublimado",Datos!G2:G1000)+SUMIF(Datos!F2:F1000,"Sublimación (negro en papel)",Datos!G2:G1000)+SUMIF(Datos!F2:F1000,"manchitas en la sublimación",Datos!G2:G1000)+SUMIF(Datos!F2:F1000,"Sublimación con estrías",Datos!G2:G1000)</f>
        <v>131</v>
      </c>
      <c r="D3" s="133" t="n">
        <f aca="false">SUMIF(Datos!F2:F1000,"Sublimación",Datos!H2:H1000)+SUMIF(Datos!F2:F1000,"Mal sublimado",Datos!H2:H1000)+SUMIF(Datos!F2:F1000,"Sublimación (negro en papel)",Datos!H2:H1000)+SUMIF(Datos!F2:F1000,"manchitas en la sublimación",Datos!H2:H1000)+SUMIF(Datos!F2:F1000,"Sublimación con estrías",Datos!H2:H1000)</f>
        <v>884250</v>
      </c>
    </row>
    <row r="4" customFormat="false" ht="18" hidden="false" customHeight="true" outlineLevel="0" collapsed="false">
      <c r="A4" s="8" t="s">
        <v>172</v>
      </c>
      <c r="B4" s="130" t="n">
        <f aca="false">COUNTIF(Datos!F2:F1000,"Pendiente sub.")+COUNTIF(Datos!F2:F1000,"Pendiente de taller")+COUNTIF(Datos!F2:F1000,"Pendiente de sublimación/taller")</f>
        <v>29</v>
      </c>
      <c r="C4" s="130" t="n">
        <f aca="false">SUMIF(Datos!F2:F1000,"Pendiente sub.",Datos!G2:G1000)+SUMIF(Datos!F2:F1000,"Pendiente de taller",Datos!G2:G1000)+SUMIF(Datos!F2:F1000,"Pendiente de sublimación/taller",Datos!G2:G1000)</f>
        <v>63</v>
      </c>
      <c r="D4" s="96" t="n">
        <f aca="false">SUMIF(Datos!F2:F1000,"Pendiente sub.",Datos!H2:H1000)+SUMIF(Datos!F2:F1000,"Pendiente de taller",Datos!H2:H1000)+SUMIF(Datos!F2:F1000,"Pendiente de sublimación/taller",Datos!H2:H1000)</f>
        <v>421200</v>
      </c>
    </row>
    <row r="5" customFormat="false" ht="18" hidden="false" customHeight="true" outlineLevel="0" collapsed="false">
      <c r="A5" s="131" t="s">
        <v>147</v>
      </c>
      <c r="B5" s="132" t="n">
        <f aca="false">COUNTIF(Datos!F2:F1000,"Corte")+COUNTIF(Datos!F2:F1000,"Error de corte")</f>
        <v>20</v>
      </c>
      <c r="C5" s="132" t="n">
        <f aca="false">SUMIF(Datos!F2:F1000,"Corte",Datos!G2:G1000)+SUMIF(Datos!F2:F1000,"Error de corte",Datos!G2:G1000)</f>
        <v>141</v>
      </c>
      <c r="D5" s="133" t="n">
        <f aca="false">SUMIF(Datos!F2:F1000,"Corte",Datos!H2:H1000)+SUMIF(Datos!F2:F1000,"Error de corte",Datos!H2:H1000)</f>
        <v>951750</v>
      </c>
    </row>
    <row r="6" customFormat="false" ht="18" hidden="false" customHeight="true" outlineLevel="0" collapsed="false">
      <c r="A6" s="8" t="s">
        <v>124</v>
      </c>
      <c r="B6" s="130" t="n">
        <f aca="false">COUNTIF(Datos!F2:F1000,"Faltó impresión")+COUNTIF(Datos!F2:F1000,"No venían en impresión")+COUNTIF(Datos!F2:F1000,"No venia en la impresión")</f>
        <v>12</v>
      </c>
      <c r="C6" s="130" t="n">
        <f aca="false">SUMIF(Datos!F2:F1000,"Faltó impresión",Datos!G2:G1000)+SUMIF(Datos!F2:F1000,"No venían en impresión",Datos!G2:G1000)+SUMIF(Datos!F2:F1000,"No venia en la impresión",Datos!G2:G1000)</f>
        <v>34</v>
      </c>
      <c r="D6" s="96" t="n">
        <f aca="false">SUMIF(Datos!F2:F1000,"Faltó impresión",Datos!H2:H1000)+SUMIF(Datos!F2:F1000,"No venían en impresión",Datos!H2:H1000)+SUMIF(Datos!F2:F1000,"No venia en la impresión",Datos!H2:H1000)</f>
        <v>91800</v>
      </c>
    </row>
    <row r="7" customFormat="false" ht="18" hidden="false" customHeight="true" outlineLevel="0" collapsed="false">
      <c r="A7" s="131" t="s">
        <v>150</v>
      </c>
      <c r="B7" s="132" t="n">
        <f aca="false">COUNTIF(Datos!F2:F1000,"Confección")+COUNTIF(Datos!F2:F1000,"Confección / Mesa")+COUNTIF(Datos!F2:F1000,"Error de confección")+COUNTIF(Datos!F2:F1000,"ERROR DE CONFECCIÓN POR FALTA DE MUESTRA")</f>
        <v>18</v>
      </c>
      <c r="C7" s="132" t="n">
        <f aca="false">SUMIF(Datos!F2:F1000,"Confección",Datos!G2:G1000)+SUMIF(Datos!F2:F1000,"Confección / Mesa",Datos!G2:G1000)+SUMIF(Datos!F2:F1000,"Error de confección",Datos!G2:G1000)+SUMIF(Datos!F2:F1000,"ERROR DE CONFECCIÓN POR FALTA DE MUESTRA",Datos!G2:G1000)</f>
        <v>61</v>
      </c>
      <c r="D7" s="133" t="n">
        <f aca="false">SUMIF(Datos!F2:F1000,"Confección",Datos!H2:H1000)+SUMIF(Datos!F2:F1000,"Confección / Mesa",Datos!H2:H1000)+SUMIF(Datos!F2:F1000,"Error de confección",Datos!H2:H1000)+SUMIF(Datos!F2:F1000,"ERROR DE CONFECCIÓN POR FALTA DE MUESTRA",Datos!H2:H1000)</f>
        <v>411750</v>
      </c>
    </row>
    <row r="8" customFormat="false" ht="18" hidden="false" customHeight="true" outlineLevel="0" collapsed="false">
      <c r="A8" s="8" t="s">
        <v>578</v>
      </c>
      <c r="B8" s="130" t="n">
        <f aca="false">COUNTIF(Datos!F2:F1000,"Diseño")+COUNTIF(Datos!F2:F1000,"Diseño / Ficha")+COUNTIF(Datos!F2:F1000,"Error de ficha")+COUNTIF(Datos!F2:F1000,"Error de diseño")</f>
        <v>15</v>
      </c>
      <c r="C8" s="130" t="n">
        <f aca="false">SUMIF(Datos!F2:F1000,"Diseño",Datos!G2:G1000)+SUMIF(Datos!F2:F1000,"Diseño / Ficha",Datos!G2:G1000)+SUMIF(Datos!F2:F1000,"Error de ficha",Datos!G2:G1000)+SUMIF(Datos!F2:F1000,"Error de diseño",Datos!G2:G1000)</f>
        <v>175</v>
      </c>
      <c r="D8" s="96" t="n">
        <f aca="false">SUMIF(Datos!F2:F1000,"Diseño",Datos!H2:H1000)+SUMIF(Datos!F2:F1000,"Diseño / Ficha",Datos!H2:H1000)+SUMIF(Datos!F2:F1000,"Error de ficha",Datos!H2:H1000)+SUMIF(Datos!F2:F1000,"Error de diseño",Datos!H2:H1000)</f>
        <v>1181250</v>
      </c>
    </row>
    <row r="9" customFormat="false" ht="18" hidden="false" customHeight="true" outlineLevel="0" collapsed="false">
      <c r="A9" s="131" t="s">
        <v>799</v>
      </c>
      <c r="B9" s="132" t="n">
        <f aca="false">COUNTIF(Datos!F2:F1000,"Cambio ficha")+COUNTIF(Datos!F2:F1000,"Reimpresión DTF")+COUNTIF(Datos!F2:F1000,"Otro")</f>
        <v>2</v>
      </c>
      <c r="C9" s="132" t="n">
        <f aca="false">SUMIF(Datos!F2:F1000,"Cambio ficha",Datos!G2:G1000)+SUMIF(Datos!F2:F1000,"Reimpresión DTF",Datos!G2:G1000)+SUMIF(Datos!F2:F1000,"Otro",Datos!G2:G1000)</f>
        <v>3</v>
      </c>
      <c r="D9" s="133" t="n">
        <f aca="false">SUMIF(Datos!F2:F1000,"Cambio ficha",Datos!H2:H1000)+SUMIF(Datos!F2:F1000,"Reimpresión DTF",Datos!H2:H1000)+SUMIF(Datos!F2:F1000,"Otro",Datos!H2:H1000)</f>
        <v>313500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4"/>
    <col collapsed="false" customWidth="true" hidden="false" outlineLevel="0" max="4" min="4" style="1" width="18"/>
    <col collapsed="false" customWidth="true" hidden="false" outlineLevel="0" max="6" min="5" style="1" width="20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129" t="s">
        <v>4</v>
      </c>
      <c r="B1" s="129" t="s">
        <v>88</v>
      </c>
      <c r="C1" s="129" t="s">
        <v>89</v>
      </c>
      <c r="D1" s="129" t="s">
        <v>797</v>
      </c>
      <c r="E1" s="129" t="s">
        <v>96</v>
      </c>
      <c r="F1" s="129" t="s">
        <v>800</v>
      </c>
      <c r="G1" s="129" t="s">
        <v>801</v>
      </c>
    </row>
    <row r="2" customFormat="false" ht="18" hidden="false" customHeight="true" outlineLevel="0" collapsed="false">
      <c r="A2" s="94" t="s">
        <v>14</v>
      </c>
      <c r="B2" s="134" t="n">
        <f aca="false">COUNTIF(Datos!I2:I1000,"Mayo 2026")</f>
        <v>25</v>
      </c>
      <c r="C2" s="134" t="n">
        <f aca="false">SUMIF(Datos!I2:I1000,"Mayo 2026",Datos!G2:G1000)</f>
        <v>50</v>
      </c>
      <c r="D2" s="135" t="n">
        <f aca="false">SUMIF(Datos!I2:I1000,"Mayo 2026",Datos!H2:H1000)</f>
        <v>309150</v>
      </c>
      <c r="E2" s="134" t="n">
        <f aca="false">IFERROR(SUMPRODUCT((Datos!I2:I1000="Mayo 2026")/COUNTIFS(Datos!C2:C1000,Datos!C2:C1000,Datos!I2:I1000,"Mayo 2026")),0)</f>
        <v>0</v>
      </c>
      <c r="F2" s="35" t="n">
        <v>0</v>
      </c>
      <c r="G2" s="136" t="str">
        <f aca="false">IF(F2=0,"—",D2/F2)</f>
        <v>—</v>
      </c>
    </row>
    <row r="3" customFormat="false" ht="18" hidden="false" customHeight="true" outlineLevel="0" collapsed="false">
      <c r="A3" s="102" t="s">
        <v>15</v>
      </c>
      <c r="B3" s="137" t="n">
        <f aca="false">COUNTIF(Datos!I2:I1000,"Junio 2026")</f>
        <v>55</v>
      </c>
      <c r="C3" s="137" t="n">
        <f aca="false">SUMIF(Datos!I2:I1000,"Junio 2026",Datos!G2:G1000)</f>
        <v>157</v>
      </c>
      <c r="D3" s="138" t="n">
        <f aca="false">SUMIF(Datos!I2:I1000,"Junio 2026",Datos!H2:H1000)</f>
        <v>1288500</v>
      </c>
      <c r="E3" s="137" t="n">
        <f aca="false">IFERROR(SUMPRODUCT((Datos!I2:I1000="Junio 2026")/COUNTIFS(Datos!C2:C1000,Datos!C2:C1000,Datos!I2:I1000,"Junio 2026")),0)</f>
        <v>0</v>
      </c>
      <c r="F3" s="35" t="n">
        <v>0</v>
      </c>
      <c r="G3" s="139" t="str">
        <f aca="false">IF(F3=0,"—",D3/F3)</f>
        <v>—</v>
      </c>
    </row>
    <row r="4" customFormat="false" ht="18" hidden="false" customHeight="true" outlineLevel="0" collapsed="false">
      <c r="A4" s="94" t="s">
        <v>16</v>
      </c>
      <c r="B4" s="134" t="n">
        <f aca="false">COUNTIF(Datos!I2:I1000,"Julio 2026")</f>
        <v>48</v>
      </c>
      <c r="C4" s="134" t="n">
        <f aca="false">SUMIF(Datos!I2:I1000,"Julio 2026",Datos!G2:G1000)</f>
        <v>286</v>
      </c>
      <c r="D4" s="135" t="n">
        <f aca="false">SUMIF(Datos!I2:I1000,"Julio 2026",Datos!H2:H1000)</f>
        <v>1723950</v>
      </c>
      <c r="E4" s="134" t="n">
        <f aca="false">IFERROR(SUMPRODUCT((Datos!I2:I1000="Julio 2026")/COUNTIFS(Datos!C2:C1000,Datos!C2:C1000,Datos!I2:I1000,"Julio 2026")),0)</f>
        <v>0</v>
      </c>
      <c r="F4" s="35" t="n">
        <v>0</v>
      </c>
      <c r="G4" s="136" t="str">
        <f aca="false">IF(F4=0,"—",D4/F4)</f>
        <v>—</v>
      </c>
    </row>
    <row r="5" customFormat="false" ht="18" hidden="false" customHeight="true" outlineLevel="0" collapsed="false">
      <c r="A5" s="102" t="s">
        <v>17</v>
      </c>
      <c r="B5" s="137" t="n">
        <f aca="false">COUNTIF(Datos!I2:I1000,"Agosto 2026")</f>
        <v>57</v>
      </c>
      <c r="C5" s="137" t="n">
        <f aca="false">SUMIF(Datos!I2:I1000,"Agosto 2026",Datos!G2:G1000)</f>
        <v>198</v>
      </c>
      <c r="D5" s="138" t="n">
        <f aca="false">SUMIF(Datos!I2:I1000,"Agosto 2026",Datos!H2:H1000)</f>
        <v>1231200</v>
      </c>
      <c r="E5" s="137" t="n">
        <f aca="false">IFERROR(SUMPRODUCT((Datos!I2:I1000="Agosto 2026")/COUNTIFS(Datos!C2:C1000,Datos!C2:C1000,Datos!I2:I1000,"Agosto 2026")),0)</f>
        <v>0</v>
      </c>
      <c r="F5" s="35" t="n">
        <v>0</v>
      </c>
      <c r="G5" s="140" t="str">
        <f aca="false">IF(F5=0,"—",D5/F5)</f>
        <v>—</v>
      </c>
    </row>
    <row r="6" customFormat="false" ht="18" hidden="false" customHeight="true" outlineLevel="0" collapsed="false">
      <c r="A6" s="94" t="s">
        <v>18</v>
      </c>
      <c r="B6" s="134" t="n">
        <f aca="false">COUNTIF(Datos!I2:I1000,"Septiembre 2026")</f>
        <v>51</v>
      </c>
      <c r="C6" s="134" t="n">
        <f aca="false">SUMIF(Datos!I2:I1000,"Septiembre 2026",Datos!G2:G1000)</f>
        <v>354</v>
      </c>
      <c r="D6" s="135" t="n">
        <f aca="false">SUMIF(Datos!I2:I1000,"Septiembre 2026",Datos!H2:H1000)</f>
        <v>2304450</v>
      </c>
      <c r="E6" s="134" t="n">
        <f aca="false">IFERROR(SUMPRODUCT((Datos!I2:I1000="Septiembre 2026")/COUNTIFS(Datos!C2:C1000,Datos!C2:C1000,Datos!I2:I1000,"Septiembre 2026")),0)</f>
        <v>0</v>
      </c>
      <c r="F6" s="35" t="n">
        <v>0</v>
      </c>
      <c r="G6" s="141" t="str">
        <f aca="false">IF(F6=0,"—",D6/F6)</f>
        <v>—</v>
      </c>
    </row>
    <row r="7" customFormat="false" ht="15" hidden="false" customHeight="true" outlineLevel="0" collapsed="false">
      <c r="A7" s="1" t="s">
        <v>19</v>
      </c>
      <c r="B7" s="1" t="n">
        <f aca="false">COUNTIF(Datos!I2:I1000,"Octubre 2026")</f>
        <v>0</v>
      </c>
      <c r="C7" s="1" t="n">
        <f aca="false">SUMIF(Datos!I2:I1000,"Octubre 2026",Datos!G2:G1000)</f>
        <v>0</v>
      </c>
      <c r="D7" s="1" t="n">
        <f aca="false">SUMIF(Datos!I2:I1000,"Octubre 2026",Datos!H2:H1000)</f>
        <v>0</v>
      </c>
      <c r="E7" s="1" t="n">
        <f aca="false">IFERROR(SUMPRODUCT((Datos!I2:I1000="Octubre 2026")/COUNTIFS(Datos!C2:C1000,Datos!C2:C1000,Datos!I2:I1000,"Octubre 2026")),0)</f>
        <v>0</v>
      </c>
      <c r="F7" s="142" t="n">
        <v>0</v>
      </c>
      <c r="G7" s="143" t="str">
        <f aca="false">IF(F7=0,"—",D7/F7)</f>
        <v>—</v>
      </c>
    </row>
    <row r="8" customFormat="false" ht="15" hidden="false" customHeight="true" outlineLevel="0" collapsed="false">
      <c r="A8" s="1" t="s">
        <v>20</v>
      </c>
      <c r="B8" s="1" t="n">
        <f aca="false">COUNTIF(Datos!I2:I1000,"Noviembre 2026")</f>
        <v>0</v>
      </c>
      <c r="C8" s="1" t="n">
        <f aca="false">SUMIF(Datos!I2:I1000,"Noviembre 2026",Datos!G2:G1000)</f>
        <v>0</v>
      </c>
      <c r="D8" s="1" t="n">
        <f aca="false">SUMIF(Datos!I2:I1000,"Noviembre 2026",Datos!H2:H1000)</f>
        <v>0</v>
      </c>
      <c r="E8" s="1" t="n">
        <f aca="false">IFERROR(SUMPRODUCT((Datos!I2:I1000="Noviembre 2026")/COUNTIFS(Datos!C2:C1000,Datos!C2:C1000,Datos!I2:I1000,"Noviembre 2026")),0)</f>
        <v>0</v>
      </c>
      <c r="F8" s="142" t="n">
        <v>0</v>
      </c>
      <c r="G8" s="143" t="str">
        <f aca="false">IF(F8=0,"—",D8/F8)</f>
        <v>—</v>
      </c>
    </row>
    <row r="9" customFormat="false" ht="15" hidden="false" customHeight="true" outlineLevel="0" collapsed="false">
      <c r="A9" s="1" t="s">
        <v>21</v>
      </c>
      <c r="B9" s="1" t="n">
        <f aca="false">COUNTIF(Datos!I2:I1000,"Diciembre 2026")</f>
        <v>0</v>
      </c>
      <c r="C9" s="1" t="n">
        <f aca="false">SUMIF(Datos!I2:I1000,"Diciembre 2026",Datos!G2:G1000)</f>
        <v>0</v>
      </c>
      <c r="D9" s="1" t="n">
        <f aca="false">SUMIF(Datos!I2:I1000,"Diciembre 2026",Datos!H2:H1000)</f>
        <v>0</v>
      </c>
      <c r="E9" s="1" t="n">
        <f aca="false">IFERROR(SUMPRODUCT((Datos!I2:I1000="Diciembre 2026")/COUNTIFS(Datos!C2:C1000,Datos!C2:C1000,Datos!I2:I1000,"Diciembre 2026")),0)</f>
        <v>0</v>
      </c>
      <c r="F9" s="142" t="n">
        <v>0</v>
      </c>
      <c r="G9" s="143" t="str">
        <f aca="false">IF(F9=0,"—",D9/F9)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2026-06-01T23:50:19Z</dcterms:created>
  <dc:creator>openpyxl</dc:creator>
  <dc:description/>
  <dc:language>en-US</dc:language>
  <cp:lastModifiedBy/>
  <dcterms:modified xsi:type="dcterms:W3CDTF">2026-08-31T12:49:45Z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